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400" windowHeight="9750" activeTab="8"/>
  </bookViews>
  <sheets>
    <sheet name="月度数据统计" sheetId="2" r:id="rId1"/>
    <sheet name="KYC调单" sheetId="3" r:id="rId2"/>
    <sheet name="单笔交易" sheetId="4" r:id="rId3"/>
    <sheet name="账户调查" sheetId="5" r:id="rId4"/>
    <sheet name="结汇" sheetId="6" r:id="rId5"/>
    <sheet name="警方协查" sheetId="7" r:id="rId6"/>
    <sheet name="Recall" sheetId="8" r:id="rId7"/>
    <sheet name="内部调单" sheetId="15" state="hidden" r:id="rId8"/>
    <sheet name="（统计用）6张表数据汇总" sheetId="16" r:id="rId9"/>
    <sheet name="调单案例库" sheetId="17" state="hidden" r:id="rId10"/>
  </sheets>
  <calcPr calcId="191029"/>
  <customWorkbookViews>
    <customWorkbookView name="朵拉(樊筱全) 的视图" guid="{FD2B7214-1BFB-4E4A-A03E-8B8D8F416ECE}" maximized="1" windowWidth="1415" windowHeight="872"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tc={B05D2F21-12E6-4B43-A06B-2D8CC80A67B6}</author>
  </authors>
  <commentList>
    <comment ref="I271" authorId="0">
      <text>
        <r>
          <rPr>
            <sz val="10"/>
            <rFont val="宋体"/>
            <charset val="134"/>
          </rPr>
          <t>Openpayd调单手续费100欧，账户无余额</t>
        </r>
      </text>
    </comment>
  </commentList>
</comments>
</file>

<file path=xl/sharedStrings.xml><?xml version="1.0" encoding="utf-8"?>
<sst xmlns="http://schemas.openxmlformats.org/spreadsheetml/2006/main" count="34722" uniqueCount="5692">
  <si>
    <t>每月调单数量（以调单类型分类）</t>
  </si>
  <si>
    <t>每月调单数量（以业务线分类）</t>
  </si>
  <si>
    <t>时间</t>
  </si>
  <si>
    <t>每月调单总数</t>
  </si>
  <si>
    <t>每月环比增长</t>
  </si>
  <si>
    <t>Recall</t>
  </si>
  <si>
    <t>LER</t>
  </si>
  <si>
    <t>Retrieval Request</t>
  </si>
  <si>
    <t>Personal information</t>
  </si>
  <si>
    <t>每月总和</t>
  </si>
  <si>
    <t>电商</t>
  </si>
  <si>
    <t>B2B</t>
  </si>
  <si>
    <t>服贸汇兑</t>
  </si>
  <si>
    <t>2024年12月</t>
  </si>
  <si>
    <t>2025年1月</t>
  </si>
  <si>
    <t>2025年2月</t>
  </si>
  <si>
    <t>2025年3月</t>
  </si>
  <si>
    <t>2025年4月</t>
  </si>
  <si>
    <t>2025年5月</t>
  </si>
  <si>
    <t>2025年6月</t>
  </si>
  <si>
    <t>2025年7月</t>
  </si>
  <si>
    <t>2025年8月</t>
  </si>
  <si>
    <t>2025年9月</t>
  </si>
  <si>
    <t>2025年10月</t>
  </si>
  <si>
    <t>2025年11月</t>
  </si>
  <si>
    <t>2025年12月</t>
  </si>
  <si>
    <t>2026年1月</t>
  </si>
  <si>
    <t>2026年2月</t>
  </si>
  <si>
    <t>2026年3月</t>
  </si>
  <si>
    <t>2026年4月</t>
  </si>
  <si>
    <t>2026年5月</t>
  </si>
  <si>
    <t>2026年6月</t>
  </si>
  <si>
    <t>2026年7月</t>
  </si>
  <si>
    <t>2026年8月</t>
  </si>
  <si>
    <t>2026年9月</t>
  </si>
  <si>
    <t>2026年10月</t>
  </si>
  <si>
    <t>2026年11月</t>
  </si>
  <si>
    <t>2026年12月</t>
  </si>
  <si>
    <t>每月调单数量（以渠道分类）</t>
  </si>
  <si>
    <t>DBS</t>
  </si>
  <si>
    <t>Banking Circle</t>
  </si>
  <si>
    <t>M-DAQ</t>
  </si>
  <si>
    <t>GME</t>
  </si>
  <si>
    <t>QBC</t>
  </si>
  <si>
    <t>Thunes</t>
  </si>
  <si>
    <t>结汇渠道</t>
  </si>
  <si>
    <t>平安银行</t>
  </si>
  <si>
    <t>PING PONG</t>
  </si>
  <si>
    <t>SCB</t>
  </si>
  <si>
    <t>Baokim</t>
  </si>
  <si>
    <t>其他</t>
  </si>
  <si>
    <t>Nium</t>
  </si>
  <si>
    <t>Openpayd</t>
  </si>
  <si>
    <t>IBC</t>
  </si>
  <si>
    <t>TransferMate</t>
  </si>
  <si>
    <t>是否与调单类型分类一致</t>
  </si>
  <si>
    <t>处理人</t>
  </si>
  <si>
    <t>收件日期</t>
  </si>
  <si>
    <t>年月-收件日期（统计用）</t>
  </si>
  <si>
    <t>业务线</t>
  </si>
  <si>
    <t>渠道</t>
  </si>
  <si>
    <t>邮件名称/Reference ID</t>
  </si>
  <si>
    <t>币种</t>
  </si>
  <si>
    <t>站点（如有）</t>
  </si>
  <si>
    <t>目前状态</t>
  </si>
  <si>
    <t>截止日期</t>
  </si>
  <si>
    <t>商户ID</t>
  </si>
  <si>
    <t>商户名称</t>
  </si>
  <si>
    <t>调单类型</t>
  </si>
  <si>
    <t>调单原因</t>
  </si>
  <si>
    <t>所属销售/所属代理商</t>
  </si>
  <si>
    <t>备注</t>
  </si>
  <si>
    <t>第一次追问时间</t>
  </si>
  <si>
    <t>第一次追问回复时间</t>
  </si>
  <si>
    <t>第二次追问时间</t>
  </si>
  <si>
    <t>第二次追问回复时间</t>
  </si>
  <si>
    <t>第三次追问时间</t>
  </si>
  <si>
    <t>第三次追问回复时间</t>
  </si>
  <si>
    <t>李源</t>
  </si>
  <si>
    <t>quest for Information 28/10/24 BC:057102314</t>
  </si>
  <si>
    <t>PLN</t>
  </si>
  <si>
    <t>波兰本土店(OLX)
PLN</t>
  </si>
  <si>
    <t>已经回复</t>
  </si>
  <si>
    <t>5181230922000852228</t>
  </si>
  <si>
    <t>林俊伟</t>
  </si>
  <si>
    <t>候马超</t>
  </si>
  <si>
    <t>波兰本土店(olx)
PLN</t>
  </si>
  <si>
    <t>5181230728000534948</t>
  </si>
  <si>
    <t>游博文</t>
  </si>
  <si>
    <t>孔祎璐</t>
  </si>
  <si>
    <t>波兰本土店
PLN</t>
  </si>
  <si>
    <t>5181231113001189548</t>
  </si>
  <si>
    <t>郑巧琳</t>
  </si>
  <si>
    <t>5181231113001189002</t>
  </si>
  <si>
    <t>未找到</t>
  </si>
  <si>
    <t>5181240116001773768</t>
  </si>
  <si>
    <t>罗喻</t>
  </si>
  <si>
    <t>张荣</t>
  </si>
  <si>
    <t>Request for information 04/12/2024 BC:071800027</t>
  </si>
  <si>
    <t>5181240528003524000</t>
  </si>
  <si>
    <t>朱斌雄</t>
  </si>
  <si>
    <t>5181240528003523878</t>
  </si>
  <si>
    <t>Case ID 1976374 - RFI Inquiry 12.12.2024 for TING CHEN Merchant name Global E Payment Limited assigned to VIBAN VIR0051585679 IBAN DK1889000051585679</t>
  </si>
  <si>
    <t>5181240513003369898</t>
  </si>
  <si>
    <t>陈婷</t>
  </si>
  <si>
    <t>Personal Information</t>
  </si>
  <si>
    <t>Case ID 2032217 - RFI Inquiry 12.12.2024 for LIN WEI Merchant name Global E Payment Limited assigned to VIBAN VIR0051927870 IBAN DK1489000051927870</t>
  </si>
  <si>
    <t>Vinted(波兰)
PLN</t>
  </si>
  <si>
    <t>5181241014032010788</t>
  </si>
  <si>
    <t>林伟</t>
  </si>
  <si>
    <t>疑似命中制裁</t>
  </si>
  <si>
    <t>蒋春涛</t>
  </si>
  <si>
    <t>Case ID 2049856 - RFI Inquiry 12.12.2024 for TING CHEN Merchant name Global E Payment Limited assigned to VIBAN VIR0051923866 IBAN DK6489000051923866</t>
  </si>
  <si>
    <t>Case ID 2203194 - RFI Inquiry 12.12.2024 for YI LI Merchant name Global E Payment Limited assigned to VIBAN VIR0052340664 IBAN DK7089000052340664</t>
  </si>
  <si>
    <t>5181230528000162958</t>
  </si>
  <si>
    <t>李奕</t>
  </si>
  <si>
    <t>Case ID 1925978 - RFI Inquiry 17.12.2024 for LI YANG Merchant name LI YANG assigned to VIBAN VIR0051598739 IBAN DK9089000051598739</t>
  </si>
  <si>
    <t>波兰本土店(PayPal)
PLN</t>
  </si>
  <si>
    <t>5181240314002505058</t>
  </si>
  <si>
    <t>李阳</t>
  </si>
  <si>
    <t>吴铠玘</t>
  </si>
  <si>
    <t>19-12-2024.</t>
  </si>
  <si>
    <t>5181240725017433368</t>
  </si>
  <si>
    <t>李健</t>
  </si>
  <si>
    <t>潘成发</t>
  </si>
  <si>
    <t>5181240807020222338</t>
  </si>
  <si>
    <t>徐辉</t>
  </si>
  <si>
    <t>5181241205036307578</t>
  </si>
  <si>
    <t>王源</t>
  </si>
  <si>
    <t>姜俊锋</t>
  </si>
  <si>
    <t>5181241212036471248</t>
  </si>
  <si>
    <t>陈疆</t>
  </si>
  <si>
    <t>5181240326002805098</t>
  </si>
  <si>
    <t>陈武</t>
  </si>
  <si>
    <t>5181240910026066078</t>
  </si>
  <si>
    <t>朱臻</t>
  </si>
  <si>
    <t>贾锦洲</t>
  </si>
  <si>
    <t>Case ID 2268543 RFI Inquiry 13.01.2025 for YI LI Merchant name YI LI assigned to VIBAN VIR0053165248 IBAN DK3389000053165248</t>
  </si>
  <si>
    <t>Case ID 2132492 RFI Inquiry 13.01.2025 for Zhang Bo Merchant name Zhang Bo assigned to VIBAN VIR0052910094 IBAN DK5789000052910094</t>
  </si>
  <si>
    <t>GBP</t>
  </si>
  <si>
    <t>5181241121035839608</t>
  </si>
  <si>
    <t>章博</t>
  </si>
  <si>
    <t>陈一涵</t>
  </si>
  <si>
    <t>Case ID 2280529 RFI Inquiry 17.01.2025 for LEI ZHENG Merchant name HONG KONG ONECARD CO LIMITED assigned to VIBAN VIR0026458659 IBAN DK1589000026458659</t>
  </si>
  <si>
    <t>5181221216002990278</t>
  </si>
  <si>
    <t>香港萬卡有限公司</t>
  </si>
  <si>
    <t>林劲</t>
  </si>
  <si>
    <r>
      <rPr>
        <u/>
        <sz val="10"/>
        <color rgb="FF267EF0"/>
        <rFont val="微软雅黑"/>
        <charset val="134"/>
      </rPr>
      <t>https://www.yicai.com/news/100896844.html</t>
    </r>
  </si>
  <si>
    <t>Case ID 2285713 RFI Inquiry 17.02.2025 for Yun Chen Merchant name Yiwu Yunxin Trading Co Ltd assigned to VIBAN VIR0027877142</t>
  </si>
  <si>
    <t>EUR</t>
  </si>
  <si>
    <t>5181241224036823468</t>
  </si>
  <si>
    <t>义乌市云忻贸易商行</t>
  </si>
  <si>
    <t>Case ID 2278715 RFI Inquiry 17.01.2025 for Yu Chen Merchant name Chen Yu assigned to VIBAN VIR0053173513 IBAN DK7589000053173513</t>
  </si>
  <si>
    <t>5181241223036797418</t>
  </si>
  <si>
    <t>陈禹</t>
  </si>
  <si>
    <t>Case ID 2280515 RFI Inquiry 17.01.2025 for HONG ZHANG Merchant name PU TIAN SHI ER ZUO MAO YI CO LTD assigned to VIBAN VIR0053421318 IBAN DK1289000053421318</t>
  </si>
  <si>
    <t>张鸿</t>
  </si>
  <si>
    <t>Case ID 2256637 RFI Inquiry 20.01.2025 for Cheng Dong Merchant name Cheng Dong assigned to VIBAN VIR0053160363 IBAN DK0889000053160363</t>
  </si>
  <si>
    <t>独立站(波兰)
PLN</t>
  </si>
  <si>
    <t>5181240326002819628</t>
  </si>
  <si>
    <t>成栋</t>
  </si>
  <si>
    <t>朱昌</t>
  </si>
  <si>
    <t>Case ID 2377278 RFI Inquiry 20.01.2025 for YI LI Merchant name LI YI assigned to VIBAN VIR0053775169 IBAN DK5089000053775169</t>
  </si>
  <si>
    <t>波兰本土店(vinted)
PLN</t>
  </si>
  <si>
    <t>Case ID 2377686 RFI Inquiry 20.01.2025 for Ting Chen Merchant name Chen Ting assigned to VIBAN VIR0053173805Compliance@gepholding.</t>
  </si>
  <si>
    <t>Case ID 2358158 RFI Inquiry 20.01.2025 for Jianhua Liang Merchant name Jianhua Liang assigned to VIBAN VIR0053756371 IBAN DK9289000053756371</t>
  </si>
  <si>
    <t>5181240924028825438</t>
  </si>
  <si>
    <t>梁剑桦</t>
  </si>
  <si>
    <t>娄正才</t>
  </si>
  <si>
    <t>Case ID 2110273 RFI Inquiry 21.01.2025 for Ying Wang Merchant name Yiwu Mata Import and Export Co LTD assigned to VIBAN VIR0027876526 IBAN DK1489000027876526</t>
  </si>
  <si>
    <t>5181240802019298088</t>
  </si>
  <si>
    <t>义乌市玛塔进出口有限公司</t>
  </si>
  <si>
    <t>Re: [Revert by 21-Jan] RFI on VA name screening - CHEN JIANG (GLOBAL E-PAYMENT LIMITED)</t>
  </si>
  <si>
    <t>USD</t>
  </si>
  <si>
    <t>5181240701012764548</t>
  </si>
  <si>
    <t>陈余</t>
  </si>
  <si>
    <t>Case ID 2357570 RFI Inquiry 21.01.2025 for JIAN ZHANG Merchant name ZHANG JIAN assigned to VIBAN VIR0053751089 IBAN DK1989000053751089</t>
  </si>
  <si>
    <t>5181240129001930488</t>
  </si>
  <si>
    <t>张键</t>
  </si>
  <si>
    <t>鲁志祥</t>
  </si>
  <si>
    <t>Case ID 2342662 RFI Inquiry 21.01.2025 for HONG ZHANG Merchant name ZHANG HONG assigned to VIBAN VIR0053780411 IBAN DK3989000053780411</t>
  </si>
  <si>
    <t>5181240704013592198</t>
  </si>
  <si>
    <t>张红</t>
  </si>
  <si>
    <t>Case ID 2315376 RFI Inquiry 21.01.2025 for Wei Zhang Merchant name Zhang Wei assigned to VIBAN VIR0052904172 IBAN DK9589000052904172</t>
  </si>
  <si>
    <t>5181241231036995178</t>
  </si>
  <si>
    <t>张伟</t>
  </si>
  <si>
    <t>吕鹏</t>
  </si>
  <si>
    <t>Case ID 2292816 RFI Inquiry 21.01.2025 for Yun Chen Merchant name Chen Yun assigned to VIBAN VIR0052338862 IBAN DK3089000052338862</t>
  </si>
  <si>
    <t>波兰本土店(WordPress)
PLN</t>
  </si>
  <si>
    <t>5181241031034309568</t>
  </si>
  <si>
    <t>陈云</t>
  </si>
  <si>
    <t>Case ID 2278748 RFI Inquiry 21.01.2025 for Wei Zhang Merchant name Zhang Wei assigned to VIBAN VIR0053421308 IBAN DK8889000053421308</t>
  </si>
  <si>
    <t>5181241221036745778</t>
  </si>
  <si>
    <t>张蔚</t>
  </si>
  <si>
    <t>黄聪</t>
  </si>
  <si>
    <t>Case ID 2272470 RFI Inquiry 21.01.2025 for JIAN ZHANG Merchant name JIAN ZHANG assigned to VIBAN VIR0053430657 IBAN DK5989000053430657</t>
  </si>
  <si>
    <t>5181240504003289428</t>
  </si>
  <si>
    <t>张建</t>
  </si>
  <si>
    <t>Case ID 2303028 RFI Inquiry 22.01.2025 for Yun Chen Merchant name BROOKE CO LIMITED assigned to VIBAN VIR0027876764 IBAN DK8789000027876764</t>
  </si>
  <si>
    <t>5181241230036969608</t>
  </si>
  <si>
    <t>布魯克有限公司</t>
  </si>
  <si>
    <t>[Revert by 21-Jan] RFI on VA name screening - CHEN JIANG (GLOBAL E-PAYMENT LIMITED)</t>
  </si>
  <si>
    <t>5181240721016639598</t>
  </si>
  <si>
    <t>王军</t>
  </si>
  <si>
    <t>[Revert by 10-Feb] RFI on VA name screening -YANG LING (GLOBAL E-PAYMENT LIMITED)</t>
  </si>
  <si>
    <t>5181241030034153438</t>
  </si>
  <si>
    <t>杨玲</t>
  </si>
  <si>
    <t>蔡丽娜</t>
  </si>
  <si>
    <t>[Revert by 23-Feb] RFI on VA name screening - ZHANG WEI (GLOBAL E-PAYMENT LIMITED)</t>
  </si>
  <si>
    <t>误命中</t>
  </si>
  <si>
    <t>Case ID 2147960 RFI Inquiry 12.02.2025 for HONG YUK TSO COMPANY LIMITED Merchant name HONG YUK TSO COMPANY LIMITED assigned to VIBAN VIR0027877104 IBAN DK2589000027877104</t>
  </si>
  <si>
    <t>5181230917000816398</t>
  </si>
  <si>
    <t>康旭嘯有限公司</t>
  </si>
  <si>
    <t>确认企业名称、注册号码，DJ未见命中</t>
  </si>
  <si>
    <t>[Revert by 17-Feb] RFI on VA name screening - LIU YANG (GLOBAL E-PAYMENT LIMITED)</t>
  </si>
  <si>
    <t>5181240612004071778</t>
  </si>
  <si>
    <t>刘阳</t>
  </si>
  <si>
    <t>[Revert by 17-Feb] RFI on VA name screening - ZHANG YI (GLOBAL E-PAYMENT LIMITED)</t>
  </si>
  <si>
    <t>5181220304000950048</t>
  </si>
  <si>
    <t>张意</t>
  </si>
  <si>
    <t>[Revert by 17-Feb] RFI on VA name screening - CHEN HAO (GLOBAL E-PAYMENT LIMITED)</t>
  </si>
  <si>
    <t>5181240410003032138</t>
  </si>
  <si>
    <t>陈浩</t>
  </si>
  <si>
    <t>[Revert by 17-Feb] RFI on VA name screening - WEI GUANG YUAN (GLOBAL E-PAYMENT LIMITED)</t>
  </si>
  <si>
    <t>5181231108001141108</t>
  </si>
  <si>
    <t>魏广源</t>
  </si>
  <si>
    <t>[Revert by 17-Feb] RFI on VA name screening - YAN WEI (GLOBAL E-PAYMENT LIMITED)</t>
  </si>
  <si>
    <t>5181240906025252998</t>
  </si>
  <si>
    <t>闫伟</t>
  </si>
  <si>
    <t>[Revert by 18-Feb] RFI on VA name screening - Fortune and Future Inc. (GLOBAL E-PAYMENT LIMITED)</t>
  </si>
  <si>
    <t>5181250113037240818</t>
  </si>
  <si>
    <t>Fortune and Future Inc.</t>
  </si>
  <si>
    <t>经反馈科特迪瓦无同名企业，DJ未见命中，KYC审核不通过</t>
  </si>
  <si>
    <t>[Revert by 18-Feb] RFI on VA name screening - JIANG FENG (GLOBAL E-PAYMENT LIMITED)</t>
  </si>
  <si>
    <t>5181231222001529938</t>
  </si>
  <si>
    <t>姜峰</t>
  </si>
  <si>
    <t>[Revert by 20-Feb] RFI on VA name screening - WANG TAO (GLOBAL E-PAYMENT LIMITED)</t>
  </si>
  <si>
    <t>独立站(港币)</t>
  </si>
  <si>
    <t>5181240105001664868</t>
  </si>
  <si>
    <t>王涛</t>
  </si>
  <si>
    <t>[Revert by 20-Feb] RFI on VA name screening - XU YONG (GLOBAL E-PAYMENT LIMITED)</t>
  </si>
  <si>
    <t>5181250108037158238</t>
  </si>
  <si>
    <t>徐勇</t>
  </si>
  <si>
    <t>[Revert by 23-Feb] RFI on VA name screening - LIN WEI JIE (GLOBAL E-PAYMENT LIMITED)</t>
  </si>
  <si>
    <t>5181240620010215668</t>
  </si>
  <si>
    <t>林伟杰</t>
  </si>
  <si>
    <t>[Revert by 21-Feb] RFI on VA name screening - WANG FEI (GLOBAL E-PAYMENT LIMITED)</t>
  </si>
  <si>
    <t>5181250101036998658</t>
  </si>
  <si>
    <t>王飞</t>
  </si>
  <si>
    <t>Case ID 2410772 RFI Inquiry 26.02.2025 for Ting Chen Merchant name Ting Chen assigned to VIBAN VIR0053764786 IBAN DK6189000053764786</t>
  </si>
  <si>
    <t>波兰本土店(OLX)</t>
  </si>
  <si>
    <t>[Revert by 5-Mar] RFI on VA name screening - HUANG QIANG (GLOBAL E-PAYMENT LIMITED)</t>
  </si>
  <si>
    <t>5181250129037507578</t>
  </si>
  <si>
    <t>黄强</t>
  </si>
  <si>
    <t>[Revert by 5-Mar] RFI on VA name screening - CHEN HAO (GLOBAL E-PAYMENT LIMITED)</t>
  </si>
  <si>
    <t>[Revert by 6-Mar] RFI on VA name screening - YAN WEI (GLOBAL E-PAYMENT LIMITED)</t>
  </si>
  <si>
    <t>[Revert by 7-Mar] RFI on VA name screening - YANG LING (GLOBAL E-PAYMENT LIMITED)</t>
  </si>
  <si>
    <t>同商户第二次调单，误命中DJ。询问是否到过尼日利亚。</t>
  </si>
  <si>
    <t>[Revert by 7-Mar] RFI on VA name screening - YANG SHENG (GLOBAL E-PAYMENT LIMITED)</t>
  </si>
  <si>
    <t>5181240616008021308</t>
  </si>
  <si>
    <t>杨盛</t>
  </si>
  <si>
    <t>梁紫薇</t>
  </si>
  <si>
    <t>[Revert by 7-Mar] RFI on VA name screening - ZHENG HUA (GLOBAL E-PAYMENT LIMITED)</t>
  </si>
  <si>
    <t>5181240701012901958</t>
  </si>
  <si>
    <t>郑华</t>
  </si>
  <si>
    <t>误命中DJ</t>
  </si>
  <si>
    <t>[Revert by 11-Mar] RFI on VA name screening - WANG FEI (GLOBAL E-PAYMENT LIMITED)</t>
  </si>
  <si>
    <t>[Revert by 12-Mar] RFI on VA name screening - LI LIANG (GLOBAL E-PAYMENT LIMITED)</t>
  </si>
  <si>
    <t>5181230317003314668</t>
  </si>
  <si>
    <t>李良</t>
  </si>
  <si>
    <t>谭先婷</t>
  </si>
  <si>
    <t>[Revert by 13-Mar] RFI on VA name screening - LI RUI (GLOBAL E-PAYMENT LIMITED)</t>
  </si>
  <si>
    <t>5181221201002916728</t>
  </si>
  <si>
    <t>李锐</t>
  </si>
  <si>
    <t>注销</t>
  </si>
  <si>
    <t>RE: CDD材料补充 GEP KYC- FU JIAN MULTIPLE DIMENSIONS ELECTRONIC COMMERCE LIMITED COMPANY</t>
  </si>
  <si>
    <t>材料补充 GEP KYC- LONG GANG SHI XIAO YI ZI RI YONG PIN WANG DIAN</t>
  </si>
  <si>
    <t>5181250312038885198</t>
  </si>
  <si>
    <t>龙港市小椅子日用品网店（个体工商户）</t>
  </si>
  <si>
    <t>疑似同步的网站不ok引起调单</t>
  </si>
  <si>
    <t>[Revert by 21-Mar] RFI on VA name screening - LI HANG (GLOBAL E-PAYMENT LIMITED)</t>
  </si>
  <si>
    <t>5181240323002772168</t>
  </si>
  <si>
    <t>李航</t>
  </si>
  <si>
    <t>[Revert by 22-Mar] RFI on VA name screening - ZHANG PENG (GLOBAL E-PAYMENT LIMITED)</t>
  </si>
  <si>
    <t>5181231212001425048</t>
  </si>
  <si>
    <t>张鹏</t>
  </si>
  <si>
    <t>[Revert by 24-Mar] RFI on VA name screening - ZHU XIONG (GLOBAL E-PAYMENT LIMITED)</t>
  </si>
  <si>
    <t>5181241126035996328</t>
  </si>
  <si>
    <t>朱雄</t>
  </si>
  <si>
    <t>材料补充 GEP KYC - PING YANG XIAN YI QUN DIAN ZI SHANG WU SHANG HANG</t>
  </si>
  <si>
    <t>待BD回复</t>
  </si>
  <si>
    <t>5181240819021932118</t>
  </si>
  <si>
    <t>平阳县益群电子商务商行</t>
  </si>
  <si>
    <t>RFI Inquiry 24.03.2025 - Cases Spreadsheet (5)</t>
  </si>
  <si>
    <t>5181241204036253368</t>
  </si>
  <si>
    <t>张晓明</t>
  </si>
  <si>
    <t>5181220615001848228</t>
  </si>
  <si>
    <t>李威</t>
  </si>
  <si>
    <t>5181250310038770018</t>
  </si>
  <si>
    <t>张雷</t>
  </si>
  <si>
    <t>陈欢妮</t>
  </si>
  <si>
    <t>5181250320039219838</t>
  </si>
  <si>
    <t>杨帆</t>
  </si>
  <si>
    <t>DKK</t>
  </si>
  <si>
    <t>5181240421003178328</t>
  </si>
  <si>
    <t>张磊</t>
  </si>
  <si>
    <t>[Revert by 26-Mar] RFI on VA name screening - LIN ZHENG (GLOBAL E-PAYMENT LIMITED)</t>
  </si>
  <si>
    <t>5181231220001511418</t>
  </si>
  <si>
    <t>林正</t>
  </si>
  <si>
    <t>[Revert by 25-Mar] RFI on VA name screening - GAO YANG (GLOBAL E-PAYMENT LIMITED)</t>
  </si>
  <si>
    <t>5181221119002852268</t>
  </si>
  <si>
    <t>高阳</t>
  </si>
  <si>
    <t>[Revert by 25-Mar] RFI on VA name screening - gao yang (GLOBAL E-PAYMENT LIMITED)</t>
  </si>
  <si>
    <t>[Revert by 25-Mar] RFI on VA name screening - WEI NA (GLOBAL E-PAYMENT LIMITED)</t>
  </si>
  <si>
    <t>5181240708014540998</t>
  </si>
  <si>
    <t>魏娜</t>
  </si>
  <si>
    <t>[Revert by 25-Mar] RFI on VA name screening - XU BO (GLOBAL E-PAYMENT LIMITED)</t>
  </si>
  <si>
    <t>5181240108001698558</t>
  </si>
  <si>
    <t>许勃</t>
  </si>
  <si>
    <t>[Revert by 25-Mar] RFI on VA name screening - LIU YANG (GLOBAL E-PAYMENT LIMITED)</t>
  </si>
  <si>
    <t>5181231026001036298</t>
  </si>
  <si>
    <t>刘炀</t>
  </si>
  <si>
    <t>[Revert by 4-April] RFI on VA name screening - JIANG KAI (GLOBAL E-PAYMENT LIMITED)</t>
  </si>
  <si>
    <t>5181250217037861568</t>
  </si>
  <si>
    <t>姜凯</t>
  </si>
  <si>
    <t>Case ID 2789549 RFI Inquiry 04.04.2025 for Chen Yu Merchant name LECONIX HONGKONG CO LIMITED assigned to VIBAN VIR0026566389 IBAN DK4489000026566389</t>
  </si>
  <si>
    <t>5181250401039750368</t>
  </si>
  <si>
    <t>樂創世紀（香港）有限公司</t>
  </si>
  <si>
    <t>[Revert by 10-Apr] RFI on VA name screening - Ke Yang (GLOBAL E-PAYMENT LIMITED)</t>
  </si>
  <si>
    <t>5181250222038099878</t>
  </si>
  <si>
    <t>杨珂</t>
  </si>
  <si>
    <t>[Revert by 14-April] RFI on VA name screening - LUO FENG (GLOBAL E-PAYMENT LIMITED)</t>
  </si>
  <si>
    <t>5181240421003181788</t>
  </si>
  <si>
    <t>罗锋</t>
  </si>
  <si>
    <t>Case ID 2812024 RFI Inquiry 14.04.2025 for Jing Lin Merchant name Lin Jing assigned to VIBAN VIR0052211606 IBAN DK0889000052211606</t>
  </si>
  <si>
    <t>5181240407002970668</t>
  </si>
  <si>
    <t>林静</t>
  </si>
  <si>
    <t>[Revert by 23-April] RFI on VA name screening - YANG DAN FENG (GLOBAL E-PAYMENT LIMITED)</t>
  </si>
  <si>
    <t>5181240615007165998</t>
  </si>
  <si>
    <t>杨丹锋</t>
  </si>
  <si>
    <t>[Revert by 23-April] RFI on VA name screening - Guoxiang Zhang (GLOBAL E-PAYMENT LIMITED)</t>
  </si>
  <si>
    <t>5181250120037401398</t>
  </si>
  <si>
    <t>张国祥</t>
  </si>
  <si>
    <t>[Revert by 24-Apr] RFI on VA name screening - LI RONGHUI (GLOBAL E-PAYMENT LIMITED)</t>
  </si>
  <si>
    <t>5181250306038624688</t>
  </si>
  <si>
    <t>李荣辉</t>
  </si>
  <si>
    <t>曾茁</t>
  </si>
  <si>
    <t>[Revert by 24-April] RFI on VA name screening - LI TAO (GLOBAL E-PAYMENT LIMITED)</t>
  </si>
  <si>
    <t>5181250310038757358</t>
  </si>
  <si>
    <t>李涛</t>
  </si>
  <si>
    <t>不配合调单，已和BD协商好后续关停</t>
  </si>
  <si>
    <t>[Revert by 24-April] RFI on VA name screening - LIN JUN MING (GLOBAL E-PAYMENT LIMITED)</t>
  </si>
  <si>
    <t>5181241105034685428</t>
  </si>
  <si>
    <t>林俊明</t>
  </si>
  <si>
    <t>[Revert by 25-April] RFI on VA name screening - LI WEI (GLOBAL E-PAYMENT LIMITED)</t>
  </si>
  <si>
    <t>[Revert by 25-Apr] RFI on VA name screening - ZHU JIANQIANG (GLOBAL E-PAYMENT LIMITED)</t>
  </si>
  <si>
    <t>5181220117000632908</t>
  </si>
  <si>
    <t>朱建强</t>
  </si>
  <si>
    <t>[Revert by 25-Apr] RFI on VA name screening - Zhao Long (GLOBAL E-PAYMENT LIMITED)</t>
  </si>
  <si>
    <t>5181250311038774318</t>
  </si>
  <si>
    <t>赵龙</t>
  </si>
  <si>
    <t>[Revert by 25-Apr] RFI on VA name screening - LIU XIN (GLOBAL E-PAYMENT LIMITED)</t>
  </si>
  <si>
    <t>5181220614001844928</t>
  </si>
  <si>
    <t>刘鑫</t>
  </si>
  <si>
    <t>[Revert by 25-Apr] RFI on VA name screening - CHEN WU (GLOBAL E-PAYMENT LIMITED)</t>
  </si>
  <si>
    <t>[Revert by 28-Apr] RFI on VA name screening - WANG XUN (GLOBAL E-PAYMENT LIMITED)</t>
  </si>
  <si>
    <t>5181240109001713728</t>
  </si>
  <si>
    <t>王勋</t>
  </si>
  <si>
    <t>[Revert by 28-Apr] RFI on VA name screening - CHEN BEN YAN (GLOBAL E-PAYMENT LIMITED)</t>
  </si>
  <si>
    <t>5181241225036865148</t>
  </si>
  <si>
    <t>陈本演</t>
  </si>
  <si>
    <t>反馈商户失联，DBS反馈KYC不通过要求关VA</t>
  </si>
  <si>
    <t>[Revert by 29-April] RFI on VA name screening - XIAO PING (GLOBAL E-PAYMENT LIMITED)</t>
  </si>
  <si>
    <t>5181241030034145028</t>
  </si>
  <si>
    <t>肖萍</t>
  </si>
  <si>
    <t>[Revert by 29-April] RFI on VA name screening - CHEN LIN (GLOBAL E-PAYMENT LIMITED)</t>
  </si>
  <si>
    <t>5181250307038670828</t>
  </si>
  <si>
    <t>陈林</t>
  </si>
  <si>
    <t>[Revert by 29-April] RFI on VA name screening - HE CHAO (GLOBAL E-PAYMENT LIMITED)</t>
  </si>
  <si>
    <t>5181250325039472638</t>
  </si>
  <si>
    <t>何超</t>
  </si>
  <si>
    <t>[Revert by 29-Apr] RFI on VA name screening - ZHU JIANQIANG (GLOBAL E-PAYMENT LIMITED)</t>
  </si>
  <si>
    <t>[Revert by 29-April] RFI on VA name screening - WANG FENG (GLOBAL E-PAYMENT LIMITED)</t>
  </si>
  <si>
    <t>5181230208003110418</t>
  </si>
  <si>
    <t>王峰</t>
  </si>
  <si>
    <t>[Revert by 30-April] RFI on VA name screening - WANG MENG (GLOBAL E-PAYMENT LIMITED)</t>
  </si>
  <si>
    <t>5181250307038658648</t>
  </si>
  <si>
    <t>王猛</t>
  </si>
  <si>
    <t>[Revert by 30-April] RFI on VA name screening - Chen Lin (GLOBAL E-PAYMENT LIMITED)</t>
  </si>
  <si>
    <t>Case ID 2926519 RFI Inquiry 30.04.2025 for Jingping Zhang Merchant name Zhang Jingping assigned to VIBAN VIR0052911612 IBAN DK0589000052911612</t>
  </si>
  <si>
    <t>5181230414003445678</t>
  </si>
  <si>
    <t>张静萍</t>
  </si>
  <si>
    <t>[Revert by 14-May] RFI on VA name screening -ZHENG XI (GLOBAL E-PAYMENT LIMITED)</t>
  </si>
  <si>
    <t>5181250331039682858</t>
  </si>
  <si>
    <t>郑熙</t>
  </si>
  <si>
    <t>[Revert by 14-May] RFI on VA name screening -ZHANG JUN (GLOBAL E-PAYMENT LIMITED)</t>
  </si>
  <si>
    <t>5181240119001822898</t>
  </si>
  <si>
    <t>张骏</t>
  </si>
  <si>
    <t>历史注销的老商户号VA不开立，申请开新商户号的19个VA</t>
  </si>
  <si>
    <t>[Revert by 15-May] RFI on VA name screening - LUO YAJUN (GLOBAL E-PAYMENT LIMITED)</t>
  </si>
  <si>
    <t>5181250418040555978</t>
  </si>
  <si>
    <t>罗亚军</t>
  </si>
  <si>
    <t>Fw: [QBC] Please update the merchant information</t>
  </si>
  <si>
    <t>5181250427040986178</t>
  </si>
  <si>
    <t>张贺伟</t>
  </si>
  <si>
    <t>要求提供店铺网址</t>
  </si>
  <si>
    <t>5181250423040821488</t>
  </si>
  <si>
    <t>淮南悦婷贸易有限公司</t>
  </si>
  <si>
    <t>5181250423040814558</t>
  </si>
  <si>
    <t>淮南拾朴贸易有限公司</t>
  </si>
  <si>
    <t>5181250422040784968</t>
  </si>
  <si>
    <t>淮南云联万物科技有限公司</t>
  </si>
  <si>
    <t>5181250422040748478</t>
  </si>
  <si>
    <t>淮南跨链时代贸易有限公司</t>
  </si>
  <si>
    <t>5181250422040749268</t>
  </si>
  <si>
    <t>淮南潮物集科技有限公司</t>
  </si>
  <si>
    <t>5181250421040716308</t>
  </si>
  <si>
    <t>阜阳磊泽商贸有限公司</t>
  </si>
  <si>
    <t>5181250312038867178</t>
  </si>
  <si>
    <t>陈慧贞</t>
  </si>
  <si>
    <t>[Revert by 19-May] RFI on VA name screening - DONG WEN LONG (GLOBAL E-PAYMENT LIMITED)</t>
  </si>
  <si>
    <t>Global E-payment Limited KYC - SHAO XING SHI KE QIAO QU YU HAO FANG ZHI PIN JING YING BU</t>
  </si>
  <si>
    <t>客户要求取消</t>
  </si>
  <si>
    <t>5181240813020970438</t>
  </si>
  <si>
    <t>绍兴市柯桥区谕昊纺织品经营部</t>
  </si>
  <si>
    <t>[Revert by 20-May] RFI on VA name screening -Chen Zhilin (GLOBAL E-PAYMENT LIMITED)</t>
  </si>
  <si>
    <t>5181250403039838468</t>
  </si>
  <si>
    <t>陈志霖</t>
  </si>
  <si>
    <t>[Revert by 20-May] RFI on VA name screening - ZHENG WEI ZHAN (GLOBAL E-PAYMENT LIMITED)</t>
  </si>
  <si>
    <t>5181250405039852718</t>
  </si>
  <si>
    <t>郑伟展</t>
  </si>
  <si>
    <t>[Revert by 22-May] RFI on VA name screening - LIU CHAO (GLOBAL E-PAYMENT LIMITED)</t>
  </si>
  <si>
    <t>5181230223003202248</t>
  </si>
  <si>
    <t>刘超</t>
  </si>
  <si>
    <t>[Revert by 23-May] RFI on VA name screening - XU JUN WU (GLOBAL E-PAYMENT LIMITED)</t>
  </si>
  <si>
    <t>5181250411040149068</t>
  </si>
  <si>
    <t>许俊武</t>
  </si>
  <si>
    <t>[Revert by 23-May] RFI on VA name screening - MA JUN TAO (GLOBAL E-PAYMENT LIMITED)</t>
  </si>
  <si>
    <t>5181250410040058718</t>
  </si>
  <si>
    <t>马军涛</t>
  </si>
  <si>
    <t>[Revert by 23-May] RFI on VA name screening - YU JUN QIANG (GLOBAL E-PAYMENT LIMITED)</t>
  </si>
  <si>
    <t>5181250302038467838</t>
  </si>
  <si>
    <t>余军强</t>
  </si>
  <si>
    <t>[Revert by 22 May] RFI on VA name screening -ZHANG LEI  (GLOBAL E-PAYMENT LIMITED)</t>
  </si>
  <si>
    <t>[Revert by 27-May] RFI on VA name screening -GAO RUI (GLOBAL E-PAYMENT LIMITED)</t>
  </si>
  <si>
    <t>5181240622010626888</t>
  </si>
  <si>
    <t>高瑞</t>
  </si>
  <si>
    <t>[Revert by 27-May] RFI on VA name screening -LI YUN (GLOBAL E-PAYMENT LIMITED)</t>
  </si>
  <si>
    <t>5181250215037800178</t>
  </si>
  <si>
    <t>李云</t>
  </si>
  <si>
    <t>[Revert by 28-May] RFI on VA name screening -CHEN WEI (GLOBAL E-PAYMENT LIMITED)</t>
  </si>
  <si>
    <t>5181240127001919818</t>
  </si>
  <si>
    <t>陈威</t>
  </si>
  <si>
    <t>[Revert by 28-May] RFI on VA name screening -CHEN YONG (GLOBAL E-PAYMENT LIMITED)</t>
  </si>
  <si>
    <t>5181240819021972558</t>
  </si>
  <si>
    <t>陈勇</t>
  </si>
  <si>
    <t>[Revert by 27-May] RFI on VA name screening - ZHANG TING (GLOBAL E-PAYMENT LIMITED)</t>
  </si>
  <si>
    <t>5181231124001270738</t>
  </si>
  <si>
    <t>张婷</t>
  </si>
  <si>
    <t>[Revert by 27-May] RFI on VA name screening - ZOU HUI (GLOBAL E-PAYMENT LIMITED)</t>
  </si>
  <si>
    <t>5181241107034862458</t>
  </si>
  <si>
    <t>邹辉</t>
  </si>
  <si>
    <t>[Revert by 27-May] RFI on VA name screening - ZHANG LEI (GLOBAL E-PAYMENT LIMITED)</t>
  </si>
  <si>
    <t>[Revert by 27-May] RFI on VA name screening -YUAN YU GLOBAL E-PAYMENT LIMITED)</t>
  </si>
  <si>
    <t>5181241022033228888</t>
  </si>
  <si>
    <t>袁瑜</t>
  </si>
  <si>
    <t>[Revert by 28-May] RFI on VA name screening - LI JUN (GLOBAL E-PAYMENT LIMITED)</t>
  </si>
  <si>
    <t>5181250419040595148</t>
  </si>
  <si>
    <t>李俊</t>
  </si>
  <si>
    <t>[Revert by 28-May] RFI on VA name screening - WANG DONG (GLOBAL E-PAYMENT LIMITED)</t>
  </si>
  <si>
    <t>5181250222038109418</t>
  </si>
  <si>
    <t>王栋</t>
  </si>
  <si>
    <t>[Revert by 28-May] RFI on VA name screening -CHEN LIN JIE (GLOBAL E-PAYMENT LIMITED)</t>
  </si>
  <si>
    <t>5181241124035926048</t>
  </si>
  <si>
    <t>陈霖杰</t>
  </si>
  <si>
    <t>[Revert by 29-May] RFI on VA name screening - ZHANG JIE (GLOBAL E-PAYMENT LIMITED)</t>
  </si>
  <si>
    <t>5181250429041049218</t>
  </si>
  <si>
    <t>张杰</t>
  </si>
  <si>
    <t>[Revert by 29-May] RFI on VA name screening - Luo Jianzhong (GLOBAL E-PAYMENT LIMITED)</t>
  </si>
  <si>
    <t>5181240928029680588</t>
  </si>
  <si>
    <t>罗建中</t>
  </si>
  <si>
    <t>[Revert by 29-May] RFI on VA name screening - LIU LEI (GLOBAL E-PAYMENT LIMITED)</t>
  </si>
  <si>
    <t>5181220915002456898</t>
  </si>
  <si>
    <t>刘磊</t>
  </si>
  <si>
    <t>[Revert by 29-May] RFI on VA name screening - LI XIN (GLOBAL E-PAYMENT LIMITED)</t>
  </si>
  <si>
    <t>5181240927029394608</t>
  </si>
  <si>
    <t>李欣</t>
  </si>
  <si>
    <t>[Revert by 29-May] RFI on VA name screening - He Chao (GLOBAL E-PAYMENT LIMITED)</t>
  </si>
  <si>
    <t>[Revert by 30-May] RFI on VA name screening -LIU YANG (GLOBAL E-PAYMENT LIMITED)</t>
  </si>
  <si>
    <t>孙兆鹏</t>
  </si>
  <si>
    <t>Case ID 3232159 RFI Inquiry 04.06.2025 for Wei Li Merchant name 
Chengdu Penglv Trading Co Ltd assigned to VIBAN VIR0027876535</t>
  </si>
  <si>
    <t>5181250603042436888</t>
  </si>
  <si>
    <t>成都朋侣贸易有限公司</t>
  </si>
  <si>
    <t>[Revert by 10-Jun] RFI on VA name screening - LI ZHIGANG (GLOBAL E-PAYMENT LIMITED)</t>
  </si>
  <si>
    <t>5181250429041082888</t>
  </si>
  <si>
    <t>李志刚</t>
  </si>
  <si>
    <t>[Revert by 10-Jun] RFI on VA name screening - LI RONG (GLOBAL E-PAYMENT LIMITED)</t>
  </si>
  <si>
    <t>5181250506041221528</t>
  </si>
  <si>
    <t>李荣</t>
  </si>
  <si>
    <t>[Revert by 16-Jun] RFI on VA name screening - LIU KE (GLOBAL E-PAYMENT LIMITED)</t>
  </si>
  <si>
    <t>5181241209036388508</t>
  </si>
  <si>
    <t>刘克</t>
  </si>
  <si>
    <t>[Revert by 18-Jun] RFI on VA name screening - ZHANG YULONG (GLOBAL E-PAYMENT LIMITED)</t>
  </si>
  <si>
    <t>5181241218036624028</t>
  </si>
  <si>
    <t>张育龙</t>
  </si>
  <si>
    <t>[Revert by 19-Jun] RFI on VA name screening - WANG QIANG (GLOBAL E-PAYMENT LIMITED)</t>
  </si>
  <si>
    <t>5181250530042227278</t>
  </si>
  <si>
    <t>汪强</t>
  </si>
  <si>
    <t>[Revert by 19-Jun] RFI on VA name screening - CHEN HAO (GLOBAL E-PAYMENT LIMITED)</t>
  </si>
  <si>
    <t>5181240305002285668</t>
  </si>
  <si>
    <t>[Revert by 21-Jun] RFI on VA name screening – Hou (GLOBAL E-PAYMENT LIMITED)</t>
  </si>
  <si>
    <t>5181250225038208738</t>
  </si>
  <si>
    <t>赤峰市乐律网络有限公司</t>
  </si>
  <si>
    <t>OZON客户，VA取消</t>
  </si>
  <si>
    <t>[Revert by 21-Jun] RFI on VA name screening - ZHANG LONG (GLOBAL E-PAYMENT LIMITED)</t>
  </si>
  <si>
    <t>5181241112035199528</t>
  </si>
  <si>
    <t>张龙</t>
  </si>
  <si>
    <t>Revert by 23-Jun] RFI on VA name screening -LI LEI (GLOBAL E-PAYMENT LIMITED)</t>
  </si>
  <si>
    <t>5181240731018853508</t>
  </si>
  <si>
    <t>李蕾</t>
  </si>
  <si>
    <t>[Revert by 23-Jun] RFI on VA name screening -LIN JIE (GLOBAL E-PAYMENT LIMITED)</t>
  </si>
  <si>
    <t>5181240325002800458</t>
  </si>
  <si>
    <t>林杰</t>
  </si>
  <si>
    <t>和BD确认后决定关户。
1、开户起就1笔24年4月的入账，此后没有任何交易。且经BD和商户的沟通来看，商户现主营过桥米线，综合看其目前并无外贸收款的背景和需求。
2、商户调单配合度较低。</t>
  </si>
  <si>
    <t>[Revert by 24-Jun] RFI on VA name screening - CHEN HAI YANG (GLOBAL E-PAYMENT LIMITED)</t>
  </si>
  <si>
    <t>5181240123001871428</t>
  </si>
  <si>
    <t>陈海洋</t>
  </si>
  <si>
    <t>Temporary User Account: fileexchange.bankingcircle.com
Secure Subject: Global E-Payment Limited - BAFIN - 21.06.25</t>
  </si>
  <si>
    <t>5181201221000058468</t>
  </si>
  <si>
    <t>徐晓波</t>
  </si>
  <si>
    <t>DE06202208000090184163</t>
  </si>
  <si>
    <t>[Revert by 24-Jun] RFI on VA name screening – Zhang Zhiqiang (GLOBAL E-PAYMENT LIMITED)</t>
  </si>
  <si>
    <t>5181250511041396358</t>
  </si>
  <si>
    <t>张志强</t>
  </si>
  <si>
    <t>[Revert by 24-Jun] RFI on VA name screening - CHEN ZHIXIN (GLOBAL E-PAYMENT LIMITED)</t>
  </si>
  <si>
    <t>5181250517041600138</t>
  </si>
  <si>
    <t>陈志新</t>
  </si>
  <si>
    <t>[Revert by 25-Jun] RFI on VA name screening - ZHANG YU (GLOBAL E-PAYMENT LIMITED)</t>
  </si>
  <si>
    <t>5181250427040964138</t>
  </si>
  <si>
    <t>张宇</t>
  </si>
  <si>
    <t>李小双</t>
  </si>
  <si>
    <t>[Revert by 26-Jun] RFI on VA name screening - li jian (GLOBAL E-PAYMENT LIMITED)</t>
  </si>
  <si>
    <t>5181230304003240358</t>
  </si>
  <si>
    <t>[Revert by 26-Jun] RFI on VA name screening - ZHANG XIN(GLOBAL E-PAYMENT LIMITED)</t>
  </si>
  <si>
    <t>5181250520041715818</t>
  </si>
  <si>
    <t>张欣</t>
  </si>
  <si>
    <t>陈志霆</t>
  </si>
  <si>
    <t>赵文奇</t>
  </si>
  <si>
    <t>Global E-payment Limited KYC - CHONG QING WANG AN GE NONG YE FA ZHAN CO., LTD</t>
  </si>
  <si>
    <t>5181241206036348538</t>
  </si>
  <si>
    <t>陈彦宏</t>
  </si>
  <si>
    <t>[Revert by 10-Jul] RFI on VA name screening - GUO BEN (GLOBAL E-PAYMENT LIMITED)</t>
  </si>
  <si>
    <t>5181231024001020598</t>
  </si>
  <si>
    <t>国奔</t>
  </si>
  <si>
    <t>[Revert by 11-Jul] RFI on VA name screening - LIU YI (GLOBAL E-PAYMENT LIMITED)</t>
  </si>
  <si>
    <t>5181240627011720788</t>
  </si>
  <si>
    <t>刘毅</t>
  </si>
  <si>
    <t>[Revert by 14-Jul] RFI on VA name screening - YANG QING (GLOBAL E-PAYMENT LIMITED)</t>
  </si>
  <si>
    <t>5181221228003028618</t>
  </si>
  <si>
    <t>杨清</t>
  </si>
  <si>
    <t>[Revert by 14-Jul] RFI on VA name screening -ZHANG LI YUN (GLOBAL E-PAYMENT LIMITED)</t>
  </si>
  <si>
    <t>5181250609042912168</t>
  </si>
  <si>
    <t>张丽云</t>
  </si>
  <si>
    <t>[Revert by 14-Jul] RFI on VA name screening - ZHANG JIE (GLOBAL E-PAYMENT LIMITED)</t>
  </si>
  <si>
    <t>5181240325002787148</t>
  </si>
  <si>
    <t>张洁</t>
  </si>
  <si>
    <t>[Revert by 14-Jul] RFI on VA name screening - YU JIAN (GLOBAL E-PAYMENT LIMITED)</t>
  </si>
  <si>
    <t>5181240926029078688</t>
  </si>
  <si>
    <t>余健</t>
  </si>
  <si>
    <t>[Revert by 14-Jul] RFI on VA name screening - WANG WEI (GLOBAL E-PAYMENT LIMITED)</t>
  </si>
  <si>
    <t>5181230705000403678</t>
  </si>
  <si>
    <t>王伟</t>
  </si>
  <si>
    <t>【PingPong Currentz】银行调单-M202304131843467081</t>
  </si>
  <si>
    <t>5181200731000034878</t>
  </si>
  <si>
    <t>冀益璞（上海）信息技术有限公司</t>
  </si>
  <si>
    <t>测试销售请勿关闭</t>
  </si>
  <si>
    <t>Global E-Payment Limited - BAFIN - 12.07.25</t>
  </si>
  <si>
    <t>[Revert by 17-Jul] RFI on VA name screening - CHEN WEI (GLOBAL E-PAYMENT LIMITED)</t>
  </si>
  <si>
    <t>[Revert by 17-Jul] RFI on VA name screening - XIE YONG (GLOBAL E-PAYMENT LIMITED)</t>
  </si>
  <si>
    <t>5181231221001515198</t>
  </si>
  <si>
    <t>谢勇</t>
  </si>
  <si>
    <t>[Revert by 17-Jul] RFI on VA name screening - CHEN CHAO (GLOBAL E-PAYMENT LIMITED)</t>
  </si>
  <si>
    <t>5181231113001180648</t>
  </si>
  <si>
    <t>陈超</t>
  </si>
  <si>
    <t>蔡丽娜,陈一涵</t>
  </si>
  <si>
    <t>[Revert by 17-Jul] RFI on VA name screening -HE YONG (GLOBAL E-PAYMENT LIMITED)</t>
  </si>
  <si>
    <t>5181250609042967168</t>
  </si>
  <si>
    <t>何勇</t>
  </si>
  <si>
    <t>陈一涵,赵文奇</t>
  </si>
  <si>
    <t>Global E-payment Limited KYC - JEXITO(GUANG ZHOU )TECHNOLOGY CO., LTD</t>
  </si>
  <si>
    <t>5181231214001454578</t>
  </si>
  <si>
    <t>捷希特（广州）科技有限公司</t>
  </si>
  <si>
    <t>[Revert by 18-Jul] RFI on VA name screening - XU DAN DAN (GLOBAL E-PAYMENT LIMITED)</t>
  </si>
  <si>
    <t>5181250423040840818</t>
  </si>
  <si>
    <t>许丹丹</t>
  </si>
  <si>
    <t>[Revert by 18-Jul] RFI on VA name screening - LI LEI (GLOBAL E-PAYMENT LIMITED)</t>
  </si>
  <si>
    <t>Global E-payment Limited KYC - Shenzhen Sunlit Tools Co., Ltd</t>
  </si>
  <si>
    <t>5181250421040660728</t>
  </si>
  <si>
    <t>深圳市三励安特科技有限公司</t>
  </si>
  <si>
    <t>胡在栋</t>
  </si>
  <si>
    <t>[Revert by 21-Jul] RFI on VA name screening - CHEN HAO (GLOBAL E-PAYMENT LIMITED)</t>
  </si>
  <si>
    <t>5181250618043702368</t>
  </si>
  <si>
    <t>[Revert by 24-Jul] RFI on VA name screening - LI TAO (GLOBAL E-PAYMENT LIMITED)</t>
  </si>
  <si>
    <t>[Revert by 28-Jul] RFI on VA name screening - LIU WEI (GLOBAL E-PAYMENT LIMITED)</t>
  </si>
  <si>
    <t>5181250615043473498</t>
  </si>
  <si>
    <t>刘伟</t>
  </si>
  <si>
    <t>[Revert by 29-Jul] RFI on VA name screening - LIU PING (GLOBAL E-PAYMENT LIMITED)</t>
  </si>
  <si>
    <t>5181230424003495878</t>
  </si>
  <si>
    <t>刘萍</t>
  </si>
  <si>
    <t>Global E-payment Limited KYC - Harbin Longteng New Material Technology Co., Ltd.</t>
  </si>
  <si>
    <t>5181250725045256938</t>
  </si>
  <si>
    <t>哈尔滨隆腾新材料科技有限公司</t>
  </si>
  <si>
    <t>[Revert by 06-Aug]  RFI on VA name screening - CHEN WEI (GLOBAL E-PAYMENT LIMITED)</t>
  </si>
  <si>
    <t>5181240101001619958</t>
  </si>
  <si>
    <t>陈卫</t>
  </si>
  <si>
    <t>[Revert by 08-Aug] RFI on VA name screening - LU YANAN (GLOBAL E-PAYMENT LIMITED)</t>
  </si>
  <si>
    <t>5181250104037064818</t>
  </si>
  <si>
    <t>卢雅男</t>
  </si>
  <si>
    <t>Global E-payment Limited KYC - Hong Kong L K Q Group Co., Limited</t>
  </si>
  <si>
    <t xml:space="preserve">5181250725045245228 </t>
  </si>
  <si>
    <t>香港智新集團有限公司</t>
  </si>
  <si>
    <t>[Revert by 14-Aug] RFI on VA name screening - WANG JUN DI (GLOBAL E-PAYMENT LIMITED)</t>
  </si>
  <si>
    <t>5181240310002395888</t>
  </si>
  <si>
    <t>王俊迪</t>
  </si>
  <si>
    <t>[Revert by 15-Aug] RFI on VA name screening - LCHEN MO (GLOBAL E-PAYMENT LIMITED)</t>
  </si>
  <si>
    <t>5181240614006445038</t>
  </si>
  <si>
    <t>陈默</t>
  </si>
  <si>
    <t>[Revert by 20-Aug] RFI on VA name screening - ZHENG YONG (GLOBAL E-PAYMENT LIMITED)</t>
  </si>
  <si>
    <t>5181240716015915178</t>
  </si>
  <si>
    <t>郑雍</t>
  </si>
  <si>
    <t>[Revert by 20-Aug] RFI on VA name screening - CHEN JIANG GLOBAL E-PAYMENT LIMITED)</t>
  </si>
  <si>
    <t>[Revert by 21-Aug] RFI on VA name screening - SHEN JIAN (GLOBAL E-PAYMENT LIMITED)</t>
  </si>
  <si>
    <t>5181240629012406258</t>
  </si>
  <si>
    <t>沈健</t>
  </si>
  <si>
    <t>Global E-payment Limited KYC - Xiamen Slow Elephant Co., Ltd.</t>
  </si>
  <si>
    <t>5181250813046285438</t>
  </si>
  <si>
    <t>厦门慢象科技有限公司</t>
  </si>
  <si>
    <t>Global E-payment Limited KYC - DONG GUAN SHI XIN AN XIAN LU BAN CO., LTD</t>
  </si>
  <si>
    <t>5181250819046448688</t>
  </si>
  <si>
    <t>东莞市鑫安线路板有限公司</t>
  </si>
  <si>
    <t>[Revert by 21-Aug] RFI on VA name screening - HE QI (GLOBAL E-PAYMENT LIMITED)</t>
  </si>
  <si>
    <t>5181240721016648248</t>
  </si>
  <si>
    <t>贺琦</t>
  </si>
  <si>
    <t>[Revert by 25-Aug] RFI on VA name screening - Wang Xianing (GLOBAL E-PAYMENT LIMITED)</t>
  </si>
  <si>
    <t>5181250725045259858</t>
  </si>
  <si>
    <t>王夏宁</t>
  </si>
  <si>
    <t xml:space="preserve">[Revert by 27-Aug] RFI on VA name screening - CHEN JIANG (GLOBAL E-PAYMENT LIMITED)
</t>
  </si>
  <si>
    <t>[Revert by 27-Aug] RFI on VA name screening - ZHENG YONG (GLOBAL E-PAYMENT LIMITED)</t>
  </si>
  <si>
    <t>Revert by 27-Aug] RFI on VA name screening - Gao Wei (GLOBAL E-PAYMENT LIMITED)</t>
  </si>
  <si>
    <t>5181250724045221018</t>
  </si>
  <si>
    <t>高伟</t>
  </si>
  <si>
    <t>[Revert by 27-Aug] RFI on VA name screening - LIU HONG (GLOBAL E-PAYMENT LIMITED)</t>
  </si>
  <si>
    <t>5181250710044741158</t>
  </si>
  <si>
    <t>刘宏</t>
  </si>
  <si>
    <t>吴小龙</t>
  </si>
  <si>
    <t>[Revert by 27-Aug] RFI on VA name screening -YU JIAN (GLOBAL E-PAYMENT LIMITED)</t>
  </si>
  <si>
    <t>Global E-payment Limited KYC - PING XIANG SHI LI JI MAO YI SHANG FIRM</t>
  </si>
  <si>
    <t>5181250827046766668</t>
  </si>
  <si>
    <t>凭祥市礼记贸易商行</t>
  </si>
  <si>
    <t>李梦柔</t>
  </si>
  <si>
    <t>@赵文奇</t>
  </si>
  <si>
    <t xml:space="preserve">[Revert by 3-Sep] RFI on VA name screening - xu tao (GLOBAL E-PAYMENT LIMITED)
</t>
  </si>
  <si>
    <t>5181221105002758228</t>
  </si>
  <si>
    <t>徐涛</t>
  </si>
  <si>
    <t>RE: BaFin RFI === VIBAN DE29202208000026430984 === URGENT</t>
  </si>
  <si>
    <t>5181231125001282378</t>
  </si>
  <si>
    <t>菏泽龙费贸易有限公司</t>
  </si>
  <si>
    <t>[Revert by 9-Sep] RFI on VA name screening - chen ling (GLOBAL E-PAYMENT LIMITED)</t>
  </si>
  <si>
    <t>5181211121000432428</t>
  </si>
  <si>
    <t>陈玲</t>
  </si>
  <si>
    <t>吕鹏/</t>
  </si>
  <si>
    <t>[Revert by 9-Sep] RFI on VA name screening - Chen He (GLOBAL E-PAYMENT LIMITED)</t>
  </si>
  <si>
    <t>5181250726045294698</t>
  </si>
  <si>
    <t>陈贺</t>
  </si>
  <si>
    <t>潘成发/</t>
  </si>
  <si>
    <t>[Revert by 10-Sep] RFI on VA name screening - Liu Fei (GLOBAL E-PAYMENT LIMITED)</t>
  </si>
  <si>
    <t>5181250714044843988</t>
  </si>
  <si>
    <t>刘飞</t>
  </si>
  <si>
    <t>吴铠玘/</t>
  </si>
  <si>
    <t>[Revert by 10-Sep] RFI on VA name screening- Wang Hao (GLOBAL E-PAYMENT LIMITED)</t>
  </si>
  <si>
    <t>5181250818046404878</t>
  </si>
  <si>
    <t>王浩</t>
  </si>
  <si>
    <t>Case ID 3847630 RFI Inquiry 15.09.2025 for Bing Chen Merchant name DI AO CO LTD assigned to VIBAN VIR0026566539 IBAN DK6889000026566539</t>
  </si>
  <si>
    <t>5181250804045859768</t>
  </si>
  <si>
    <t>笛傲有限公司</t>
  </si>
  <si>
    <t>蒋春涛/义乌市杲杲商贸商行</t>
  </si>
  <si>
    <t>[Revert by 18 Sep] RFI on VA name screening- Liu Fei (GLOBAL E-PAYMENT LIMITED)</t>
  </si>
  <si>
    <t>Case ID 3859867 RFI Inquiry 18.09.2025 for Ting Chen Merchant name Chen Ting assigned to VIBAN VIR0054390083 IBAN DK8689000054390083</t>
  </si>
  <si>
    <t>5181230513000075498</t>
  </si>
  <si>
    <t>候马超/</t>
  </si>
  <si>
    <t>RE: KYC Request BC#1858439</t>
  </si>
  <si>
    <t>5181250424040875978</t>
  </si>
  <si>
    <t>深圳市智博星科技有限公司</t>
  </si>
  <si>
    <t>Case ID 3860190 RFI Inquiry 18.09.2025 for Qing Wang Merchant name Wang Qing assigned to VIBAN VIR0053433759 IBAN DK1689000053433759</t>
  </si>
  <si>
    <t>5181250804045865738</t>
  </si>
  <si>
    <t>王庆</t>
  </si>
  <si>
    <t>[QBC] Please update the merchant information 2025.7</t>
  </si>
  <si>
    <t>5181240715015807078</t>
  </si>
  <si>
    <t>项城市昕锐商贸有限公司</t>
  </si>
  <si>
    <t>5181240622010615008</t>
  </si>
  <si>
    <t>武汉市欧乐装饰有限责任公司</t>
  </si>
  <si>
    <t>5181250612043299798</t>
  </si>
  <si>
    <t>合肥市文达妍瑞电子商务有限公司</t>
  </si>
  <si>
    <t>5181250612043259668</t>
  </si>
  <si>
    <t>合肥市远行时代电子商务有限公司</t>
  </si>
  <si>
    <t>5181250709044633358</t>
  </si>
  <si>
    <t>上海晴筑里电子商务有限公司</t>
  </si>
  <si>
    <t>Customer Notified VA and KYC Request</t>
  </si>
  <si>
    <t>5181250311038806068</t>
  </si>
  <si>
    <t>阜阳麟梦电子科技有限公司</t>
  </si>
  <si>
    <t>吴铠玘/杭州海云智业网络科技有限公司</t>
  </si>
  <si>
    <t>账户持有人联系GME说身份信息被盗用</t>
  </si>
  <si>
    <t>[Revert by 2-Oct]RFI on VA name screening - Zhang Kai (GLOBAL E-PAYMENT LIMITED)</t>
  </si>
  <si>
    <t>5181250905047387658</t>
  </si>
  <si>
    <t>张凯</t>
  </si>
  <si>
    <t>林劲/</t>
  </si>
  <si>
    <t>[Revert by 09 Oct RFI on VA name screening -chen wei (GLOBAL E-PAYMENT LIMITED)</t>
  </si>
  <si>
    <t>5181220425001422348</t>
  </si>
  <si>
    <t>陈伟</t>
  </si>
  <si>
    <t>[Revert by 10 Oct RFI on VA name screening - Liu Yang(GLOBAL E-PAYMENT LIMITED)</t>
  </si>
  <si>
    <t>5181250909047691948</t>
  </si>
  <si>
    <t>[Revert by 10 Oct ] RFI on VA name screening -Chen Qihong (GLOBAL E-PAYMENT LIMITED)</t>
  </si>
  <si>
    <t>5181250908047591638</t>
  </si>
  <si>
    <t>陈启洪</t>
  </si>
  <si>
    <t>[Revert by 10-Oct ] RFI on VA name screening- Chen Lei (GLOBAL E-PAYMENT LIMITED)</t>
  </si>
  <si>
    <t>5181250910047760338</t>
  </si>
  <si>
    <t>陈雷</t>
  </si>
  <si>
    <t>[Revert by 10 Oct ] RFI on VA name screening -Chen Miao (GLOBAL E-PAYMENT LIMITED)</t>
  </si>
  <si>
    <t>5181250910047762158</t>
  </si>
  <si>
    <t>陈淼</t>
  </si>
  <si>
    <t>[Revert by 13-Oct] RFI on VA name screening - Wu Wei (GLOBAL E-PAYMENT LIMITED)</t>
  </si>
  <si>
    <t>5181250912047996528</t>
  </si>
  <si>
    <t>吴微</t>
  </si>
  <si>
    <t>[Revert by 16-Oct] RFI on VA name screening - YAN WEI (GLOBAL E-PAYMENT LIMITED)</t>
  </si>
  <si>
    <t>[Revert by 20-Oct ] RFI on VA name screening- LI LEI GLOBAL E-PAYMENT LIMITED)</t>
  </si>
  <si>
    <t>蒋春涛/孙双方</t>
  </si>
  <si>
    <t>Case ID 3993233 RFI Inquiry 16.10.2025 for Dong Zhao Merchant name Zhao Dong assigned to VIBAN VIR0052912865 IBAN DK2789000052912865</t>
  </si>
  <si>
    <t>5181241115035469558</t>
  </si>
  <si>
    <t>赵栋</t>
  </si>
  <si>
    <t>[Revert by 7 Nov ] RFI on VA name screening -Li Yang (GLOBAL E-PAYMENT LIMITED)</t>
  </si>
  <si>
    <t>5181220319001096118</t>
  </si>
  <si>
    <t>李杨</t>
  </si>
  <si>
    <t>Case ID 4128157 RFI Inquiry 06.11.2025 for Ying Wang Merchant name CRTY TRADING LIMITED assigned to VIBAN VIR0027876765 IBAN DK6089000027876765</t>
  </si>
  <si>
    <t>5181251024050244068</t>
  </si>
  <si>
    <t>CRTY TRADING LIMITED</t>
  </si>
  <si>
    <t>[Revert by 10-Nov] RFI on VA name screening - ZHANG PENG (GLOBAL E-PAYMENT LIMITED)</t>
  </si>
  <si>
    <t>Global E-payment Limited KYC - Yuetong Trading (Zhanjiang) Co., Ltd.</t>
  </si>
  <si>
    <t xml:space="preserve">5181251104050932238 </t>
  </si>
  <si>
    <t>越通贸易（湛江）有限公司</t>
  </si>
  <si>
    <t>材料无法提供，已暂停开户</t>
  </si>
  <si>
    <t>[QBC] Please update the merchant information 2025.10</t>
  </si>
  <si>
    <t>(For Your Action) RFI on VA name screening shen xin (GLOBAL E-PAYMENT LIMITED)</t>
  </si>
  <si>
    <t>5181220130000773888</t>
  </si>
  <si>
    <t>沈新</t>
  </si>
  <si>
    <t>(For Your Action) RFI on VA name screening - XINYUAN INTERNATIONAL COMPANY (GLOBAL E-PAYMENT LIMITED)</t>
  </si>
  <si>
    <t>5181251106051091118</t>
  </si>
  <si>
    <t>鑫源國際公司</t>
  </si>
  <si>
    <t>[Revert by 10-Dec] RFI on VA name screening -CHEN AI XIA (GLOBAL E-PAYMENT LIMITED)</t>
  </si>
  <si>
    <t>5181240108001699348</t>
  </si>
  <si>
    <t>陈爱霞</t>
  </si>
  <si>
    <t>[Immediate Action required] [Revert by 11-Dec] RFI on SANCTION VA name screening-Standard-USD (GLOBAL E-PAYMENT LIMITED)</t>
  </si>
  <si>
    <t>5181251205052840548</t>
  </si>
  <si>
    <t>金浣熊貿易有限公司</t>
  </si>
  <si>
    <t>吕鹏/Pooltech Limited</t>
  </si>
  <si>
    <t>VA名不符，拒绝开户</t>
  </si>
  <si>
    <t>[Immediate Action required] [Revert by 11-Dec] VA name screening-DBS-USD (GLOBAL E-PAYMENT LIMITED)</t>
  </si>
  <si>
    <t>5181251208053177668</t>
  </si>
  <si>
    <t>香港宥昕科技有限公司</t>
  </si>
  <si>
    <t>Re: Mdaq Vietnam Onboarding - Yuetong Trading (Zhanjiang) Co., Ltd.</t>
  </si>
  <si>
    <t>[Immediate Action required] [Revert by 16-Dec] RFI on VA name screening-DBS-USD; DBS-USD(sub) (GLOBAL E-PAYMENT LIMITED)</t>
  </si>
  <si>
    <t>multiple</t>
  </si>
  <si>
    <t>[Revert by 18-DEC] RFI on VA name screening -Yang Sheng (GLOBAL E-PAYMENT LIMITED)</t>
  </si>
  <si>
    <t>5181251117051818438</t>
  </si>
  <si>
    <t>杨晟</t>
  </si>
  <si>
    <t>娄正才/</t>
  </si>
  <si>
    <t>[Revert by 19-DEC] RFI on VA name screening -Chen Bo (GLOBAL E-PAYMENT LIMITED)</t>
  </si>
  <si>
    <t>5181241008031070348</t>
  </si>
  <si>
    <t>陈波</t>
  </si>
  <si>
    <t>唐承斐/</t>
  </si>
  <si>
    <t>反馈无需开户</t>
  </si>
  <si>
    <t>[For Your Action] RFI on VA name screening -LI LIANG (GLOBAL E-PAYMENT LIMITED)</t>
  </si>
  <si>
    <t>谭先婷/</t>
  </si>
  <si>
    <t>[Revert by 07 Jan] RFI on VA name screening -WANG JIE (GLOBAL E-PAYMENT LIMITED)</t>
  </si>
  <si>
    <t>5181251205052864098</t>
  </si>
  <si>
    <t>王洁</t>
  </si>
  <si>
    <t>邹粤淡/</t>
  </si>
  <si>
    <t>[Revert by 8-JAN] RFI on VA name screening -Chen Hui (GLOBAL E-PAYMENT LIMITED)</t>
  </si>
  <si>
    <t>GEP风控拒绝</t>
  </si>
  <si>
    <t>5181251205052849378</t>
  </si>
  <si>
    <t>陈辉</t>
  </si>
  <si>
    <t>New Onboarding Case - Global E-payment Limited - DONG GUAN SHI LANG MING YU KE JI CO., LTD, [TM-95282-ON]</t>
  </si>
  <si>
    <t>5181240614006192178</t>
  </si>
  <si>
    <t>佛山市楚志商科技有限公司</t>
  </si>
  <si>
    <t>[Revert by 14-Jan] RFI on VA name screening - LIU CHAO (GLOBAL E-PAYMENT LIMITED)</t>
  </si>
  <si>
    <t>朱昌/刘超</t>
  </si>
  <si>
    <t>[Revert by 16-JAN ] RFI on VA name screening -ZHANG JIANFENG (GLOBAL E-PAYMENT LIMITED)</t>
  </si>
  <si>
    <t>5181251216053748058</t>
  </si>
  <si>
    <t>张剑峰</t>
  </si>
  <si>
    <t>[Revert by 16-JAN ] RFI on VA name screening -Chen Hui (GLOBAL E-PAYMENT LIMITED)</t>
  </si>
  <si>
    <t>[Revert by 19-JAN] RFI on VA name screening -CHEN WEI (GLOBAL E-PAYMENT LIMITED)</t>
  </si>
  <si>
    <t>鲁志祥/</t>
  </si>
  <si>
    <t>朱昌/</t>
  </si>
  <si>
    <t>GEP - BUYPOP (HONG KONG) LIMITED</t>
  </si>
  <si>
    <t>5181240513003375798</t>
  </si>
  <si>
    <t>BUYPOP (HONG KONG) LIMITED</t>
  </si>
  <si>
    <t>January 2026 QC review list</t>
  </si>
  <si>
    <t>8530008848
8922501375</t>
  </si>
  <si>
    <t>5181260126055708948
5181260122055514808</t>
  </si>
  <si>
    <t>陈侨羽
香港米客貿易有限公司</t>
  </si>
  <si>
    <t>潘成发
黄聪</t>
  </si>
  <si>
    <t>Case ID 4811957 RFI Inquiry 10.02.2026 for Yu Zhou Merchant name Zhou Yu assigned to VIBAN VIR0045817993 IBAN DK5489000045817993</t>
  </si>
  <si>
    <t>5181241012031890288</t>
  </si>
  <si>
    <t>周雨</t>
  </si>
  <si>
    <t>张荣/</t>
  </si>
  <si>
    <t>[Revert by 12-Feb] RFI on VA name screening - ZHANG YING (GLOBAL E-PAYMENT LIMITED)</t>
  </si>
  <si>
    <t>5181260104054597798</t>
  </si>
  <si>
    <t>张颖</t>
  </si>
  <si>
    <t>谭先婷/重庆云捷汇电子商务有限公司</t>
  </si>
  <si>
    <t>不配合调单</t>
  </si>
  <si>
    <t>[Revert by 12 Feb] RFI on VA name screening -WANG CHAO (GLOBAL E-PAYMENT LIMITED)</t>
  </si>
  <si>
    <t>5181241130036157938</t>
  </si>
  <si>
    <t>王超</t>
  </si>
  <si>
    <t>曾茁/</t>
  </si>
  <si>
    <t>[Revert by 12-FEB] RFI on VA name screening -SONG YANG (GLOBAL E-PAYMENT LIMITED)</t>
  </si>
  <si>
    <t>5181200908000042608</t>
  </si>
  <si>
    <t>杨玉婷/代理商公共体验账户</t>
  </si>
  <si>
    <t>宋洋</t>
  </si>
  <si>
    <t>[Revert by 13 Feb] RFI on VA name screening -chen wei (GLOBAL E-PAYMENT LIMITED)</t>
  </si>
  <si>
    <t>5181230209003113098</t>
  </si>
  <si>
    <t>陈维</t>
  </si>
  <si>
    <t>[Revert by 13 Feb] RFI on VA name screening -Li Hui (GLOBAL E-PAYMENT LIMITED)</t>
  </si>
  <si>
    <t>5181251110051303218</t>
  </si>
  <si>
    <t>李辉</t>
  </si>
  <si>
    <t>陈志霆/</t>
  </si>
  <si>
    <t>[Revert by 16-FEB] RFI on VA name screening -wang qian (GLOBAL E-PAYMENT LIMITED)</t>
  </si>
  <si>
    <t>5181211108000397528</t>
  </si>
  <si>
    <t>王倩</t>
  </si>
  <si>
    <t>Case ID 4868931 RFI Inquiry 19/02/2026 for Dong Zhao Merchant name Dong Zhao assigned to VIBAN VIR0045740376 IBAN DK2889000045740376</t>
  </si>
  <si>
    <t>[Revert by 23-FEB] RFI on VA name screening -wang qian (GLOBAL E-PAYMENT LIMITED)</t>
  </si>
  <si>
    <t>[PingPong Currentz] Request for information - ID: 202602241012215481893</t>
  </si>
  <si>
    <t>5181220224000884968</t>
  </si>
  <si>
    <t>余锦阳</t>
  </si>
  <si>
    <t>[Revert by 26-FEB] RFI on VA name screening -Wang Lei (GLOBAL E-PAYMENT LIMITED)</t>
  </si>
  <si>
    <t>5181260126055726348</t>
  </si>
  <si>
    <t>王雷</t>
  </si>
  <si>
    <t>【KYC材料补充】8522208021342411007</t>
  </si>
  <si>
    <t>[Revert by 6-MAR] RFI on VA Name Screening- WANG KAI (GLOBAL E-PAYMENT LIMITED)</t>
  </si>
  <si>
    <t>5181260213056376868</t>
  </si>
  <si>
    <t>王凯</t>
  </si>
  <si>
    <t>张紫玉/</t>
  </si>
  <si>
    <t>New Onboarding Case - Global E-payment Limited - FU ZHOU TAI JIANG QU YE ZHI SHANG MAO CO., LTD</t>
  </si>
  <si>
    <t>5181240528003521988</t>
  </si>
  <si>
    <t>福州台江区野智商贸有限公司</t>
  </si>
  <si>
    <t>February 2026 QC review list</t>
  </si>
  <si>
    <t>5181221011002601968
5181260211056334358</t>
  </si>
  <si>
    <t>周培鑫
IMPORTR.XYZ COMPANY LIMITED</t>
  </si>
  <si>
    <t>候马超
李坤严</t>
  </si>
  <si>
    <t>[Revert by 12-MAR] RFI on VA name screening -Dong Zhiming (GLOBAL E-PAYMENT LIMITED )</t>
  </si>
  <si>
    <t>5181260206056190118</t>
  </si>
  <si>
    <t>董志明</t>
  </si>
  <si>
    <t>[Revert by 20-Mar] RFI on VA name screening -liu jia hao (GLOBAL E-PAYMENT LIMITED)</t>
  </si>
  <si>
    <t>5181220408001283658</t>
  </si>
  <si>
    <t>刘佳浩</t>
  </si>
  <si>
    <t>Case ID 5044853 RFI Inquiry 19.03.2026 for Wei Zheng Merchant name Zheng Wei assigned to VIBAN VIR0053421697 IBAN DK6189000053421697</t>
  </si>
  <si>
    <t>5181260316057991158</t>
  </si>
  <si>
    <t>郑炜</t>
  </si>
  <si>
    <t>VA name screening - He Bo (GLOBAL E-PAYMENT LIMITED)</t>
  </si>
  <si>
    <t>5181260331059259998</t>
  </si>
  <si>
    <t>何波</t>
  </si>
  <si>
    <t>Ongoing Monitoring - GMEE BIO-TECHNOLOGY LIMITED</t>
  </si>
  <si>
    <t>5181231113001183258</t>
  </si>
  <si>
    <t>香港璣蜜生物科技服務有限公司</t>
  </si>
  <si>
    <t>王伊丽</t>
  </si>
  <si>
    <t>[Revert by 8-APR] RFI on VA name screening -Li Jie (GLOBAL E-PAYMENT LIMITED)</t>
  </si>
  <si>
    <t>5181260227056729508</t>
  </si>
  <si>
    <t>李杰</t>
  </si>
  <si>
    <t>无法联系上商户，已与销售沟通注销该VA</t>
  </si>
  <si>
    <t>【PINGPONG】账户调单材料补充 -M202309111802418451</t>
  </si>
  <si>
    <t>5181230908000738818</t>
  </si>
  <si>
    <t>萍乡鑫步贸易有限公司</t>
  </si>
  <si>
    <t>[Revert by 10-APR] RFI on VA name screening -Wu Xiaodong (GLOBAL E-PAYMENT LIMITED)</t>
  </si>
  <si>
    <t>5181260313057794318</t>
  </si>
  <si>
    <t>吴晓东</t>
  </si>
  <si>
    <t>[Revert by 16-APR] RFI on VA name screening -jiang xue (GLOBAL E-PAYMENT LIMITED)</t>
  </si>
  <si>
    <t>5181230611000245438</t>
  </si>
  <si>
    <t>姜雪</t>
  </si>
  <si>
    <t>Revert by 17-Apr] RFI on VA name screening - Wang Lin (GLOBAL E-PAYMENT LIMITED)</t>
  </si>
  <si>
    <t>5181260325058661038</t>
  </si>
  <si>
    <t>王琳</t>
  </si>
  <si>
    <t xml:space="preserve">[Revert by 17-Apr] RFI on VA name screening - Wu Jie (GLOBAL E-PAYMENT LIMITED) </t>
  </si>
  <si>
    <t>5181260329059041648</t>
  </si>
  <si>
    <t>吴婕</t>
  </si>
  <si>
    <t>Sentbe</t>
  </si>
  <si>
    <t>[Sentbe KRW Collections] Request for additional documentation for the onboarding of KALONG LOGISTICS AND TRADING LIMITED</t>
  </si>
  <si>
    <t>@Norman(赵文奇)</t>
  </si>
  <si>
    <t>[Revert by 21-APR] RFI on VA name screening - Li Jianming (GLOBAL E-PAYMENT LIMITED)</t>
  </si>
  <si>
    <t>5181251105051036538</t>
  </si>
  <si>
    <t>黎健明</t>
  </si>
  <si>
    <t>Case ID 5255066 RFI Inquiry 17/04/2026 for Zhi Chen Merchant name PU TIAN LI CHENG CHUANG YI DA BAI H assigned to VIBAN VIR0053786076 IBAN DK5389000053786076</t>
  </si>
  <si>
    <t>5181250901047034958</t>
  </si>
  <si>
    <t>莆田荔城创逸达百货店（个体工商户）</t>
  </si>
  <si>
    <t>CASE ID 5251344 - RFI INQUIRY 17/04/2026 for Zheng Jian Merchant name Zheng Jian assigned to VIBAN VIR0047323426 IBAN DK4989000047323426</t>
  </si>
  <si>
    <t>5181260413060471218</t>
  </si>
  <si>
    <t>郑建</t>
  </si>
  <si>
    <t xml:space="preserve">[Revert by 30-Apr] RFI on VA name screening - LI YANG (GLOBAL E-PAYMENT LIMITED) </t>
  </si>
  <si>
    <t>Additional Information Request – Alerts – RT5110000541 – VIS NATURALIS INTERNATIONAL GROUP (ASIA) LIMITED/ZHANGCHAO – PWQFVMWKBZSU | 965016</t>
  </si>
  <si>
    <t>5181241025033620258</t>
  </si>
  <si>
    <t>宇信數碼有限公司</t>
  </si>
  <si>
    <t>2604301132100016967</t>
  </si>
  <si>
    <t>Payment on hold - Wang Bangsheng - T20512520</t>
  </si>
  <si>
    <t>5181260207056213258</t>
  </si>
  <si>
    <t>王邦胜</t>
  </si>
  <si>
    <t xml:space="preserve">[Revert by 11-May] RFI on VA name screening - Liu Jie (GLOBAL E-PAYMENT LIMITED) </t>
  </si>
  <si>
    <t>5181260427061890798</t>
  </si>
  <si>
    <t>刘杰</t>
  </si>
  <si>
    <t>Case ID 5351954 RFI Inquiry 07/05/2026 for Cheng Li Merchant name Cheng Li assigned to VIBAN VIR0027878545 IBAN DK1589000027878545</t>
  </si>
  <si>
    <t>5181260410060167518</t>
  </si>
  <si>
    <t>香港鴻翼網絡科技有限公司</t>
  </si>
  <si>
    <t>Revert by 9 May] RFI on VA name screening -JAIN TRADING CO., LIMITED(GLOBAL E-PAYMENT LIMITED)</t>
  </si>
  <si>
    <t>5181240625011364878</t>
  </si>
  <si>
    <t>JAIN TRADING CO., LIMITED</t>
  </si>
  <si>
    <t>Revert by 13-MAY] RFI on VA name screening - LI JIE (GLOBAL E-PAYMENT LIMITED)</t>
  </si>
  <si>
    <t>5181250817046397328</t>
  </si>
  <si>
    <t>Case ID 5393755 RFI Inquiry 13/05/2026 for Dongdong Zhao Merchant name ULTIMATE GY TECHNOLOGY LIMITED assigned to VIBAN VIR0029346841 IBAN DK2089000029346841</t>
  </si>
  <si>
    <t>5181251027050445138</t>
  </si>
  <si>
    <t>冠躍跨境科技有限公司</t>
  </si>
  <si>
    <t>[Revert by 19-MAY] RFI on VA name screening -Hao Chen (GLOBAL E-PAYMENT LIMITED)</t>
  </si>
  <si>
    <t>梁紫薇/</t>
  </si>
  <si>
    <t>RE: [QBC] Please update the merchant information 2026.04</t>
  </si>
  <si>
    <t>5181220601001735468</t>
  </si>
  <si>
    <t>林花</t>
  </si>
  <si>
    <t>5181250423040842638</t>
  </si>
  <si>
    <t>陈秋玉</t>
  </si>
  <si>
    <t>5181251215053722958</t>
  </si>
  <si>
    <t>阚炳辉</t>
  </si>
  <si>
    <t>5181250721045112018</t>
  </si>
  <si>
    <t>谭汉宇</t>
  </si>
  <si>
    <t>5181250820046541138</t>
  </si>
  <si>
    <t>当阳市费布设计馆（个人独资）</t>
  </si>
  <si>
    <t>5181220330001205058</t>
  </si>
  <si>
    <t>林清峰</t>
  </si>
  <si>
    <t>5181240927029452788</t>
  </si>
  <si>
    <t>禾揚實業有限公司</t>
  </si>
  <si>
    <t>5181220226000900998</t>
  </si>
  <si>
    <t>陈杰</t>
  </si>
  <si>
    <t>5181251023050161508</t>
  </si>
  <si>
    <t>皇甫振宇</t>
  </si>
  <si>
    <t>5181250420040653828</t>
  </si>
  <si>
    <t>重庆水木他途商贸有限公司</t>
  </si>
  <si>
    <t>Case ID 5442726 RFI Inquiry 26/05/2026 for ZHEN LI Merchant name ZHEN LI assigned to VIBAN VIR0029372121 IBAN DK4989000029372121</t>
  </si>
  <si>
    <t>5181240329002869378</t>
  </si>
  <si>
    <t>李珍</t>
  </si>
  <si>
    <t>【PINGPONG】账户调单材料补充 -M2024012318021011373</t>
  </si>
  <si>
    <t>5181240104001653638</t>
  </si>
  <si>
    <t>ESA RVLT LIMITED</t>
  </si>
  <si>
    <t>Case ID 5466808 RFI Inquiry 28/05/2026 for Kang Su Merchant name Kang Su assigned to VIBAN VIR0029372230 IBAN DK1689000029372230</t>
  </si>
  <si>
    <t>5181260509063172268</t>
  </si>
  <si>
    <t>苏康</t>
  </si>
  <si>
    <t>YM20260526</t>
  </si>
  <si>
    <t>5181251228054369378</t>
  </si>
  <si>
    <t>CHINGTIEN LIMITED</t>
  </si>
  <si>
    <t>命中IBC黑名单</t>
  </si>
  <si>
    <t>5181260521066064108</t>
  </si>
  <si>
    <t>TANGSHAN STEEL LTD</t>
  </si>
  <si>
    <t>[Revert by 2-Jun ] RFI on VA name screening -Wang Zhigang (GLOBAL E-PAYMENT LIMITED)</t>
  </si>
  <si>
    <t>5181260502062439178</t>
  </si>
  <si>
    <t>王志刚</t>
  </si>
  <si>
    <t>周邢</t>
  </si>
  <si>
    <t>[Revert by 05-Jun] RFI on VA name screening – ILA INTERNATIONAL TRADING CO LTD (GLOBAL E-PAYMENT LIMITED)</t>
  </si>
  <si>
    <t>5181260506062778868</t>
  </si>
  <si>
    <t>智联国际贸易有限公司</t>
  </si>
  <si>
    <t>[Revert by 12-Jun] DBS Virtual Account KYC Data Quality Sample Check - GLOBAL E-PAYMENT LIMITED, 5259859</t>
  </si>
  <si>
    <t>5181240904024928698</t>
  </si>
  <si>
    <t xml:space="preserve">柯珊龙 </t>
  </si>
  <si>
    <t>5181260603069686458</t>
  </si>
  <si>
    <t>周雅杰</t>
  </si>
  <si>
    <t>5181260602069178718</t>
  </si>
  <si>
    <t>刘旭博</t>
  </si>
  <si>
    <t>5181260106054708958</t>
  </si>
  <si>
    <t>范佳</t>
  </si>
  <si>
    <t>5181260604069925208</t>
  </si>
  <si>
    <t>靠譜貿易有限公司</t>
  </si>
  <si>
    <t>5181260604069997678</t>
  </si>
  <si>
    <t>广州高塔廣告傳媒有限公司</t>
  </si>
  <si>
    <t>5181260513063617388</t>
  </si>
  <si>
    <t>莆田市荔城区莱思郁贸易有限公司</t>
  </si>
  <si>
    <t>5181260604070021908</t>
  </si>
  <si>
    <t>安途科技有限公司</t>
  </si>
  <si>
    <t>5181260605070145148</t>
  </si>
  <si>
    <t>SCALEE HK TECHNOLOGY CO., LIMITED</t>
  </si>
  <si>
    <t>5181260409060014188</t>
  </si>
  <si>
    <t>Manchester United Trading Limited</t>
  </si>
  <si>
    <t>[Revert by 9-Jun] RFI on VA name screening - Hu Jiamin (GLOBAL E-PAYMENT LIMITED)</t>
  </si>
  <si>
    <t>5181260413060512928</t>
  </si>
  <si>
    <t>胡嘉敏</t>
  </si>
  <si>
    <t>商户配合意愿低，关户</t>
  </si>
  <si>
    <t>[Revert by 23-Jun] RFI on VA name screening -CHEN CHAO (GLOBAL E-PAYMENT LIMITED)• A copy of passport/ID card</t>
  </si>
  <si>
    <t>具体业务背景</t>
  </si>
  <si>
    <t>交易类型</t>
  </si>
  <si>
    <t>交易状态</t>
  </si>
  <si>
    <t>备注1 回复日期</t>
  </si>
  <si>
    <t>汇款方</t>
  </si>
  <si>
    <t>收款方</t>
  </si>
  <si>
    <t>金额</t>
  </si>
  <si>
    <t>备注2</t>
  </si>
  <si>
    <t>聊单</t>
  </si>
  <si>
    <t>入账</t>
  </si>
  <si>
    <t>未到账</t>
  </si>
  <si>
    <t>RFI Inquiry 05/11/2024 for Hanna Transaction No P000001279475795</t>
  </si>
  <si>
    <t>Abdulwaris Momand</t>
  </si>
  <si>
    <t>PENG YOU CO., LTD</t>
  </si>
  <si>
    <t>已到账</t>
  </si>
  <si>
    <t>RFI Inquiry 23/10/2024 for Mohammad Hosaini Transaction No P000001260203594</t>
  </si>
  <si>
    <t>RFI Inquiry 10.11.2024 for Abdul malik + P000001286042711</t>
  </si>
  <si>
    <t>Wallapop</t>
  </si>
  <si>
    <t>Request for information 13/11/24 BC:042300010</t>
  </si>
  <si>
    <t>Mangopay</t>
  </si>
  <si>
    <t>RFI Inquiry 16.11.2024 for AKHTAR M + P000001296237733</t>
  </si>
  <si>
    <t>AKHTAR M</t>
  </si>
  <si>
    <t>sajeel</t>
  </si>
  <si>
    <t>Shopify(欧元)</t>
  </si>
  <si>
    <t>RFI Inquiry - NEW STYL - P000001300600652</t>
  </si>
  <si>
    <t>5181240531003571028</t>
  </si>
  <si>
    <t>PayPal Europe S.a.r.l. et Cie S.C.A</t>
  </si>
  <si>
    <t>波兰本土店shopline</t>
  </si>
  <si>
    <t>RFI Inquiry 21.11.2024 for WILLIAM PHILLIPS 8260541500004714</t>
  </si>
  <si>
    <t>5181240129001932758</t>
  </si>
  <si>
    <t>PAYPAL PTE LTD</t>
  </si>
  <si>
    <t>机构客户</t>
  </si>
  <si>
    <t>出款</t>
  </si>
  <si>
    <t>OREF723424140982</t>
  </si>
  <si>
    <t>5181230423003486608</t>
  </si>
  <si>
    <t>GLOBAL E-PAYMENT LIMITED</t>
  </si>
  <si>
    <t>OBELUS TECHNOLOGY PTY LTD</t>
  </si>
  <si>
    <t>同名提现</t>
  </si>
  <si>
    <t>主播佣金</t>
  </si>
  <si>
    <t>Aikah Atikah Enterprise</t>
  </si>
  <si>
    <t>VND</t>
  </si>
  <si>
    <t>璣蜜后台KOL结算</t>
  </si>
  <si>
    <t>OREF723424147005</t>
  </si>
  <si>
    <t>Amazon电商</t>
  </si>
  <si>
    <t>5181240218002070698</t>
  </si>
  <si>
    <t>莱因美（上海）电子商务有限公司</t>
  </si>
  <si>
    <t>CHONGCHAO ZHAO</t>
  </si>
  <si>
    <t>付款给个人</t>
  </si>
  <si>
    <t>广告</t>
  </si>
  <si>
    <t>&lt;suspend VA+MSO Investigation Report&gt;GLOBAL E-PAYMENT LIMITED (CIF 5259859)</t>
  </si>
  <si>
    <t>5181230926000870538</t>
  </si>
  <si>
    <t>WORLD FIRST ASIA LT</t>
  </si>
  <si>
    <t>勝隆林贸易有限公司</t>
  </si>
  <si>
    <t>万里汇</t>
  </si>
  <si>
    <t>RFI Inquiry 18/12/2024 MUSTAFA M Transaction No P000001351802611</t>
  </si>
  <si>
    <t>5181241204036266418</t>
  </si>
  <si>
    <t>MUSTAFA M</t>
  </si>
  <si>
    <t>YILIN TECHNOLOGI L</t>
  </si>
  <si>
    <t>PZ PRINTESA SERVICES</t>
  </si>
  <si>
    <t>服装配饰</t>
  </si>
  <si>
    <t>RE: [External] Re: For your action -WINGS SEA LIMITED (GLOBAL E-PAYMENT LIMITED)</t>
  </si>
  <si>
    <t>无需处理</t>
  </si>
  <si>
    <t>5181240104001654598</t>
  </si>
  <si>
    <t>WINGS SEA LIMITED/748018499598</t>
  </si>
  <si>
    <t>飛酷科技（香港）有限公司</t>
  </si>
  <si>
    <t>CNH</t>
  </si>
  <si>
    <t>怀疑银行搞错交易，追问的材料并非我们提供的。回复银行确认中。历史入账追问2410140935047618528，2410231825049827553</t>
  </si>
  <si>
    <t>金属及矿石</t>
  </si>
  <si>
    <t>运营内部通知，DBS交易拒绝</t>
  </si>
  <si>
    <t>5181240820022149748</t>
  </si>
  <si>
    <t>广州阿哈玛扎国际贸易有限公司</t>
  </si>
  <si>
    <t>PANEL HASHALOM LTD</t>
  </si>
  <si>
    <t>运营反馈待入账交易被DBS退回。疑似收款人名称填写有误“UNTERNATIONAL”。付款人PANEL HASHALOM LTD名单未命中，未见负面舆情。//2501060250//RJCT/MS03_NotSpecifiedReasonAgentGenerated//DHBKHKHH//USD7510,//USD7550,//250102//DTNM/PANEL HASHALOM LTD//CTNM/GUANGZHOU ALHAMZA UNTERNATIONAL TRA//DE CO LTD//CACC/7990003961//CAGB/DHBKHKHHXXX//01/POALILITXXX/SHA/USD0,//241231080218///02/BOFAUS3NXXX/SHA/USD40,//250101023827///03/DHBKHKHHXXX////250106025009/</t>
  </si>
  <si>
    <t>PAYMENT ENQUIRY  REF 1513OT8767142  REMITTER: GLOBAL E-PAYMENT LIMITED</t>
  </si>
  <si>
    <t>5181230602000191708</t>
  </si>
  <si>
    <t>HIPAYX LIMITED</t>
  </si>
  <si>
    <t>ZHE JIANG CAL IMP AND EXP CO.,LTD</t>
  </si>
  <si>
    <t>问最终汇款方，内部转账；客户无法还原资金链路</t>
  </si>
  <si>
    <t>5181240321002716418</t>
  </si>
  <si>
    <t>鄂州市泰浩诚科技有限公司</t>
  </si>
  <si>
    <t>Tewang Limited</t>
  </si>
  <si>
    <t>【渠道调单】5181240321002716418-鄂州市泰浩诚科技有限公司</t>
  </si>
  <si>
    <t>202501131637400901927</t>
  </si>
  <si>
    <t>5181230914000790778</t>
  </si>
  <si>
    <t>Ingenieurbüro CAT, M. Zipperer GmbH</t>
  </si>
  <si>
    <t>义乌市佰亚电子商务商行</t>
  </si>
  <si>
    <t>公司英文名称与中文名称差距过大</t>
  </si>
  <si>
    <t>汽车配件</t>
  </si>
  <si>
    <t>For your action -GLOBAL E-PAYMENT LIMITED 800.00 EUR</t>
  </si>
  <si>
    <t>5181230808000579478</t>
  </si>
  <si>
    <t>YANG LIU</t>
  </si>
  <si>
    <t>HONG KONG HARMONY CENTURY INDUSTRY</t>
  </si>
  <si>
    <t>vinted</t>
  </si>
  <si>
    <t>RFI Inquiry 22/01/2025 for Inform Inform 5201033000002833</t>
  </si>
  <si>
    <t>5181240226002167928</t>
  </si>
  <si>
    <t>韩海锋</t>
  </si>
  <si>
    <t>RFI Inquiry 22/01/2025 SAD SAD SADAD Transaction No 5201033000003991</t>
  </si>
  <si>
    <t>5181221216002989948</t>
  </si>
  <si>
    <t>谢峰峰</t>
  </si>
  <si>
    <t>业务无法与客户建联，已退回资金</t>
  </si>
  <si>
    <t>For your action - GLOBAL E-PAYMENT LIMITED 127467.87 USD</t>
  </si>
  <si>
    <t>5181241017032522008</t>
  </si>
  <si>
    <t>ENERGY INDUSTRIAL COMPANY LLC</t>
  </si>
  <si>
    <t>ZEBRA NEW MATERIAL LIMITED</t>
  </si>
  <si>
    <t>留学</t>
  </si>
  <si>
    <t>For your action - GLOBAL E-PAYMENT LIMITED 1020 GBP</t>
  </si>
  <si>
    <t>5181210412000080948</t>
  </si>
  <si>
    <t>上海驰安汇信息科技有限公司</t>
  </si>
  <si>
    <t>FLYWIRE PAYMENTS CORPORATION</t>
  </si>
  <si>
    <t>李源,陈一涵</t>
  </si>
  <si>
    <t>RFI Inquiry 24/01/2025 ghgd Transaction No 5221014000001159</t>
  </si>
  <si>
    <t>5181250121037425678</t>
  </si>
  <si>
    <t>gh ghgd hfg dhdf d</t>
  </si>
  <si>
    <t>vt资金，客户要求退回</t>
  </si>
  <si>
    <t>Leboncoin(欧元)</t>
  </si>
  <si>
    <t>RFI Inquiry 29/01/2025 for Gran GranP000001406647644</t>
  </si>
  <si>
    <t>5181240823022700188</t>
  </si>
  <si>
    <t>Gran Gran</t>
  </si>
  <si>
    <t>莆田市荔城区卓锐玩具商行</t>
  </si>
  <si>
    <t>RFI Inquiry 27/01/2025 for P000001369452423 Yiwu Landi Trading Co Ltd</t>
  </si>
  <si>
    <t>5181241115035456198</t>
  </si>
  <si>
    <t>SOLUTION SRL</t>
  </si>
  <si>
    <t>Yiwu Landi Trading Co Ltd</t>
  </si>
  <si>
    <t>For your action - GLOBAL E-PAYMENT LIMITED 10,520.00 GBP</t>
  </si>
  <si>
    <t>文教体用品</t>
  </si>
  <si>
    <t>For your action - GLOBAL E-PAYMENT LIMITED 1325.02 USD</t>
  </si>
  <si>
    <t>5181240918027512158</t>
  </si>
  <si>
    <t>MOHAMMED ESSHAQ HASSAN</t>
  </si>
  <si>
    <t>Shenzhen Sunluck Supply co</t>
  </si>
  <si>
    <t>For your action - GLOBAL E-PAYMENT LIMITED 2,020.00 GBP</t>
  </si>
  <si>
    <t>&lt;REFNO #15492472&gt; [OTT] CIF #5259859 – GLOBAL E-PAYMENT LIMITED- WLF101-4762601-2013432</t>
  </si>
  <si>
    <t>AUD</t>
  </si>
  <si>
    <t>付款人QI WANG（王奇），付款单号2502051343073680380。误命中</t>
  </si>
  <si>
    <t>RFI Inquiry 11/02/2025 Berger Berger Transaction No P000001420072963</t>
  </si>
  <si>
    <t>LBC France SAS</t>
  </si>
  <si>
    <t>资金退回，注销VA</t>
  </si>
  <si>
    <t>For your action - GLOBAL E-PAYMENT LIMITED 84163.50 USD</t>
  </si>
  <si>
    <t>5181241106034797858</t>
  </si>
  <si>
    <t>P S ENTERPRISE</t>
  </si>
  <si>
    <t>SOLEMAN GROUP CO.,LTD</t>
  </si>
  <si>
    <t>印度买家谈单，由另一个印度公司付款，货发汇款人。暂无风险。
————
追问了汇款人注册证书。</t>
  </si>
  <si>
    <t>家具家电</t>
  </si>
  <si>
    <t>For your action - GLOBAL E-PAYMENT LIMITED 8266.48 USD</t>
  </si>
  <si>
    <t>5181230626000348588</t>
  </si>
  <si>
    <t>R B TRADING</t>
  </si>
  <si>
    <t>GUANGZHOU MEIZHIYUAN DAILY</t>
  </si>
  <si>
    <t>提单PS痕迹严重，无法提供提单正本，要求取消</t>
  </si>
  <si>
    <t>For your action - GLOBAL E-PAYMENT LIMITED  73980.73 USD</t>
  </si>
  <si>
    <t>5181240813021022998</t>
  </si>
  <si>
    <t>PROSUS LOGISTICS LIMITED</t>
  </si>
  <si>
    <t>NINGBO SUN FIRE STAINLESS STEEL CO.,LTD</t>
  </si>
  <si>
    <t>HK帮印度代付，暂无风险。</t>
  </si>
  <si>
    <t>RFI Inquiry 27/02/2025 AT HOME P000001440514793</t>
  </si>
  <si>
    <t>AT HOME</t>
  </si>
  <si>
    <t xml:space="preserve">For your action - GLOBAL E-PAYMENT LIMITED 64875.98 USD
</t>
  </si>
  <si>
    <t>RFI Inquiry 13/02/2025 for AHMED N Transaction No P000001424362642</t>
  </si>
  <si>
    <t>5181250109037174578</t>
  </si>
  <si>
    <t>AHMED N</t>
  </si>
  <si>
    <t>HongKong Supernova Trade Limited</t>
  </si>
  <si>
    <t>RFI Inquiry 06/03/2025 BT HOLDING Transaction No P000001449626016</t>
  </si>
  <si>
    <t>BT HOLDING</t>
  </si>
  <si>
    <t>转发：转发: 对公反洗钱协查OREF72342592848-GLOBAL E-PAYMENT LIMITED，请英文反馈，字体勿全角勿空格，谢谢</t>
  </si>
  <si>
    <t>5181231025001029538</t>
  </si>
  <si>
    <t>香港柏思創電子商務有限公司</t>
  </si>
  <si>
    <t>ROOPA MANGHNANI KISHINCHAND</t>
  </si>
  <si>
    <t>阿联酋出款目前无法走DBS路由，切到了平安FTN，其他非DBS路由渠道无法支持POBO，引发渠道调单。
BD反馈是广告费，实际投放黑五类广告。
——————
追问IBAN，商户不愿配合补充真实资料，已和渠道申请退款</t>
  </si>
  <si>
    <t>RFI Inquiry 11/03/2025 for A Mohammed P000001457273714</t>
  </si>
  <si>
    <t>5181240627011795218</t>
  </si>
  <si>
    <t>A Mohammed</t>
  </si>
  <si>
    <t>香港磐基網絡科技有限公司</t>
  </si>
  <si>
    <t>韩国本土店</t>
  </si>
  <si>
    <t>(1201766413) 2715661 - [Thunes - Global E-Payment Limited] Partner Request for Information - [Thunes Outbound]</t>
  </si>
  <si>
    <t>5181241229036950668</t>
  </si>
  <si>
    <t>新吴区领方贸易商行（个体工商户）</t>
  </si>
  <si>
    <t>liying</t>
  </si>
  <si>
    <t>KRW</t>
  </si>
  <si>
    <t>入账都是KREAM来款，出款多数打款李颖，或出到郑晨典。反馈李颖（山东人）是商户在韩国的代理，从提供的部分谈单看似商户有在得物作为供应商入驻，得物货源大概率是李颖从山东发货到上海仓。</t>
  </si>
  <si>
    <t>(1201674560) 2715661 - [Thunes - Global E-Payment Limited] Partner Request for Information - [Thunes Outbound]</t>
  </si>
  <si>
    <t>5181241122035886258</t>
  </si>
  <si>
    <t>杭州海云智业网络科技有限公司</t>
  </si>
  <si>
    <t>WA Kaiou Comprehensive Wholesale Business Firm</t>
  </si>
  <si>
    <t>入账极大多数都是kream平台来款，出款少量股东个人提现，其余都是出款到同股东关联公司-文安县凯欧综合批发经营部。
————
追问收款人是否有韩国的注册证书，已提供商户XT收款记录+大陆企业营业执照</t>
  </si>
  <si>
    <t>转发：转发: GLOBAL E-PAYMENT LIMITED来报</t>
  </si>
  <si>
    <t>Dankee DMCC</t>
  </si>
  <si>
    <t>收款人账户有误引起调单，商户不愿配合补充资料，已和渠道申请退款</t>
  </si>
  <si>
    <t>For your action - GLOBAL E-PAYMENT LIMITED 1993910.00 cny</t>
  </si>
  <si>
    <t>5181231228001583918</t>
  </si>
  <si>
    <t>NEW PAY CO., LTD</t>
  </si>
  <si>
    <t>Huiyang International Trade Limited</t>
  </si>
  <si>
    <t>CNY</t>
  </si>
  <si>
    <t>Advertising Service</t>
  </si>
  <si>
    <t>独立站 丹麦</t>
  </si>
  <si>
    <t>RFI Inquiry 27/03/2025 for ZHANG LEI P000001477320714</t>
  </si>
  <si>
    <t>ZHANG LEI</t>
  </si>
  <si>
    <t>Marketplace</t>
  </si>
  <si>
    <t>关于商户：5181201209000055348/Kilimall International Limited，挂账平安FTN账户，需要提供相关材料事宜</t>
  </si>
  <si>
    <t>5181201209000055348</t>
  </si>
  <si>
    <t>OKAVA KENYA LTD</t>
  </si>
  <si>
    <t>Kilimall International Limited</t>
  </si>
  <si>
    <t>{Action Required} Global E-Payment Limited 100375367 YSD 79275,00</t>
  </si>
  <si>
    <t>{Action Required} IDW Global E-Payment Limited 2025032800535141 USD 82,006.80</t>
  </si>
  <si>
    <t>5181241212036471868</t>
  </si>
  <si>
    <t>Phoenix Co., Ltd.</t>
  </si>
  <si>
    <t>香港佰世亨贸易有限公司</t>
  </si>
  <si>
    <t>误命中俄罗斯的FENIKS (A.K.A. LIMITED LIABILITY COMPANY PHOENIX)，要求补充汇款人注册证书和交易资料，https://war-sanctions.gur.gov.ua/en/sanctions/companies/12838</t>
  </si>
  <si>
    <t>波兰本土店(WordPress)</t>
  </si>
  <si>
    <t>RFI Inquiry 02/04/2025 for yun chen 5870579200006224</t>
  </si>
  <si>
    <t>钢贸</t>
  </si>
  <si>
    <t>IDW for your action - GLOBAL E-PAYMENT LIMITED 155803.74 USD</t>
  </si>
  <si>
    <t>5181241227036902498</t>
  </si>
  <si>
    <t>STAR CORPORATION</t>
  </si>
  <si>
    <t>山東金正鋼管有限公司</t>
  </si>
  <si>
    <t>IDW for your action - GLOBAL E-PAYMENT LIMITED USD 12,408.80</t>
  </si>
  <si>
    <t>5181231228001585598</t>
  </si>
  <si>
    <t>留洋汇（厦门）金融技术服务有限公司</t>
  </si>
  <si>
    <t>AMERICAN STRAIGHT A ACADEMY</t>
  </si>
  <si>
    <t>留学费用-张惟</t>
  </si>
  <si>
    <t>独立站(波兰)</t>
  </si>
  <si>
    <t>RFI Inquiry 15/04/2025 Kevin GOMEZ Transaction No 6041035800007197</t>
  </si>
  <si>
    <t>5181240123001868828</t>
  </si>
  <si>
    <t>杜武煌</t>
  </si>
  <si>
    <t>amazon</t>
  </si>
  <si>
    <t>RFI Inquiry 16/04/2025 forNorma6041088800005238</t>
  </si>
  <si>
    <t>5181210904000178908</t>
  </si>
  <si>
    <t>AMAZON MEDIA EU S.A R.L.</t>
  </si>
  <si>
    <t>宋诗美</t>
  </si>
  <si>
    <t>客户不配合提供材料，已关结算，冻结资金</t>
  </si>
  <si>
    <t>(For Your Action)  IDW - GLOBAL E-PAYMENT LIMITED USD 122,142.62</t>
  </si>
  <si>
    <t>Star Corporation</t>
  </si>
  <si>
    <t>LC付款，采购合理，暂无风险</t>
  </si>
  <si>
    <t>RFI Inquiry 17/04/2025 for Muhammad Ali P000001505873914</t>
  </si>
  <si>
    <t>5181240407002980038</t>
  </si>
  <si>
    <t>Muhammad Ali</t>
  </si>
  <si>
    <t>惠州市钜量科技有限公司</t>
  </si>
  <si>
    <t>IDW for your action - GLOBAL E-PAYMENT LIMITED USD 45,000</t>
  </si>
  <si>
    <t xml:space="preserve">QUANYOU TECHNOLOGY (HONG KONG) CO., LIMITED </t>
  </si>
  <si>
    <t>1、中间行JPMORGAN调单，似误命中DJ
2、收款人有在新加坡支付机构legatus global开户，经营业务含虚拟资产相关；hipax提供资料造假，不愿透露实际汇款人信息，按现有资料先行回复</t>
  </si>
  <si>
    <t>电子元件</t>
  </si>
  <si>
    <t>[HKL In Ref]       CONFIRM CREDIT CURRENCY --   inward payment   -- GLOBAL E-PAYMENT LIMITED  -- 1513IT5008830008</t>
  </si>
  <si>
    <t>5181250305038580918</t>
  </si>
  <si>
    <t>ALRADIN FOR COMPUTERS AND REQUISITES TRADING CO LLC</t>
  </si>
  <si>
    <t>义乌市仪幻电子商务商行</t>
  </si>
  <si>
    <t>AED</t>
  </si>
  <si>
    <t>未到账，DBS阿联酋入账确认币种，已同步商户沟通好退款</t>
  </si>
  <si>
    <t>RFI Inquiry 28/04/2025 for yun chen 6140559200003933</t>
  </si>
  <si>
    <t>PAYMENT ENQUIRY  REF 1513OI9563715 REMITTER: GLOBAL E-PAYMENT LIMITED</t>
  </si>
  <si>
    <t>5181250217037850928</t>
  </si>
  <si>
    <t>YIWU LINK TRADING CO.,LTD</t>
  </si>
  <si>
    <t>Spirit age Technology Limited</t>
  </si>
  <si>
    <t>要求提供汇款人注册号、地址等信息</t>
  </si>
  <si>
    <t>波兰本土店(shopline)</t>
  </si>
  <si>
    <t>RFI Inquiry 05/05/2025 for Roland Transaction No P000001523952985</t>
  </si>
  <si>
    <t>5181221031002729868</t>
  </si>
  <si>
    <t>PAYPAL CODE 2556</t>
  </si>
  <si>
    <t>Roland</t>
  </si>
  <si>
    <t>RFI Inquiry 06/05/2025 forsa sa 6220536600002568</t>
  </si>
  <si>
    <t>sa sa</t>
  </si>
  <si>
    <t>PAYMENT ENQUIRY  REF 1513OI9661113 REMITTER: GLOBAL E-PAYMENT LIMITED</t>
  </si>
  <si>
    <t>同出款人同商户二次调单</t>
  </si>
  <si>
    <t>RFI Inquiry 20.05.2025 for CRP P000001540916463</t>
  </si>
  <si>
    <t>5181250326039480638</t>
  </si>
  <si>
    <t>CRP</t>
  </si>
  <si>
    <t>一思贸易有限公司</t>
  </si>
  <si>
    <t>Re: (1256975393) SLS Priority A Thunes Information Request [Global E-Payment Limited]</t>
  </si>
  <si>
    <t>EXIM INTERNATIONAL</t>
  </si>
  <si>
    <t>Returned Payment Under Ref: 1513OI9669001 GLOBAL E-PAYMENT LIMITED</t>
  </si>
  <si>
    <t>WENDY TRADE LIMITED</t>
  </si>
  <si>
    <t>IDW- GLOBAL E-PAYMENT LIMITED USD 183341.79/BP251570100126</t>
  </si>
  <si>
    <t>同商户同汇款人三次调单</t>
  </si>
  <si>
    <t>陈一涵,蔡丽娜</t>
  </si>
  <si>
    <t>&lt;REFNO #16215207&gt; [ITT] CIF #5259859-GLOBAL E-PAYMENT LIMITED- WLF101-5018301-2095734</t>
  </si>
  <si>
    <t>5181240905025014348</t>
  </si>
  <si>
    <t>PHOENIX CO.,LTD.</t>
  </si>
  <si>
    <t>SINO DRAGON LTD</t>
  </si>
  <si>
    <r>
      <rPr>
        <sz val="11"/>
        <color rgb="FF000000"/>
        <rFont val="微软雅黑"/>
        <charset val="134"/>
      </rPr>
      <t>韩国买家，</t>
    </r>
    <r>
      <rPr>
        <u/>
        <sz val="11"/>
        <color rgb="FF000000"/>
        <rFont val="微软雅黑"/>
        <charset val="134"/>
      </rPr>
      <t>https://moneypin.biz/bizno/detail/6178198806/</t>
    </r>
    <r>
      <rPr>
        <sz val="11"/>
        <color rgb="FF000000"/>
        <rFont val="微软雅黑"/>
        <charset val="134"/>
      </rPr>
      <t xml:space="preserve">
反馈东台市琪乐金属制品有限公司是商户大陆公司，暗关联</t>
    </r>
  </si>
  <si>
    <t>RFI Inquiry 30/05/2025 for cbs Transaction No P000001558360273</t>
  </si>
  <si>
    <t>5181250515041517618</t>
  </si>
  <si>
    <t>SMITH C</t>
  </si>
  <si>
    <t>福摩爾香港實業有限公司</t>
  </si>
  <si>
    <t>渠道退款</t>
  </si>
  <si>
    <t>GLOBAL E-PAYMENT LIMITED- Returned Payment Under Ref: 1513OT9270944</t>
  </si>
  <si>
    <t>5181240729018278508</t>
  </si>
  <si>
    <t>香港欧凯工贸有限公司</t>
  </si>
  <si>
    <t>SHANGHAI JHS INTERNATIONAL TRADE CO., LTD</t>
  </si>
  <si>
    <t>RFI Inquiry 09.05.2025 for BLUE SKY S R L + P000001535120803</t>
  </si>
  <si>
    <t>5181241116035488958</t>
  </si>
  <si>
    <t>BLUE SKY S R L</t>
  </si>
  <si>
    <t>ONISA INTERNATIONAL LIMITED</t>
  </si>
  <si>
    <t>&lt;REFNO #16270011&gt; [ITT] CIF #5259859-GLOBAL E-PAYMENT LIMITED- WLF101-5034701-2102132</t>
  </si>
  <si>
    <t>同商户同汇款人二次调单</t>
  </si>
  <si>
    <t>IDW- Global E-payment USD 125868.9/SWF302831629272249</t>
  </si>
  <si>
    <t>丹麦本土店</t>
  </si>
  <si>
    <t>RFI Inquiry 04/06/2025 for TARA TARA Transaction No 6500547600006087</t>
  </si>
  <si>
    <t>5181241114035347448</t>
  </si>
  <si>
    <t>湖北幂邻商贸有限公司</t>
  </si>
  <si>
    <t>RFI Inquiry 11.06.2025 for Victor Felix 6601066600002805</t>
  </si>
  <si>
    <t>Victor Felix</t>
  </si>
  <si>
    <t>RFI Inquiry 11/06/2025 for Victor Felix  6601066600002810</t>
  </si>
  <si>
    <t>Returned Payment Under Ref:   1513OI9709477    GLOBAL E-PAYMENT LIMITED</t>
  </si>
  <si>
    <t>5181240731018750898</t>
  </si>
  <si>
    <t>易智付科技（香港）有限公司</t>
  </si>
  <si>
    <t>AB OCCIDENTAL SUNRISE LIMITED</t>
  </si>
  <si>
    <t>退款原因为收款方开户银行要求补充提供相关资料后再决定入账，但因收款行对客户的配合时效要求等原因，此2笔款项由收款行做原路退款处理。</t>
  </si>
  <si>
    <t>Returned Payment Under Ref:   1513OI9709471     GLOBAL E-PAYMENT LIMITED</t>
  </si>
  <si>
    <t>Fw: Rfi from LHVBEE22XXX - Ref.: 1151848686/NONREF BC:071404338</t>
  </si>
  <si>
    <t>5181250317039086348</t>
  </si>
  <si>
    <t>津富有限公司</t>
  </si>
  <si>
    <t>Returned Payment Under Ref:   1513OI9725135   GLOBAL E-PAYMENT LIMITED</t>
  </si>
  <si>
    <t>HK SHENGJI TRADING CO. LIMITED</t>
  </si>
  <si>
    <t>是一笔小金额的物流款项补齐差额的费用。
因为收款方更换了账户，该银行的账户实际已关闭，运营人员信息未更新导致打错到已注销账户，被退回</t>
  </si>
  <si>
    <t>IDW-Global E-payment USD 4465/1513OT9335879</t>
  </si>
  <si>
    <t>留学-王朝</t>
  </si>
  <si>
    <t>IDW-Global E-payment USD 200/1513OT9336092</t>
  </si>
  <si>
    <t>IDW-Global E-payment USD 2340/1513OT9337042</t>
  </si>
  <si>
    <t>留学-洪以宸</t>
  </si>
  <si>
    <t>IDW-Global E-payment USD 2340/1513OT9338671</t>
  </si>
  <si>
    <t>留学-金晖</t>
  </si>
  <si>
    <t>波兰本土店OLX</t>
  </si>
  <si>
    <t>RFI Inquiry 13/06/2025 for TS RT 6640560700004418</t>
  </si>
  <si>
    <t>PAYU SPӣKA AKCYJNA</t>
  </si>
  <si>
    <t>RFI Inquiry 13/06/2025 for RAM P000001580534559</t>
  </si>
  <si>
    <t>5181250516041570098</t>
  </si>
  <si>
    <t>RAM</t>
  </si>
  <si>
    <t>Ningbo Fepa Global Limited</t>
  </si>
  <si>
    <t>杲杲</t>
  </si>
  <si>
    <t>VCC</t>
  </si>
  <si>
    <t>IDW- Global E-payment USD 213/HICL20250617471322567</t>
  </si>
  <si>
    <t>5181230828000673208</t>
  </si>
  <si>
    <t>CHENG DU JU LANG YIN QING KE JI</t>
  </si>
  <si>
    <t>徐州市黑子计算机网络科技有限公司</t>
  </si>
  <si>
    <t>advertising services</t>
  </si>
  <si>
    <t>IDW- Global E-payment USD 200/1513OT5009336092</t>
  </si>
  <si>
    <t>IDW- Global E-payment USD 4465/1513OT5009335879</t>
  </si>
  <si>
    <t>shopify英镑</t>
  </si>
  <si>
    <t>RFI Inquiry 19/06/2025 for Alexander James Transaction No P000001586681925</t>
  </si>
  <si>
    <t>5181250526041972848</t>
  </si>
  <si>
    <t>PAYPAL</t>
  </si>
  <si>
    <t>Alexander James</t>
  </si>
  <si>
    <t>刘颖</t>
  </si>
  <si>
    <t>RFI Inquiry 19/06/2025 for EM SARL Transaction No P000001585939198</t>
  </si>
  <si>
    <t>5181240919027624898</t>
  </si>
  <si>
    <t>EM SARL</t>
  </si>
  <si>
    <t>甘鑫扬</t>
  </si>
  <si>
    <t>物流</t>
  </si>
  <si>
    <t>(1279183684) 2862130 - [Thunes - Global E-Payment Limited] Partner Request for Information - [Thunes Outbound]</t>
  </si>
  <si>
    <t>5181230710000434328</t>
  </si>
  <si>
    <t>上海攸迁国际物流有限公司</t>
  </si>
  <si>
    <t>TOPKING CONSUMER GOODS TRADING</t>
  </si>
  <si>
    <t>两个中国公司协议，也要求提供英文版翻译协议</t>
  </si>
  <si>
    <t>RFI Inquiry 23.06.2025 for TS RT 6710523800002499</t>
  </si>
  <si>
    <t>(1281965968) SLS Priority A Thunes Information Request [Global E-Payment Limited] - [1281965968]</t>
  </si>
  <si>
    <t>Desta</t>
  </si>
  <si>
    <t>IDR</t>
  </si>
  <si>
    <t>IDW- GLOBAL E-PAYMENT LIMITED USD 154806.24/ BP251570100199</t>
  </si>
  <si>
    <t>同商户同汇款人第四次调单</t>
  </si>
  <si>
    <t>仪器仪表</t>
  </si>
  <si>
    <t>IDW- GLOBAL E-PAYMENT LIMITED USD 19000/1513OT5009380420</t>
  </si>
  <si>
    <t>5181250425040935158</t>
  </si>
  <si>
    <t>凱頓實業有限公司</t>
  </si>
  <si>
    <t>GOWIN INTERNATIONAL SUPPLIER LIMITED</t>
  </si>
  <si>
    <t>IDW- GLOBAL E-PAYMENT LIMITED USD 44387/1513OT5009380418</t>
  </si>
  <si>
    <t>Shenzhen Defu Supply Chain Co.,Ltd</t>
  </si>
  <si>
    <t>IDW- GLOBAL E-PAYMENT LIMITED USD 162205.71/BP251570100200</t>
  </si>
  <si>
    <t>同商户同汇款人第5次调单</t>
  </si>
  <si>
    <t>供应链</t>
  </si>
  <si>
    <t>IDW- GLOBAL E-PAYMENT LIMITED USD 672100/1513OT5009387425</t>
  </si>
  <si>
    <t>5181250221038061728</t>
  </si>
  <si>
    <t>Amati Group Co., Limited</t>
  </si>
  <si>
    <t>FORESIGHT INNOVATIONS (HK) TECHNOLOGY CO.,LIMITED</t>
  </si>
  <si>
    <t>(1288299119) 2881770 - [Thunes - Global E-Payment Limited] - Partner Request for Information (Sender &amp; Beneficiary) [Thunes Outbound]</t>
  </si>
  <si>
    <t>PHP</t>
  </si>
  <si>
    <t>对手方公司注册文件给不出</t>
  </si>
  <si>
    <t>非农轻工业产品</t>
  </si>
  <si>
    <t>Re:  GEP-FX request -2507041646086423544</t>
  </si>
  <si>
    <t>5181240906025276378</t>
  </si>
  <si>
    <t>MAI VAN TUAN</t>
  </si>
  <si>
    <t>广西融汇通贸易有限公司</t>
  </si>
  <si>
    <t>RFI Inquiry 24.06.2025 for ALI S P000001593575493</t>
  </si>
  <si>
    <t>5181250121037431578</t>
  </si>
  <si>
    <t>ALI S</t>
  </si>
  <si>
    <t>YUMA LOGISTICS LIM</t>
  </si>
  <si>
    <t>独立站</t>
  </si>
  <si>
    <t>RFI Inquiry 09.07.2025 for Charles Ward 6881029400003163</t>
  </si>
  <si>
    <t>5181240324002777948</t>
  </si>
  <si>
    <t>Charles Ward</t>
  </si>
  <si>
    <t>RFI Inquiry 09.07.2025 for Jose Ramirez 6881029400002373</t>
  </si>
  <si>
    <t>Jose Ramirez</t>
  </si>
  <si>
    <t>IDW-Global E-payment USD 32002.63/1513OT5009437824</t>
  </si>
  <si>
    <t>HANGZHOU JIELAI IMPORT AND EXPORT CO.,LTD.</t>
  </si>
  <si>
    <t>32.002.63</t>
  </si>
  <si>
    <t>KD INDUSTRIAL CO., LIMITED</t>
  </si>
  <si>
    <t>船舶</t>
  </si>
  <si>
    <t>Request for Information 09/07/2025 BC:021000099</t>
  </si>
  <si>
    <t>5181250511041398798</t>
  </si>
  <si>
    <t>AFRICA CHANGCHENG MINING HOLDINGS +</t>
  </si>
  <si>
    <t>匯海船務管理有限公司</t>
  </si>
  <si>
    <t>SCB RFI--STS—eOTT-- HK6OL2507110045O - GLOBAL E-P L CLIENT_USD - TS250711-HK00039 - SR-HK-20250711-P00080</t>
  </si>
  <si>
    <t>5181250428041001558</t>
  </si>
  <si>
    <t>Nextsuji Trading Co., Limited</t>
  </si>
  <si>
    <t>IDW-Global E-payment USD 3779.29/HICL20250717476858037</t>
  </si>
  <si>
    <t>5181240802019170658</t>
  </si>
  <si>
    <t>TECDO HONG KONG LIMITED</t>
  </si>
  <si>
    <t>Grandmob Limited</t>
  </si>
  <si>
    <t>速卖通</t>
  </si>
  <si>
    <t>Request for Additional Information-RT8088787790-Yantai Dianao Trading Co., Ltd | 666779</t>
  </si>
  <si>
    <t>5181250422040768768</t>
  </si>
  <si>
    <t>烟台市典奥商贸有限公司</t>
  </si>
  <si>
    <t>DIANAO TECHNOLOGY CO., LIMITED</t>
  </si>
  <si>
    <t>RE : SR-HK-20250718-E00140 [External] 出款订单加急处理请求</t>
  </si>
  <si>
    <t>NOVA GLOBAL LIMITED</t>
  </si>
  <si>
    <t>大额</t>
  </si>
  <si>
    <t>电商 LEBONCOIN</t>
  </si>
  <si>
    <t>RFI Inquiry 18/07/2025 ALI MR MUHAMMAD P000001622323740</t>
  </si>
  <si>
    <t>5181240618009057508</t>
  </si>
  <si>
    <t>Stripe Payments UK Ltd</t>
  </si>
  <si>
    <t>ALI MR MUHAMMAD</t>
  </si>
  <si>
    <t>5181240618009057508 林国蓥</t>
  </si>
  <si>
    <t>电动牙刷</t>
  </si>
  <si>
    <t>Returned Payment Under Ref: 1513OT9380420 GLOBAL E-PAYMENT LIMITED</t>
  </si>
  <si>
    <t>机构 尊凯</t>
  </si>
  <si>
    <t>转发：转发: 【对公反洗钱协查】--OREF723425319871 --GLOBAL E-PAYMENT LIMITED，请尽快英文反馈，字体勿全角，勿空行</t>
  </si>
  <si>
    <t>5181250324039417678</t>
  </si>
  <si>
    <t>尊凯有限公司</t>
  </si>
  <si>
    <t>NEW SKY SRL</t>
  </si>
  <si>
    <t>汽车灯</t>
  </si>
  <si>
    <t>PRETM-373 Transaction Enquiry - Jecht (Guangzhou) Technology Co., Ltd - 250723-COL-5FDC8C23</t>
  </si>
  <si>
    <t>LE CONG DAT</t>
  </si>
  <si>
    <t>易智付</t>
  </si>
  <si>
    <t>Returned Payment Under Ref: 1513OI9723695 GLOBAL E-PAYMENT LIMITED</t>
  </si>
  <si>
    <t>TENYI TECHNOLOGY CO., LIMITED</t>
  </si>
  <si>
    <t>易智付科技（香港）有限公司	 POBO付款</t>
  </si>
  <si>
    <t>英国本土店</t>
  </si>
  <si>
    <t>Compliance from PSSTFRPPXXX - Ref.: VIE250725SCMTF13/COMPLIANCE BC:005916311</t>
  </si>
  <si>
    <t>5181231113001180028</t>
  </si>
  <si>
    <t>MR ALIBERT PASCAL</t>
  </si>
  <si>
    <t>榮焰有限公司</t>
  </si>
  <si>
    <t>rejected payment</t>
  </si>
  <si>
    <t>RFI Inquiry 28/07/2025 for AHMED AHMED P000001632232213</t>
  </si>
  <si>
    <t>5181221123002871758</t>
  </si>
  <si>
    <t>崔雄燕</t>
  </si>
  <si>
    <t>技术服务</t>
  </si>
  <si>
    <t>SCBHK - RFI request---OTT—(original payment ref HK6OT2507250037N) – (Client name Global E-Payment Limited) – HKP ref HKP250728-000211</t>
  </si>
  <si>
    <t>5181250702044354838</t>
  </si>
  <si>
    <t>盈拓商貿有限公司</t>
  </si>
  <si>
    <t>TANGOLINE SYSTEMS FZE</t>
  </si>
  <si>
    <t>RFI Inquiry 30/07/2025 NOVA P000001634251842</t>
  </si>
  <si>
    <t>NOVA</t>
  </si>
  <si>
    <t>LECONIX (HONGKONG) CO., LIMITED</t>
  </si>
  <si>
    <t>RFI Inquiry 23/07/2025 for Hassan Mohammad P000001629086126</t>
  </si>
  <si>
    <t>Hassan Mohammad</t>
  </si>
  <si>
    <t>YUMA LOGISTICS LIMITED</t>
  </si>
  <si>
    <t>SCBHK - RFI request---OTT— payment ref HK6OT250801001 – GLOBAL E-PAYMENT LIMITED – HKP250804-000267</t>
  </si>
  <si>
    <t>RFI Inquiry 08/08/2025 BMG P000001646109174</t>
  </si>
  <si>
    <t>5181250724045211268</t>
  </si>
  <si>
    <t>BMG</t>
  </si>
  <si>
    <t>YICHENG LTD</t>
  </si>
  <si>
    <t>平安FTN渠道付款holiding审查--5181250610042990038/深圳市大橘子电子商务有限公司</t>
  </si>
  <si>
    <t>5181250610042990038</t>
  </si>
  <si>
    <t>深圳市大橘子电子商务有限公司</t>
  </si>
  <si>
    <t>YI WU SHI ZHI RU DIAN ZI SHANG WUSHANG HANG</t>
  </si>
  <si>
    <t>1、risk邮箱调单，出款资金来源：5181250523041881628/ALIEXPRESS CIS HOLDING PTE. LTD. - RU，商户间转账
2、收款人同为我司商户5181250715044884638，该笔是出款到其在结行国际的DBS账户</t>
  </si>
  <si>
    <t>Re: SCBHK - RFI request---OTT— - HK6OL250813003IU - GLOBAL E-PAYMENT LIMITED - TS250813-HK00025 - SR-HK-20250813-P00038</t>
  </si>
  <si>
    <t>转发：【对公反洗钱协查】--OREF723425357987--GLOBAL E-PAYMENT LIMITED，请尽快英文反馈，字体勿全角，勿空行</t>
  </si>
  <si>
    <t>5181250514041476488</t>
  </si>
  <si>
    <t>深圳市尤佳技術有限公司</t>
  </si>
  <si>
    <t>SHENZHEN YOJIA TECHNOLOGY CO., LIMITED</t>
  </si>
  <si>
    <t>RFI Inquiry 13.08.2025 for Katarzyna Paw owska 7240560600003649</t>
  </si>
  <si>
    <t>(1318445118) 2946771 - [Thunes - Global E-Payment Limited] Partner Request for Information - [Thunes Outbound]</t>
  </si>
  <si>
    <t>SEGI UNIVERSITY SDN BHD</t>
  </si>
  <si>
    <t>MYR</t>
  </si>
  <si>
    <t>软件服务</t>
  </si>
  <si>
    <t>(For Your Action) IDW GLOBAL E-PAYMENT LIMITED 1513OT9564504 USD12408.8</t>
  </si>
  <si>
    <t>5181250718045022368</t>
  </si>
  <si>
    <t>Sapphire Heights Limited</t>
  </si>
  <si>
    <t>GLORY COMMUNICATIONS PTE. LTD.</t>
  </si>
  <si>
    <t>SR-HK-20250814-P00043  SCB RFI--STS—eOTT-- HK6OL250814005ZJ - GLOBAL E-PAYMENT LIMITED - TS250814-HK00054</t>
  </si>
  <si>
    <t>5181240813020961548</t>
  </si>
  <si>
    <t>杭州视辉科技有限公司</t>
  </si>
  <si>
    <t>ZHANG WEI</t>
  </si>
  <si>
    <t>PAYMENT ISSUE OF YOUR PAYMENT UNDER REF HK6OL250814005ZJ / HKP250818-000067 / 298,492.54 / USD</t>
  </si>
  <si>
    <t>相同交易重复调单，追加了问题</t>
  </si>
  <si>
    <t>RE : SR-HK-20250819-E00506 [External] 出款订单加急处理请求</t>
  </si>
  <si>
    <t>CEP education</t>
  </si>
  <si>
    <t>(For Your Action) IDW GLOBAL E-PAYMENT LIMITED 100457986 USD2110</t>
  </si>
  <si>
    <t>(For Your Action) IDW GLOBAL E-PAYMENT LIMITED 2025082000524340 usd121593</t>
  </si>
  <si>
    <t>OTA</t>
  </si>
  <si>
    <t>SR-HK-20250821-P00003 SCB RFI--STS—eOTT-- HK6OT250820003ZI - Global E-Payment Limited//TS250820-HK00041</t>
  </si>
  <si>
    <t>5181250513041458708</t>
  </si>
  <si>
    <t>北京美大国际旅行社有限公司</t>
  </si>
  <si>
    <t>RESTEL , S.A.</t>
  </si>
  <si>
    <t>高天景</t>
  </si>
  <si>
    <t>商户不愿继续回复酒店具体信息，退款</t>
  </si>
  <si>
    <t>(For Your Action) IDW GLOBAL E-PAYMENT LIMITED 100458724 USD2385.5</t>
  </si>
  <si>
    <t>KREAM</t>
  </si>
  <si>
    <t>(1231092001) AML/CTF Thunes Information Request [Global E-Payment Limited]</t>
  </si>
  <si>
    <t>5181240704013694568</t>
  </si>
  <si>
    <t>深圳市小趴菜电子商务有限公司</t>
  </si>
  <si>
    <t>LI SHOUMIN</t>
  </si>
  <si>
    <t>(1190268475) AML/CTF Thunes Information Request [Global E-Payment Limited]</t>
  </si>
  <si>
    <t>chendian zheng</t>
  </si>
  <si>
    <t>RFI Inquiry 22.08.2025 for Muhammad daud P000001652420091</t>
  </si>
  <si>
    <t>KANDAHAR DRY FRUITS</t>
  </si>
  <si>
    <t>HKP250822-000140 // HK6OT250819001V5 // 6,165.70/USD</t>
  </si>
  <si>
    <t>蒋春涛/</t>
  </si>
  <si>
    <t>(For Your Action) IDW GLOBAL E-PAYMENT LIMITED 1513OI0157164 USD398391.43
关联邮件：(For Your Action) IDW GLOBAL E-PAYMENT LIMITED 100462632 USD398391.43</t>
  </si>
  <si>
    <t xml:space="preserve">谭先婷/重庆云捷汇电子商务有限公司
</t>
  </si>
  <si>
    <t>(For Your Action) IDW GLOBAL E-PAYMENT LIMITED 1513OI0157162 USD298789.84
关联邮件：(For Your Action) IDW GLOBAL E-PAYMENT LIMITED 100462627 USD298789.84</t>
  </si>
  <si>
    <t>ALIEXPRESS</t>
  </si>
  <si>
    <t>Re: Alert: Request for additional information: RT7147940991-SHEN ZHEN SHI FAN XI NI DIAN ZI KE JI CO., LTD | 706109</t>
  </si>
  <si>
    <t>5181250416040402968</t>
  </si>
  <si>
    <t>深圳市凡希尼电子科技有限公司</t>
  </si>
  <si>
    <t>HONG KONG TOPEASY TRADE CO.,LIMITED</t>
  </si>
  <si>
    <t>黄聪/</t>
  </si>
  <si>
    <t>平安FTN渠道付款holding--5181250613043332988/深圳市彬盛芯电子有限公司</t>
  </si>
  <si>
    <t>5181250613043332988</t>
  </si>
  <si>
    <t>深圳市彬盛芯电子有限公司</t>
  </si>
  <si>
    <t>YI WU SHI ZHI RU DIAN ZI SHANG WUSHANGHANG</t>
  </si>
  <si>
    <t>鞋服箱包</t>
  </si>
  <si>
    <t>RFI Inquiry 02/09/2025 for KW INVESTMENTP000001671495774</t>
  </si>
  <si>
    <t>楚雄市洪船宫商贸有限公司</t>
  </si>
  <si>
    <t>(For Your Action) IDW GLOBAL E-PAYMENT LIMITED 1513OT9631225 USD6165.7</t>
  </si>
  <si>
    <t>【对公反洗钱协查】 OREF723425401397 --GLOBAL E-PAYMENT LIMITED 请尽快反馈，回复英文全大写字母</t>
  </si>
  <si>
    <t>5181250610042999868</t>
  </si>
  <si>
    <t>深圳市奥韦子科技有限公司</t>
  </si>
  <si>
    <t>Shenzhen Youxin Energy Technology Co., Ltd.</t>
  </si>
  <si>
    <t>Action Request : RFI request---OTT— HK6OT250828004M2– HKP ref : HKP250829-000305</t>
  </si>
  <si>
    <t>林劲/香港鯨宇科技有限公司</t>
  </si>
  <si>
    <t>日用百货</t>
  </si>
  <si>
    <t>RFI Inquiry 04/09/2025 for Mohamed Issa P000001669498850</t>
  </si>
  <si>
    <t>5181250121037432438</t>
  </si>
  <si>
    <t>Mohamed Issa</t>
  </si>
  <si>
    <t>Zenith Ecom Limited</t>
  </si>
  <si>
    <t>五金建材</t>
  </si>
  <si>
    <t>RFI Inquiry 04/09/2025 NEO P000001669739588</t>
  </si>
  <si>
    <t>NEO</t>
  </si>
  <si>
    <t>香港易成有限公司</t>
  </si>
  <si>
    <t>Action Request - RFI request- 202OL23122202552 - Global E-Payment Limited - HKP250902-000418</t>
  </si>
  <si>
    <t>5181250617043617238</t>
  </si>
  <si>
    <t>SHENZHEN QIFA TRADE CO.,LTD</t>
  </si>
  <si>
    <t>SINOLINK SHIPPING CO., LIMITED</t>
  </si>
  <si>
    <t>孔祎璐/</t>
  </si>
  <si>
    <t>收款账号有误，已移交运营处理</t>
  </si>
  <si>
    <t>(For Your Request) IDW DOLLARSMART GLOBAL PTE LTD 100466268 USD6165.7</t>
  </si>
  <si>
    <t>重复调单</t>
  </si>
  <si>
    <t>RFI Inquiry 22/08/2025 for R CAPITALP000001664373444</t>
  </si>
  <si>
    <t>5181250819046467568</t>
  </si>
  <si>
    <t>R CAPITAL</t>
  </si>
  <si>
    <t>CWTA LIMITED</t>
  </si>
  <si>
    <t>HKP250908-000133 | HK6OT250905001I1 | 41,631.49/EUR</t>
  </si>
  <si>
    <t>DERTONO Sp.z o.o.</t>
  </si>
  <si>
    <t>HKP250909-000106 HK6CT2509080003R CIPS outward payment Bene bank UNABLE TO APPLY</t>
  </si>
  <si>
    <t>LOCTEK NINGBO INTERNATIONAL TRADING CO.,LTD</t>
  </si>
  <si>
    <t>RFI Inquiry 10/09/2025 for CCBA Co. Ltd. Transaction No P000001681595719</t>
  </si>
  <si>
    <t>5181240403002931968</t>
  </si>
  <si>
    <t>Kim Friedrichsen</t>
  </si>
  <si>
    <t>CCBA Co. Ltd.</t>
  </si>
  <si>
    <t>深圳飞鸟时代科技有限公司</t>
  </si>
  <si>
    <t>RFI Inquiry 09/09/2025 for RAHMAN MIZANUR P000001683539858</t>
  </si>
  <si>
    <t>5181250328039589818</t>
  </si>
  <si>
    <t>RAHMAN MIZANUR</t>
  </si>
  <si>
    <t>林慧冰</t>
  </si>
  <si>
    <t>RFI request---OTT— HK6OL250911026MS– HKP250911-000033</t>
  </si>
  <si>
    <t>5181250604042461498</t>
  </si>
  <si>
    <t>湖南炽漫贸易有限公司</t>
  </si>
  <si>
    <t>ZHU HUAJUN</t>
  </si>
  <si>
    <t>RCPAY</t>
  </si>
  <si>
    <t>Action Request - RFI request- HK6OL250911028A7 - HKP250911-000136</t>
  </si>
  <si>
    <t>5181250328039581498</t>
  </si>
  <si>
    <t>DOUBLE THROW LIMITED</t>
  </si>
  <si>
    <t>CAT PEACH COMPANY</t>
  </si>
  <si>
    <t>HKD</t>
  </si>
  <si>
    <t>吕鹏/RCPAY LIMITED</t>
  </si>
  <si>
    <t>RFI - Hebi Kuiqi Trading Co., Ltd - 20250916-DU3I0W - INFINITY GROUP S.R.L. - Case 00292875</t>
  </si>
  <si>
    <t>5181250902047164098</t>
  </si>
  <si>
    <t>INFINITY GROUP S.R.L.</t>
  </si>
  <si>
    <t>鹤壁市葵崎商贸有限公司</t>
  </si>
  <si>
    <t>HIPAX</t>
  </si>
  <si>
    <t>SR-HK-20250916-P00007 SCB RFI--STS—eOTT-- HK6OT25091502A44 - Global E-Payment Limited - TS250915-HK00043</t>
  </si>
  <si>
    <t>KOLIATE CO., LTD</t>
  </si>
  <si>
    <t>HKP250915-000053 | HK6OT250912028OB | 72,288.19/USD</t>
  </si>
  <si>
    <t>Marine Power International FZC</t>
  </si>
  <si>
    <t>电子产品</t>
  </si>
  <si>
    <t>(1343941684) 2999010 - [Thunes - Global E-Payment Limited] Partner Request for Information - [Thunes Outbound]</t>
  </si>
  <si>
    <t>5181240124001881938</t>
  </si>
  <si>
    <t>中山市三乡镇致型电子产品经营部</t>
  </si>
  <si>
    <t>Rosser Christopher</t>
  </si>
  <si>
    <t>Fw:RE : SR-HK-20250917-E00530 [External] 出款订单加急处理请求</t>
  </si>
  <si>
    <t>XINGYUAN HOLDING CO., LTD.</t>
  </si>
  <si>
    <t>LINGO LOGISTICS H K LIMITED</t>
  </si>
  <si>
    <t>kream</t>
  </si>
  <si>
    <t>SLS Priority A Thunes Information Request [Global E-Payment Limited] - [1345450266]</t>
  </si>
  <si>
    <t>SR-HK-20250919-P00039 SCB RFI--STS—eOTT-- HK6OT250918029YQ - Global E-Payment Limite - TS250918-HK00076</t>
  </si>
  <si>
    <t>Smart Trade Solution LTD</t>
  </si>
  <si>
    <t>RFI: 20250918-HRXTXW - 20250917-ZZEAQR - ESTAR WORLD LIMITED - due 2025-09-25</t>
  </si>
  <si>
    <t>5181241116035484248</t>
  </si>
  <si>
    <t>SPEED TYRE S.R.L.</t>
  </si>
  <si>
    <t>ESTAR WORLD LIMITED</t>
  </si>
  <si>
    <t>RGM SOCIETA A RESPONSABILITA LIMITATA SEMPLIFICATA</t>
  </si>
  <si>
    <t>HIPAYX</t>
  </si>
  <si>
    <t>SCBHK - RFI requSCBHK - RFI request---OTT—(original payment ref HK6CT25091700020) – Global E-Payment Limited) – // TS250917-HK00036// d51420d8662548479c90b7660fb4834d-001</t>
  </si>
  <si>
    <t>RFI - BONCUI TRADE LIMITED - 20250922-UPNOIY - T.R.I.S. S.R.L. - Case 00296846</t>
  </si>
  <si>
    <t>5181250915048141258</t>
  </si>
  <si>
    <t>T.R.I.S. S.R.L.</t>
  </si>
  <si>
    <t>BONCUI TRADE LIMITED</t>
  </si>
  <si>
    <t>SR-HK-20250923-P00048  SCB RFI--STS—eOTT-- HK6OT2509230264V - Global E-Payment Limited  - TS250923-HK00018</t>
  </si>
  <si>
    <t>STASSEN EXPORTS PVT LIMITED</t>
  </si>
  <si>
    <t>ebay</t>
  </si>
  <si>
    <t>RFI Inquiry 24/09/2025 for Limited Liability Comp Transaction No 028000085940620</t>
  </si>
  <si>
    <t>5181241205036312068</t>
  </si>
  <si>
    <t>PAYONEER 7362</t>
  </si>
  <si>
    <t>镇平县盛亿鑫商贸有限公司</t>
  </si>
  <si>
    <t>(1349797496) #3010409 - [Thunes - Global E-Payment Limited] Partner Request for Information - [Thunes Outbound]</t>
  </si>
  <si>
    <t>5181250120037407688</t>
  </si>
  <si>
    <t>苏州将行票务信息咨询有限公司</t>
  </si>
  <si>
    <t>Consolidated Travel Pty. Ltd.</t>
  </si>
  <si>
    <t>(For Your Action) IDW GLOBAL E-PAYMENT LIMITED SWF408142689528721 USD8646.46</t>
  </si>
  <si>
    <t>5181240611003736358</t>
  </si>
  <si>
    <t>APPSMRT PERFORMANCE</t>
  </si>
  <si>
    <t>ALAS MOBILE LIMITED</t>
  </si>
  <si>
    <t>LINKFI</t>
  </si>
  <si>
    <t>SR-HK-20250926-P00049 SCB RFI--STS—eOTT-- HK6OL250926028WK - GLOBAL E-PAYMENT LIMITED - TS250926-HK00037</t>
  </si>
  <si>
    <t>5181250805045915618</t>
  </si>
  <si>
    <t>LINKFI SOFTWARE INC</t>
  </si>
  <si>
    <t>GLOBALLINK INTERNATIONAL TRADE LIMITED</t>
  </si>
  <si>
    <t>(For Your Action) IDW GLOBAL E-PAYMENT LIMITED SWF405712699669140 USD6165.7</t>
  </si>
  <si>
    <t>CEP EDUCATION</t>
  </si>
  <si>
    <t>SR-HK-20250929-P00074 SCB RFI--STS—eOTT-- HK6OT250929029T8 - Global E-Payment Limited - TS250929-HK00053</t>
  </si>
  <si>
    <t>SLS Priority A Thunes Information Request [Global E-Payment Limited] - [1353504750]</t>
  </si>
  <si>
    <t>转发：转发: 【对公反洗钱协查】 OREF723425401397 --GLOBAL E-PAYMENT LIMITED</t>
  </si>
  <si>
    <t>OZON</t>
  </si>
  <si>
    <t>Request for additional Information - RT2889709724 - PRO NEW WORD(HONG KONG)LIMITED | (Request ID : 739592)</t>
  </si>
  <si>
    <t>5181240605003622698</t>
  </si>
  <si>
    <t>PRO NEW WORD(HONG KONG)LIMITED</t>
  </si>
  <si>
    <t>HONG KONG SHENGDA TECHNOLOGY SERVICES CO., LIMITED</t>
  </si>
  <si>
    <t>Alert: Request for Additional Information-RT7906658266-SHEN ZHEN SHI CHEN TING KE JI CO., LTD | 737851</t>
  </si>
  <si>
    <t>5181250514041490248</t>
  </si>
  <si>
    <t>深圳市宸霆科技有限公司</t>
  </si>
  <si>
    <t>Hong Kong Adoric Technology Limited</t>
  </si>
  <si>
    <t>义乌杲杲</t>
  </si>
  <si>
    <t>RFI: 20251001-QQ7WHP - Luminous Charm LIMITED - due 2025-10-10</t>
  </si>
  <si>
    <t>5181250909047666928</t>
  </si>
  <si>
    <t>BARCELLA EDIL FORNITURE SRLS</t>
  </si>
  <si>
    <t>Luminous Charm LIMITED</t>
  </si>
  <si>
    <t>(For Your Action) IDW GLOBAL E-PAYMENT LIMITED 100482946 USD20000</t>
  </si>
  <si>
    <t>5181250327039540438</t>
  </si>
  <si>
    <t>CENTAURUS TECHNOLOGY LIMITED</t>
  </si>
  <si>
    <t>COMET TECHNOLOGY LIMITED</t>
  </si>
  <si>
    <t>Amazon</t>
  </si>
  <si>
    <t>RFI Inquiry 02/10/2025 for More 1691352936250930</t>
  </si>
  <si>
    <t>5181210908000192058</t>
  </si>
  <si>
    <t>More</t>
  </si>
  <si>
    <t>AMAZON EU S.A R.L.</t>
  </si>
  <si>
    <t>RFI Inquiry 2025-09-19 for HOSAINI, MOHAMMAD Transaction ID P000001695274376</t>
  </si>
  <si>
    <t>HOSAINI, MOHAMMAD</t>
  </si>
  <si>
    <t>KONGYAN COMPANY LIMITED</t>
  </si>
  <si>
    <t>买家来自制裁国阿富汗</t>
  </si>
  <si>
    <t>RFI Inquiry 06/10/2025 for Mahmoud Mohammad P000001702965960</t>
  </si>
  <si>
    <t>Mahmoud Mohammad</t>
  </si>
  <si>
    <t>RONGYAN</t>
  </si>
  <si>
    <t>Action Request - RFI request- HK6OT250918029YQ - HKP250929-000031</t>
  </si>
  <si>
    <t>(1362232826) #3034286 - [Thunes - Global E-Payment Limited] Partner Request for Information - [Thunes Outbound]</t>
  </si>
  <si>
    <t>Kaizen Motors</t>
  </si>
  <si>
    <t>食品饮料</t>
  </si>
  <si>
    <t>PRETM-4350 Transaction Enquiry - CHONGQING WANGYI CATERING MANAGEMENT CO.,LTD. - 251013-COL-BEDB1B25</t>
  </si>
  <si>
    <t>NGUYEN THI THANH TUYEN</t>
  </si>
  <si>
    <t>重庆旺安格农业发展有限公司</t>
  </si>
  <si>
    <t>陈彦宏/</t>
  </si>
  <si>
    <t>Returned Payment Under Ref: 1513OI0294864 GLOBAL E-PAYMENT LIMITED</t>
  </si>
  <si>
    <t>渠道拒绝</t>
  </si>
  <si>
    <t>5181250327039547828</t>
  </si>
  <si>
    <t>盛楊貿易有限公司</t>
  </si>
  <si>
    <t>Shengyang Trade Limited</t>
  </si>
  <si>
    <t>SHENGYANG账户客户告知是整个OCBC银行都在调查商业户口，应该是每年进行的例行检查。</t>
  </si>
  <si>
    <t>PRETM-4564 Transaction Enquiry - CHONGQING WANGYI CATERING MANAGEMENT CO.,LTD. - 251014-COL-ED8A3C6F</t>
  </si>
  <si>
    <t>RFI Inquiry 14/10/2025 for AFP Transaction No P000001718594593</t>
  </si>
  <si>
    <t>5181250928048960198</t>
  </si>
  <si>
    <t>AFP</t>
  </si>
  <si>
    <t>Adeo Group Limited</t>
  </si>
  <si>
    <t>RFI Inquiry 14/10/2025 for MEHDI M P000001711729185</t>
  </si>
  <si>
    <t>MEHDI M</t>
  </si>
  <si>
    <t>AliExpress CIS</t>
  </si>
  <si>
    <t>商户退款</t>
  </si>
  <si>
    <t>转发：转发: GLOBAL E-PAYMENT LIMITED OREF723425447225 来报</t>
  </si>
  <si>
    <t>5181250723045177358</t>
  </si>
  <si>
    <t>深圳市天天创科技有限公司</t>
  </si>
  <si>
    <t>Shenzhen Ruiqide Electronic Technology Co., Ltd</t>
  </si>
  <si>
    <t>李小双/</t>
  </si>
  <si>
    <t>宇信數碼</t>
  </si>
  <si>
    <t>SR-HK-20251015-P00065 SCB RFI--STS—eOTT-- HK6OL25101502AMX - GLOBAL E-PAYMENT LIMITED//TS251015-HK00050</t>
  </si>
  <si>
    <t>HONGKONG MOSCEN IMPORT AND EXPORT CO. LIMITED</t>
  </si>
  <si>
    <t>(For Your Action) IDW GLOBAL E-PAYMENT LIMITED 1513OT9800779 CNY1101236.54</t>
  </si>
  <si>
    <t>HYDRO CO LTD</t>
  </si>
  <si>
    <t>(For Your Action) IDW GLOBAL E-PAYMENT LIMITED 2025101500524880 USD68562.05</t>
  </si>
  <si>
    <t>同名</t>
  </si>
  <si>
    <t>(1366891820) 3045278 - [Thunes - Global E-Payment Limited] Partner Request for Information - [Thunes Outbound]</t>
  </si>
  <si>
    <t>5181240924028589958</t>
  </si>
  <si>
    <t>CLEAR META PTY LTD</t>
  </si>
  <si>
    <t>通讯设备</t>
  </si>
  <si>
    <t>Returned Payment Under Ref. 1513OT9797538 GLOBAL E-PAYMENT LIMITED</t>
  </si>
  <si>
    <t>5181250416040393598</t>
  </si>
  <si>
    <t>SERVERMAX TECH LIMITED</t>
  </si>
  <si>
    <t>HOTPOINT INDUSTRIAL CO.,LIMITED</t>
  </si>
  <si>
    <t>RFI - Luminous Charm LIMITED - 20251017-HSJ12S - PRIME TRADE LIMITED LTD - Case 00310688</t>
  </si>
  <si>
    <t>PRIME TRADE LIMITED LTD</t>
  </si>
  <si>
    <t>SR-HK-20251017-P00057 SCB RFI--STS—eOTT-- HK6OT251017028X8 - Global E-Payment Limited//TS251017-HK00062</t>
  </si>
  <si>
    <t>RFI - GUANGCHEN INDUSTRIAL CO., LIMITED - 20251017-232SIQ - FUTURA S.R.L. - Case 00310782</t>
  </si>
  <si>
    <t>5181251009049313648</t>
  </si>
  <si>
    <t>FUTURA S.R.L.</t>
  </si>
  <si>
    <t>廣辰實業有限公司</t>
  </si>
  <si>
    <t>PRETM-5882 Transaction Enquiry - CHONGQING WANGYI CATERING MANAGEMENT CO.,LTD. - 251020-COL-E2075D32</t>
  </si>
  <si>
    <t>波兰本土店-PLN(OLX)</t>
  </si>
  <si>
    <t>RFI Inquiry 20.10.2025 for Rodriguez Mary 7880558800003684</t>
  </si>
  <si>
    <t>5181240826023180278</t>
  </si>
  <si>
    <t>陈剑山</t>
  </si>
  <si>
    <t>商户不愿提供KYC信息 退款</t>
  </si>
  <si>
    <t>英国本土店-GBP(zenithshop)
GBP</t>
  </si>
  <si>
    <t>RFI Inquiry 20/10/2025 Syed Shah P000001724871630</t>
  </si>
  <si>
    <t>Syed Shah</t>
  </si>
  <si>
    <t>PRETM-6351 Transaction Enquiry - CHONGQING WANGYI CATERING MANAGEMENT CO.,LTD. - 251022-COL-3B0DE694</t>
  </si>
  <si>
    <t>转发：FT上海分行》ACCUITY系统银行交易类实时业务尽职调查--FBS166342655、IRFT72342502924</t>
  </si>
  <si>
    <t>GULF FLOWERS FZCO</t>
  </si>
  <si>
    <t>RFI: 20251022-6B6RMY - Guangzhou Gelian Trading Co., Ltd - due 2025-10-27</t>
  </si>
  <si>
    <t>5181251013049550428</t>
  </si>
  <si>
    <t>MECLA SRL</t>
  </si>
  <si>
    <t>广州葛莲商贸有限公司</t>
  </si>
  <si>
    <t>(For Your Action) IDW GLOBAL E-PAYMENT LIMITED 100494122 USD1200
关联邮件：(For Your Action) IDW GLOBAL E-PAYMENT LIMITED 100491142 USD1200</t>
  </si>
  <si>
    <t>GLI ASIA LIMITED</t>
  </si>
  <si>
    <t>蒋春涛/宇信數碼有限公司</t>
  </si>
  <si>
    <t>(For Your Action) IDW GLOBAL E-PAYMENT LIMITED 100494565 USD10000</t>
  </si>
  <si>
    <t>Clear Meta Pty Ltd</t>
  </si>
  <si>
    <t>GLOWMAX RU INC</t>
  </si>
  <si>
    <t>机构 宇信數碼有限公司</t>
  </si>
  <si>
    <t>Returned Payment Under Ref. 1513OT9807462 GLOBAL E-PAYMENT LIMITED</t>
  </si>
  <si>
    <t>YAGODA PTE. LTD.</t>
  </si>
  <si>
    <t>INVICONT OU</t>
  </si>
  <si>
    <t>驰安汇</t>
  </si>
  <si>
    <t>(For Your Action) IDW GLOBAL E-PAYMENT LIMITED 1513OT9831301 GBP22320</t>
  </si>
  <si>
    <t>University of Birmingham Student Income Account</t>
  </si>
  <si>
    <t>SR-HK-20251023-P00031 SCB RFI--STS—eOTT-- HK6OL251023026U0 - GLOBAL E-PAYMENT LIMITED//TS251023-HK00011</t>
  </si>
  <si>
    <t>5181250904047229818</t>
  </si>
  <si>
    <t>SIJIALET LIMITED</t>
  </si>
  <si>
    <t>SILVER FORCE INTERNATIONAL LIMITED</t>
  </si>
  <si>
    <t>OUTWARD IDEAL - CLARIFY CNY CORR BANK - GLOBAL E-PAYMENT LIMITED - 1513OT5009830360</t>
  </si>
  <si>
    <t>AR GLOBAL TRADE LIMITED</t>
  </si>
  <si>
    <t>(1296225713) AML/CTF Thunes Information Request [Global E-Payment Limited]</t>
  </si>
  <si>
    <t>5181250117037349588</t>
  </si>
  <si>
    <t>DAFA Trading Limited</t>
  </si>
  <si>
    <t>YONGMING PIAO</t>
  </si>
  <si>
    <t>HKP251023-000415 / HK6OT251017028X8 / 9,179.60/USD</t>
  </si>
  <si>
    <t>RFI Inquiry 29.10.2025 for Mahamad Yousif P000001733286618</t>
  </si>
  <si>
    <t>5181240228002191648</t>
  </si>
  <si>
    <t>PayPal Pte  Ltd</t>
  </si>
  <si>
    <t>Mahamad Yousif</t>
  </si>
  <si>
    <t>OUTWARD IDEAL - CLARIFY CNY CORR BANK - GLOBAL E-PAYMENT LIMITED - 1513OT5009859931</t>
  </si>
  <si>
    <t>POSTTM-623 CLOUD WAVE (HONG KONG) LIMITED - Post Transaction Query - Global E-payment Limited</t>
  </si>
  <si>
    <t>5181240902024376598</t>
  </si>
  <si>
    <t>KHUAT THI THU HUYEN</t>
  </si>
  <si>
    <t>CLOUD WAVE (HONG KONG) LIMITED</t>
  </si>
  <si>
    <t>陈一涵,李凯</t>
  </si>
  <si>
    <t>转发：转发: 【对公反洗钱补充协查】OREF723425505255--GLOBAL E-PAYMENT LIMITED，请尽快反馈</t>
  </si>
  <si>
    <t>Entrust Digital Limited</t>
  </si>
  <si>
    <t>RFI Inquiry 2025-10-18 for Ibrahim Transaction ID P000001726197062</t>
  </si>
  <si>
    <t>5181250515041518408</t>
  </si>
  <si>
    <t>CO H</t>
  </si>
  <si>
    <t>Huarui e-commerce</t>
  </si>
  <si>
    <t>樊筱全</t>
  </si>
  <si>
    <t>PRETM-8874 Transaction Enquiry - DONG XING SHI CHANG SHUN MAO YI CO., LTD - 251030-COL-E40CF63C</t>
  </si>
  <si>
    <t>5181251021050038028</t>
  </si>
  <si>
    <t>DINH NGOC SON</t>
  </si>
  <si>
    <t>东兴市常顺贸易有限公司</t>
  </si>
  <si>
    <t>PRETM-8939 Transaction Enquiry - DONG XING SHI CHANG SHUN MAO YI CO., LTD - 251030-COL-D99E8E54</t>
  </si>
  <si>
    <t>NGU THI NGAN</t>
  </si>
  <si>
    <t>PRETM-8946 Transaction Enquiry - DONG XING SHI CHANG SHUN MAO YI CO., LTD - 251030-COL-885AE37F</t>
  </si>
  <si>
    <t>SR-HK-20251030-P00053 SCB RFI--STS—eOTT— HK6OL25103002829- GLOBAL E-PAYMENT LIMITED//TS251030-HK00016</t>
  </si>
  <si>
    <t>谈单造假</t>
  </si>
  <si>
    <t>PRETM-8945 Transaction Enquiry - DONG XING SHI CHANG SHUN MAO YI CO., LTD - 251030-COL-5436FB20</t>
  </si>
  <si>
    <t>SR-HK-20251031-P00003 SCB RFI--STS—eOTT— HK6OL25103002D35 - GLOBAL E-PAYMENT LIMITED- TS251030-HK00074</t>
  </si>
  <si>
    <t>FANRONG E-COMMERCE CO., LIMITED</t>
  </si>
  <si>
    <t>RFI Inquiry 2025-10-20 for MTS Transaction ID P000001728023778</t>
  </si>
  <si>
    <t>5181250926048875618</t>
  </si>
  <si>
    <t>MTS</t>
  </si>
  <si>
    <t>LTD DECORER BB</t>
  </si>
  <si>
    <t>转发: 【对公反洗钱协查】--OREF723425511222--GLOBAL E-PAYMENT LIMITED，请尽快反馈</t>
  </si>
  <si>
    <t>5181250609042935688</t>
  </si>
  <si>
    <t>广州普拉普雷电子有限公司</t>
  </si>
  <si>
    <t>GALAXY TRADING PLATFORM LIMITED</t>
  </si>
  <si>
    <t>出口报关</t>
  </si>
  <si>
    <t>[URGENT]Query on VND Collection Originator's details-251103-COL-9F3847EF
关联邮件：Refund 251103-COL-9F3847EF Completed - Refund Receipt</t>
  </si>
  <si>
    <t>5181241022033112408</t>
  </si>
  <si>
    <t>Triêu Việt Cường</t>
  </si>
  <si>
    <t>河口歌登跨境电子商务有限公司</t>
  </si>
  <si>
    <t>蒋春涛/广西巨丰结算外贸服务有限公司</t>
  </si>
  <si>
    <t>电子烟</t>
  </si>
  <si>
    <t>SR-HK-20251104-P00011 SCB RFI--STS—eOTT-- HK6OT251103028BC - Global E-Payment Limited // TS251103-HK00061</t>
  </si>
  <si>
    <t>5181241205036305378</t>
  </si>
  <si>
    <t>必福瑞創新(香港)有限公司</t>
  </si>
  <si>
    <t>FLAMINGO TECHNOLOGY LIMITED</t>
  </si>
  <si>
    <t>RFI Inquiry 2025-10-24 for MR A A HASSAN Transaction ID P000001732900170</t>
  </si>
  <si>
    <t>MR A A HASSAN</t>
  </si>
  <si>
    <t>BUSINESS</t>
  </si>
  <si>
    <t>RFI Inquiry 05.11.2025 for MOHAMMAD KASHIF P000001740001204</t>
  </si>
  <si>
    <t>5181231221001520208</t>
  </si>
  <si>
    <t>MOHAMMAD KASHIF</t>
  </si>
  <si>
    <t>波兰本土店</t>
  </si>
  <si>
    <t>RFI Inquiry 05.11.2025 for Martinez Carlos 8041027400001633</t>
  </si>
  <si>
    <t>王敬智</t>
  </si>
  <si>
    <t>候马超/陈伟</t>
  </si>
  <si>
    <t>独立站波兰</t>
  </si>
  <si>
    <t>RFI Inquiry 07.11.2025 for Ian Wright 8071071000001882</t>
  </si>
  <si>
    <t>5181240713015612018</t>
  </si>
  <si>
    <t>孔梦平</t>
  </si>
  <si>
    <t>Shopify欧元</t>
  </si>
  <si>
    <t>RFI Inquiry 07.11.2025 for JAVIER MARTINEZ P000001743437900</t>
  </si>
  <si>
    <t>5181240113001751338</t>
  </si>
  <si>
    <t>STRIPE</t>
  </si>
  <si>
    <t>莫雄杰</t>
  </si>
  <si>
    <t>ozon</t>
  </si>
  <si>
    <t>Alert: Request for Information-RT5326289051-ZHENG ZHOU NIAN NIAN SHENG SHANG MAO CO., LTD | 781338</t>
  </si>
  <si>
    <t>5181250417040474618</t>
  </si>
  <si>
    <t>郑州年年盛商贸有限公司</t>
  </si>
  <si>
    <t>BESTPARTNER TRADE DEVELOPMENT CO., LIMITED</t>
  </si>
  <si>
    <t>渠道退回事后调单，5181240612004494908-佳和贸易發展有限公司</t>
  </si>
  <si>
    <t>RFI: 20251103-KOHZ2G - Guangzhou Gelian Trading Co., Ltd - due 2025-11-18</t>
  </si>
  <si>
    <t>PLANET SERVICE S.R.L.</t>
  </si>
  <si>
    <t>RFI Inquiry 11/11/2025 for Patricia Garcia Transaction No 8091040300002534</t>
  </si>
  <si>
    <t>5181240807020225708</t>
  </si>
  <si>
    <t>刘德兵</t>
  </si>
  <si>
    <t>RFI Inquiry 12/11/2025 CHARLES WARD 8091069400003410</t>
  </si>
  <si>
    <t>5181240315002543338</t>
  </si>
  <si>
    <t>香港閑閑貿易有限公司</t>
  </si>
  <si>
    <t>RFI: 20251111-H3PB87 - Hefei PuBeng Network Technology Co., Ltd - due 2025-11-17</t>
  </si>
  <si>
    <t>5181250908047630768</t>
  </si>
  <si>
    <t>DE MARCO DIEGO</t>
  </si>
  <si>
    <t>合肥普泵网络科技有限公司</t>
  </si>
  <si>
    <t>RFI: 20251107-G3IK8P - Hefei PuBeng Network Technology Co., Ltd - due 2025-11-17</t>
  </si>
  <si>
    <t>F.G. GROUP COMMERCIALE S.R.L.S.</t>
  </si>
  <si>
    <t>英国本土店-GBP(shopline)</t>
  </si>
  <si>
    <t>RFI Inquiry 12/11/2025 Roland P000001749356295</t>
  </si>
  <si>
    <t>RFI: 20251105-9BPJVO - Luminous Charm LIMITED - due 2025-11-17</t>
  </si>
  <si>
    <t>INTERNATIONAL SOCIETA A RESPONSABILITA LIMITATA SEMPLIFICATA</t>
  </si>
  <si>
    <t>Additional Information Request – Post Transaction Monitoring – RT9796294114- JK HK TRADE LIMITED | A Ticket #783055 has been created</t>
  </si>
  <si>
    <t>5181240528003531808</t>
  </si>
  <si>
    <t>Hongkong Willvast Technology Limited</t>
  </si>
  <si>
    <t>JK HK TRADE LIMITED</t>
  </si>
  <si>
    <t>Returned Payment Under Ref. 1513OT9897592 GLOBAL E-PAYMENT LIMITED</t>
  </si>
  <si>
    <t>TSKF GROUP LTD</t>
  </si>
  <si>
    <t>姜俊锋/LINKFI SOFTWARE INC</t>
  </si>
  <si>
    <t>付款人主出口俄罗斯</t>
  </si>
  <si>
    <t>(For Your Action) IDW GLOBAL E-PAYMENT LIMITED 2025111400504814 USD72579.05</t>
  </si>
  <si>
    <t>1/PHOENIX CO.,LTD.</t>
  </si>
  <si>
    <t>RFI: 20251113-20B8J6 - Guangzhou Gelian Trading Co., Ltd - due 2025-11-19</t>
  </si>
  <si>
    <t>PUBLIK SERVICE DI MUSTO ANTONIO</t>
  </si>
  <si>
    <t>Guangzhou Gelian Trading Co., Ltd</t>
  </si>
  <si>
    <t>kilimall</t>
  </si>
  <si>
    <t>Additional Information Request – Hold - RT7826989712 - Kilimall international limited - T7K5M95MVVHP | 785444</t>
  </si>
  <si>
    <t>RichRipple Innovation Limited</t>
  </si>
  <si>
    <t>Additional Information Request - Alert-RT9065520716-HONG KONG UGREEN LIMITED | 787549</t>
  </si>
  <si>
    <t>5181250521041756328</t>
  </si>
  <si>
    <t>HONG KONG UGREEN LIMITED</t>
  </si>
  <si>
    <t>英国本土店-GBP(huaruishop)</t>
  </si>
  <si>
    <t>FW: NOTIFICATION EMAIL - NPF-255165</t>
  </si>
  <si>
    <t>MR SURESH JERAM PATEL</t>
  </si>
  <si>
    <t>華瑞電子商務有限公司</t>
  </si>
  <si>
    <t>涉及欺诈，协商退款</t>
  </si>
  <si>
    <t>3100286 - 1393568890 - [Thunes - Global E-Payment Limited] [1393568890] Partner Request for Information - [Thunes Outbound]</t>
  </si>
  <si>
    <t>ASIA COMMERCE SUPPLY CHAIN SDN. BHD</t>
  </si>
  <si>
    <t>RFI - Hefei PuBeng Network Technology Co., Ltd - 20251119-Q1ORBU - AGR S.R.L.S. - Case 00327384</t>
  </si>
  <si>
    <t>AGR S.R.L.S.</t>
  </si>
  <si>
    <t>Post-RFI Payment Ref 1513IT5008900083 [ CIF Number 5259859 GLOBAL E-PAYMENT LIMITED] EMAIL REF HK100513029</t>
  </si>
  <si>
    <t>5181230915000806678</t>
  </si>
  <si>
    <t>RYVYL EU EAD</t>
  </si>
  <si>
    <t>MINISTER TRADE LIMITED</t>
  </si>
  <si>
    <t>HKP251119-000086 // HK6OL251118028HZ // 1000.00 USD</t>
  </si>
  <si>
    <t>5181250916048171298</t>
  </si>
  <si>
    <t>STREAM TECHNOLOGY LIMITED</t>
  </si>
  <si>
    <t>TRANSLAND INFORMATION GROUP LIMITED</t>
  </si>
  <si>
    <t>RFI Inquiry 21.11.2025 for Bo Co P000001760201062</t>
  </si>
  <si>
    <t>5181240418003141568</t>
  </si>
  <si>
    <t>Bo Co</t>
  </si>
  <si>
    <t>hipax</t>
  </si>
  <si>
    <t>Return Payment &lt;REFNO #17243119&gt; [OTT] CIF #5259859 GLOBAL E-PAYMENT LIMITED - 1513OI0583702</t>
  </si>
  <si>
    <t>CHINA ELECAL INTERNATIONAL CO.,LIMITED</t>
  </si>
  <si>
    <t>收款人间接涉俄+收款地址制裁</t>
  </si>
  <si>
    <t>独立站英镑</t>
  </si>
  <si>
    <t>RFI Inquiry 25/11/2025 for migueldo minguez Transaction No P000001763354986</t>
  </si>
  <si>
    <t>5181240106001675098</t>
  </si>
  <si>
    <t>李聪慧</t>
  </si>
  <si>
    <t>RFI: 20251120-0E99MY - Guangzhou Shuyi Technology Co., Ltd - due 2025-11-28</t>
  </si>
  <si>
    <t>5181251031050742128</t>
  </si>
  <si>
    <t>A.V.C. S.R.L. SEMPLIFICATA</t>
  </si>
  <si>
    <t>Guangzhou Shuyi Technology Co., Ltd</t>
  </si>
  <si>
    <t>电商平台</t>
  </si>
  <si>
    <t>转发：【对公反洗钱协查】-IRFT72342502583--GLOBAL E-PAYMENT LIMITED，请尽快反馈哦。</t>
  </si>
  <si>
    <t>OKAVA KENYA LTD 2/LUKENYA PARK C 3/KE/NAIROBI</t>
  </si>
  <si>
    <t>RFI Inquiry 2025-11-15 for A Hassan Transaction ID P000001756358901</t>
  </si>
  <si>
    <t>5181250610043033848</t>
  </si>
  <si>
    <t>A Hassan</t>
  </si>
  <si>
    <t>HE ZE XU XIANG SHA</t>
  </si>
  <si>
    <t>Additional Information Request – Post Transaction Monitoring – HONGKONG WILLVAST TECHNOLOGY LIMITED/RT1785698744 | 797387</t>
  </si>
  <si>
    <t>HONGKONG WILLVAST TECHNOLOGY LIMITED</t>
  </si>
  <si>
    <t>Additional Information Request – Post Transaction Monitoring – Hong Kong Yeahdone Technology Co., Limited/RT9507929860 | 797371</t>
  </si>
  <si>
    <t>5181250625044045828</t>
  </si>
  <si>
    <t>Hong Kong Yeahdone Technology Co., Limited</t>
  </si>
  <si>
    <t>Additional Information Request – Post Transaction Monitoring – Harbin Rufavor E-commerce Co.Ltd/RT6579439957 | 797320</t>
  </si>
  <si>
    <t>5181250516041565818</t>
  </si>
  <si>
    <t>哈尔滨俄优选电子商务有限公司</t>
  </si>
  <si>
    <t>HONG KONG NUOKUN LIMITED</t>
  </si>
  <si>
    <t>候马超/AliExpress</t>
  </si>
  <si>
    <t>SR-HK-20251127-P00034 SCB RFI--STS—eOTT— HK6OL25112702A4Z- GLOBAL E-PAYMENT LIMITED - TS251127-HK00034</t>
  </si>
  <si>
    <t>Liu Ming</t>
  </si>
  <si>
    <t>RFI - GUANGCHEN INDUSTRIAL CO., LIMITED - 20251127-7HZPMY - RAVEN S.R.L.S. - Case 00331777</t>
  </si>
  <si>
    <t>RAVEN S.R.L.S.</t>
  </si>
  <si>
    <t>GUANGCHEN INDUSTRIAL CO., LIMITED</t>
  </si>
  <si>
    <t>SR-HK-20251128-P00046 SCB RFI--STS—eOTT-- HK6OT2511280290A - Global E-Payment Limited// TS251128-HK00034</t>
  </si>
  <si>
    <t>5181240813020984378</t>
  </si>
  <si>
    <t>TECOO STEEL NEW MATERIAL LIMITED</t>
  </si>
  <si>
    <t>PYRAMIDS STEEL NON FER METAL TR LLC</t>
  </si>
  <si>
    <t>姜俊锋/</t>
  </si>
  <si>
    <t>英国本土店-GBP(zenithshop)</t>
  </si>
  <si>
    <t>RFI Inquiry 28/11/2025 A Hussein P000001768475342</t>
  </si>
  <si>
    <t>A Hussein</t>
  </si>
  <si>
    <t>独立站美元-USD</t>
  </si>
  <si>
    <t>(For Your Action) IDW GLOBAL E-PAYMENT LIMITED SWF405493329645694 USD803</t>
  </si>
  <si>
    <t>5181250911047905068</t>
  </si>
  <si>
    <t>DANIEL A RODRIGUEZ</t>
  </si>
  <si>
    <t>茂名博洋国际信息有限公司</t>
  </si>
  <si>
    <t>曾茁/刘子阳</t>
  </si>
  <si>
    <t>RFI: 20251201-QIGQT6 - Guangzhou Shuyi Technology Co., Ltd - due 2025-12-05</t>
  </si>
  <si>
    <t>Openpayd调单手续费100欧，账户无余额</t>
  </si>
  <si>
    <t>IL LEGNO DI LUCIANO MIANO FALEGNAMERIA</t>
  </si>
  <si>
    <t>OLX波兰站-PLN</t>
  </si>
  <si>
    <t>RFI Inquiry 03.12.2025 for Aleksy Kozak 8350569000003046</t>
  </si>
  <si>
    <t>5181250518041620498</t>
  </si>
  <si>
    <t>PayU S.A.</t>
  </si>
  <si>
    <t>胡俊杰</t>
  </si>
  <si>
    <t>店铺实名信息是商户伪造，无法回应调单</t>
  </si>
  <si>
    <t>PENDING AMENDMENT REF. 1513OT9961009 REMITTER: GLOBAL E-PAYMENT LIMITED L/I Y</t>
  </si>
  <si>
    <t>SHANGHAI JIANGAO TECHNOLOGY CO LTD</t>
  </si>
  <si>
    <t>收款信息有误</t>
  </si>
  <si>
    <t>RFI - Hefei PuBeng Network Technology Co., Ltd - 20251204-AULCFO - AGR S.R.L.S. - Case 00334156</t>
  </si>
  <si>
    <t>Hefei PuBeng Network Technology Co., Ltd</t>
  </si>
  <si>
    <t>RFI - HONG KONG MOKATONG TRADINGCO.,LIMITED - 20251205-SWP7N0 - MSE S.R.L.S. - Case 00334859</t>
  </si>
  <si>
    <t>5181250709044660888</t>
  </si>
  <si>
    <t>MSE S.R.L.S.</t>
  </si>
  <si>
    <t>HONG KONG MOKATONG TRADING CO.,LIMITED</t>
  </si>
  <si>
    <t>RFI - JIAKEKE TRADE LIMITED - 20251208-OTTNWL - MBK - Case 00336547</t>
  </si>
  <si>
    <t>5181251117051796778</t>
  </si>
  <si>
    <t>MBK</t>
  </si>
  <si>
    <t>佳可可贸易有限公司</t>
  </si>
  <si>
    <t>HKP251205-000225 / HK6OT251204029FL / 84,725.19/EUR</t>
  </si>
  <si>
    <t>(For Your Action) IDW GLOBAL E-PAYMENT LIMITED SWF206733439244859 USD7630.8</t>
  </si>
  <si>
    <t>5181241203036216568</t>
  </si>
  <si>
    <t>HAN HONG</t>
  </si>
  <si>
    <t>英飛國際有限公司</t>
  </si>
  <si>
    <t>RFI: 20251210-ZD0RAK - HFMY LIMITED - due 2025-12-17</t>
  </si>
  <si>
    <t>5181251111051412108</t>
  </si>
  <si>
    <t>SEA FORCE 1 S.R.L.</t>
  </si>
  <si>
    <t>鴻芙貿易有限公司</t>
  </si>
  <si>
    <t>[PingPong Currentz] Request for information - ID: 202512110816590181055</t>
  </si>
  <si>
    <t>5181230918000823748</t>
  </si>
  <si>
    <t>ACAR DAYANIKLI TUKETIM MALLARI TIC+BEYAZ MH. MERSIN YOLU UZERI BLV. 17</t>
  </si>
  <si>
    <t>邢台潘德洛科技有限公司</t>
  </si>
  <si>
    <t>林劲/CLOUDWALLEXLIMITED</t>
  </si>
  <si>
    <t>李凯</t>
  </si>
  <si>
    <t>Action Request _RFI request-OTT—HK6OL251208028A4– HKP251208-000331</t>
  </si>
  <si>
    <t>YGE (HONG KONG) TECHNOLOGY CO.. LIMITED</t>
  </si>
  <si>
    <t>RE: RFI: 20251020-BFRAXS - Guangzhou Gelian Trading Co., Ltd - due 2025-12-16</t>
  </si>
  <si>
    <t>IRON TRADE S.R.L.</t>
  </si>
  <si>
    <t>Action Request _RFI request-OTT—HK6OL251211028O2 – HKP251212-000075 Password Email
其他邮件：Fw:RE : SR-HK-20251215-E00118 [External] 借记订单报文信息查询</t>
  </si>
  <si>
    <t>5181251107051131938</t>
  </si>
  <si>
    <t>香港順達貿易有限公司</t>
  </si>
  <si>
    <t>&lt;&lt;Complaint &gt;&gt; - Global E-Payment -VA : YYang International Trading Limited</t>
  </si>
  <si>
    <t>5181251110051317398</t>
  </si>
  <si>
    <t>FLY FLY MU TECHNOLOGY LIMITED</t>
  </si>
  <si>
    <t>羽旸国际贸易有限公司</t>
  </si>
  <si>
    <t>(For Your Action) IDW GLOBAL E-PAYMENT LIMITED 25C142140431BT00 USD123901.2</t>
  </si>
  <si>
    <t>PHOENIX CO., LTD</t>
  </si>
  <si>
    <t>HONGKONG EVERWEALTHY TRADE CO., LIMITED</t>
  </si>
  <si>
    <t>(1350558615) AML/CTF Thunes Information Request [Global E-Payment Limited]</t>
  </si>
  <si>
    <t>5181250612043215518</t>
  </si>
  <si>
    <t>武汉千里行商贸有限公司</t>
  </si>
  <si>
    <t>BAI HAONAN</t>
  </si>
  <si>
    <t>RFI - Luminous Charm LIMITED - 20251216-RV93VD - MONICA SRL - Case 00341467</t>
  </si>
  <si>
    <t>MONICA SRL</t>
  </si>
  <si>
    <t>3142793 - [Thunes - Global E-Payment Limited] [1416393485] Partner Request for Information - [Thunes Outbound]
一样内容：3142794 - [Thunes - Global E-Payment Limited] [1416393485] Partner Request for Information - [Thunes Outbound]</t>
  </si>
  <si>
    <t>美容护肤</t>
  </si>
  <si>
    <t>POSTTM-772 Guangzhou Yougoubao E-commerce Co., Ltd. - Post Transaction Query - Global E-payment Limited</t>
  </si>
  <si>
    <t>5181251121052046778</t>
  </si>
  <si>
    <t>NGUYEN THI HUE</t>
  </si>
  <si>
    <t>广州悠购宝电子商务有限公司</t>
  </si>
  <si>
    <t>温相杨/</t>
  </si>
  <si>
    <t>易雲匯</t>
  </si>
  <si>
    <t>HKP251215-000430//HK6OT251212029T6// 208,193.00/USD</t>
  </si>
  <si>
    <t>5181250807046025408</t>
  </si>
  <si>
    <t>HONG KONG CHIC E-COMMERCE LIMITED</t>
  </si>
  <si>
    <t>COM DIJITAL MEDYA YAZILIM DANISMANLIK LIMITED SIRKETI</t>
  </si>
  <si>
    <t>RFI Inquiry 18/12/2025 Ali P000001789593633</t>
  </si>
  <si>
    <t>5181251209053241478</t>
  </si>
  <si>
    <t>Mohammed Sajid</t>
  </si>
  <si>
    <t>YIWU ZHUMI TRADING FIRM</t>
  </si>
  <si>
    <t>[PingPong Currentz] Request for information - ID: 202512190808047312310</t>
  </si>
  <si>
    <t>5181230914000789208</t>
  </si>
  <si>
    <t>MICHEL MCNABB10940 TOWN CIR APT 211</t>
  </si>
  <si>
    <t>河北信诺动力科技集团有限公司</t>
  </si>
  <si>
    <t>PP账户已注销，原路退回</t>
  </si>
  <si>
    <t>DSGpay</t>
  </si>
  <si>
    <t>GEP/DSGPay: RFI VA number 8906000275 SHAN SHAN RUAN</t>
  </si>
  <si>
    <t>5181251029050576898</t>
  </si>
  <si>
    <t>ADKINS CUSTOM FL</t>
  </si>
  <si>
    <t>武汉东既白商贸有限公司</t>
  </si>
  <si>
    <t>芯片</t>
  </si>
  <si>
    <t>RE: SCBHK - Payful - GEP - GLOBAL E-PAYMENT LIMITED - RFI - HK5IT250702004Z0 - HK5IT250702004Z0</t>
  </si>
  <si>
    <t>5181250605042613368</t>
  </si>
  <si>
    <t>PERFECT PRINTING PRESS LTD</t>
  </si>
  <si>
    <t>CHIPSWILL TECHNOLOGY LIMITED</t>
  </si>
  <si>
    <t>Additional Information Request – Post Transaction Monitoring – RT4154542625 – ZHENG ZHOU NIAN NIAN SHENG SHANG MAO CO., LTD | 826319</t>
  </si>
  <si>
    <t>ZHENG ZHOU NIAN NIAN SHENG SHANG MAO CO., LTD</t>
  </si>
  <si>
    <t>HXD BUSINESS (CHINA)LIMITED</t>
  </si>
  <si>
    <t>RFI Inquiry 23/12/2025 for Liu Yang 8530568800003360</t>
  </si>
  <si>
    <t>5181251130052457688</t>
  </si>
  <si>
    <t>Kami�ska Ksenia</t>
  </si>
  <si>
    <t>SMS services</t>
  </si>
  <si>
    <t>Action Request - RFI request- HK6OL25122202COY - HKP251223-000119</t>
  </si>
  <si>
    <t>川流科技（香港）有限公司</t>
  </si>
  <si>
    <t>BAIWU(HK)INTERNATIONAL LIMITED</t>
  </si>
  <si>
    <t>(For Your Action) IDW GLOBAL E-PAYMENT LIMITED 100536757 USD200000</t>
  </si>
  <si>
    <t>HONG KONG BENEVOLENCE INTERNATIONAL LIMITED</t>
  </si>
  <si>
    <t>GEP/DSGPay: RFI VA number 8906000239 Sihua He</t>
  </si>
  <si>
    <t>5181251202052563378</t>
  </si>
  <si>
    <t>何四华</t>
  </si>
  <si>
    <t>资料造假清退</t>
  </si>
  <si>
    <t>(1421322746) AML/CTF Thunes Information Request [Global E-Payment Limited]</t>
  </si>
  <si>
    <t>ZHANGYURUI</t>
  </si>
  <si>
    <t>(1421178698) AML/CTF Thunes Information Request [Global E-Payment Limited]</t>
  </si>
  <si>
    <t>QUANZHE ZHANG</t>
  </si>
  <si>
    <t>(1421168675) AML/CTF Thunes Information Request [Global E-Payment Limited]</t>
  </si>
  <si>
    <t>YANLEI WANG</t>
  </si>
  <si>
    <t>[PingPong Currentz] Request for information - ID: 202512290808363371402</t>
  </si>
  <si>
    <t>Moolahgo</t>
  </si>
  <si>
    <t>RFI SOLO SEA</t>
  </si>
  <si>
    <t>5181250211037655068</t>
  </si>
  <si>
    <t>Global Time Trading Develop Limited</t>
  </si>
  <si>
    <t>海螺數字科技有限公司</t>
  </si>
  <si>
    <t>林劲/HummingbirdIntercomsPtyLtd2</t>
  </si>
  <si>
    <t>Additional Information Request – Post Transaction Monitoring - RT5419040548 | 831131
其他邮件：Additional Information Request – Post Transaction Monitoring - RT5419040548 | (Request ID : 831131)</t>
  </si>
  <si>
    <t>HUANG ZAIYU</t>
  </si>
  <si>
    <t>RFI: 20251125-WVUQFV - XLZ LIMITED - due 2026-01-05</t>
  </si>
  <si>
    <t>5181251118051910948</t>
  </si>
  <si>
    <t>TARANTINO CARMELO</t>
  </si>
  <si>
    <t>XLZ LIMITED</t>
  </si>
  <si>
    <t>(For Your Action) IDW GLOBAL E-PAYMENT LIMITED 2025122600519421-017 USD81941.33</t>
  </si>
  <si>
    <t>(For Your Action) IDW GLOBAL E-PAYMENT LIMITED 25C2908364519L00 USD6608.9</t>
  </si>
  <si>
    <t>5181251205052859298</t>
  </si>
  <si>
    <t>DIGITAL DEVICES COMPANY</t>
  </si>
  <si>
    <t>深圳市储盈电子科技有限公司</t>
  </si>
  <si>
    <t>娄正才/周来根</t>
  </si>
  <si>
    <t>HKP251222-000323 // 1271041341627467 // HK6OL251127026RR</t>
  </si>
  <si>
    <t>5181251110051279368</t>
  </si>
  <si>
    <t>Google GmbH Limited</t>
  </si>
  <si>
    <t>NATCH COSMETICS HK LTMITED</t>
  </si>
  <si>
    <t>风控申请取消出款失败</t>
  </si>
  <si>
    <t>Fw:RE : SR-HK-20251231-E00141 [External] 借记订单报文信息查询
其他邮件：Action Request - RFI request- HK6OL251229029VM - HKP251230-000221</t>
  </si>
  <si>
    <t>HONG KONG SHUNDA TRADE CO.,LIMITED</t>
  </si>
  <si>
    <t>HKP251230-000329 / HK6OT2512290294K / 92,936.97/EUR</t>
  </si>
  <si>
    <t>Additional Information Request – Post Transaction Monitoring – ALIEXPRESS CIS HOLDING PTE. LTD. - RU/Connect Resources LLC/RT3913922781 | 834938</t>
  </si>
  <si>
    <t>5181250523041881628</t>
  </si>
  <si>
    <t>ALIEXPRESS CIS HOLDING PTE. LTD. - RU</t>
  </si>
  <si>
    <t>Connect Resources LLC</t>
  </si>
  <si>
    <t>RFI Inquiry 26/12/2025 SIMA P000001794736820</t>
  </si>
  <si>
    <t>SIMA</t>
  </si>
  <si>
    <t>PRETM-23743 Transaction Enquiry - HK YIDING GLOBAL TRADING LIMITED - 260107-COL-3596523A</t>
  </si>
  <si>
    <t>5181251022050108818</t>
  </si>
  <si>
    <t>DAO VAN TIN</t>
  </si>
  <si>
    <t>HK YIDING GLOBAL TRADING LIMITED</t>
  </si>
  <si>
    <t>PRETM-23754 Transaction Enquiry - HK YIDING GLOBAL TRADING LIMITED - 260107-COL-E41E9289</t>
  </si>
  <si>
    <t>HKP260106-000253 // HK6OT260106026QT // AMT 16,396.00/CNY</t>
  </si>
  <si>
    <t>5181221223003014968</t>
  </si>
  <si>
    <t>广州市国色智能科技有限公司</t>
  </si>
  <si>
    <t>SMDhome drustvo s ogranicenom odgovomnoscu za trgovinu i usluge</t>
  </si>
  <si>
    <t>谭先婷/深圳市闪汇通科技有限公司</t>
  </si>
  <si>
    <t>Payment issue of your payment under ref no. HK6OT26010902699 for the Amount: 91,967.94/EUR HKP260109-000160</t>
  </si>
  <si>
    <t>【对公反洗钱协查】-OREF72342607954--GLOBAL E-PAYMENT LIMITED，需尽快反馈</t>
  </si>
  <si>
    <t>5181240612004494908</t>
  </si>
  <si>
    <t>佳和贸易發展有限公司</t>
  </si>
  <si>
    <t>HONG KONG SHUNDA TRADE CO., LIMITED</t>
  </si>
  <si>
    <t>Fwd: DOLLARSMART OFAC CASE 20260105_103970849340_8909000138_Jose Sanchez ACH IN</t>
  </si>
  <si>
    <t>5181240412003059788</t>
  </si>
  <si>
    <t>谢青池</t>
  </si>
  <si>
    <t>梁紫薇/孙言言</t>
  </si>
  <si>
    <t>(For Your Action) IDW GLOBAL E-PAYMENT LIMITED 1513OT0189287 USD2,777.00</t>
  </si>
  <si>
    <t>PHOENIX PLUS PTE. LTD.</t>
  </si>
  <si>
    <t>机构 易宝</t>
  </si>
  <si>
    <t>转发：转发: 【对公反洗钱协查】-IRFT72342502664--GLOBAL E-PAYMENT LIMITED，需尽快反馈。</t>
  </si>
  <si>
    <t>YEEWALLEX HK LIMITED - ACCOUNT 2</t>
  </si>
  <si>
    <t>易雲匯香港有限公司</t>
  </si>
  <si>
    <t>转发：【对公反洗钱协查】-CNEF72342600289--GLOBAL E-PAYMENT LIMITED，需尽快反馈。</t>
  </si>
  <si>
    <t>5181250820046529268</t>
  </si>
  <si>
    <t>深圳市原泽电子有限公司</t>
  </si>
  <si>
    <t>Dongguan Yuanze Acoustics Technology Co., Ltd.</t>
  </si>
  <si>
    <t>RFI Inquiry 16/01/2026 for ENTREPRISEP000001818386543</t>
  </si>
  <si>
    <t>M DANIEL GEERS</t>
  </si>
  <si>
    <t>交易收款人名写错</t>
  </si>
  <si>
    <t>(For Your Action) IDW GLOBAL E-PAYMENT LIMITED 100555264 EUR15,963.00</t>
  </si>
  <si>
    <t>5181260113055052678</t>
  </si>
  <si>
    <t>MOTOR COMMUNICATION SOLUTION LIMITED</t>
  </si>
  <si>
    <t>Lah Company 88 Ltd.</t>
  </si>
  <si>
    <t>RFI Inquiry 21/01/2026 for Mohammad Alali P000001822014047</t>
  </si>
  <si>
    <t>5181230912000758408</t>
  </si>
  <si>
    <t>PayPal (Europe) Sarl et CIE SCA</t>
  </si>
  <si>
    <t>常建武</t>
  </si>
  <si>
    <t>RFI Inquiry 22/01/2026 for ANTON PRYKHODKO in Transaction No P000001825342058</t>
  </si>
  <si>
    <t>乌克兰电子烟</t>
  </si>
  <si>
    <t>5181251114051638758</t>
  </si>
  <si>
    <t>ANTON PRYKHODKO</t>
  </si>
  <si>
    <t>Vekor Limited</t>
  </si>
  <si>
    <t>Action Request _RFI request-OTT—HK6OL260120029M9– HKP260121-000317</t>
  </si>
  <si>
    <t>5181250702044386628</t>
  </si>
  <si>
    <t>宏康國際公司</t>
  </si>
  <si>
    <t>Hung Ai International Limited</t>
  </si>
  <si>
    <t>RFI Inquiry 22/01/2026 for dsa Transaction No P000001824229256</t>
  </si>
  <si>
    <t>dsa乱起的名字</t>
  </si>
  <si>
    <t>dsa</t>
  </si>
  <si>
    <t>RFI Inquiry 22.01.2026 for Zenith ecom ltd P000001824184385</t>
  </si>
  <si>
    <t>材料造假</t>
  </si>
  <si>
    <t>MOHAMMAD WALI</t>
  </si>
  <si>
    <t>HKP260121-000208 // HK6OT260119027C8 // 1191130097188662</t>
  </si>
  <si>
    <t>SLS Priority A Thunes Information Request [Global E-Payment Limited] - [1447077201]</t>
  </si>
  <si>
    <t>5181251222054028208</t>
  </si>
  <si>
    <t>青岛达善国际贸易有限公司</t>
  </si>
  <si>
    <t>Rainforest Co., Ltd</t>
  </si>
  <si>
    <t>Re: RfiClient from BBRUBEBB010 - Ref.: COR9AHW4N01P2101/SEPA PAYMENT BC:071406969
关联邮件：Fw: RfiClient from RABONL2UXXX - Ref.: RBG260121-000173/OO9T005450453054 BC:071406932</t>
  </si>
  <si>
    <t>5181260119055348748</t>
  </si>
  <si>
    <t>深圳市三丛竹科技有限责任公司</t>
  </si>
  <si>
    <t>RFI Inquiry 26/01/2026 for Paw owska Katarzyna Transaction No 5230526400002241</t>
  </si>
  <si>
    <t>5181250221038063548</t>
  </si>
  <si>
    <t>蔡以恒</t>
  </si>
  <si>
    <t>SR-HK-20260127-P00008 SCB RFI--STS—eOTT-- HK6OL26012602CZ0 - GLOBAL E-PAYMENT LIMITED //TS260126-HK00060</t>
  </si>
  <si>
    <t>POBO付款方地址命中制裁</t>
  </si>
  <si>
    <t>ADW HOLDINGS CO., LIMITED</t>
  </si>
  <si>
    <t>(For Your Action) IDW GLOBAL E-PAYMENT LIMITED 100560297 EUR86,246.37</t>
  </si>
  <si>
    <t>MKO Complete Solutions d.o.o.</t>
  </si>
  <si>
    <t>HKP260127-000152//HK6OL26011602A82</t>
  </si>
  <si>
    <t>[HKL OT REF] OUTWARD IDEAL - CLARIFY CNY CORR BANK - GLOBAL E-PAYMENT LIMITED - 1513OT6010255212</t>
  </si>
  <si>
    <t>SHAOXING ARRON TEXTILE CO.,LTD.</t>
  </si>
  <si>
    <t>李坤严/陆萍</t>
  </si>
  <si>
    <t>中间行忽略</t>
  </si>
  <si>
    <t>RfiClient from PPABPLPKXXX - Ref.: SZREK-331439/CEN2601210098830 BC:071407041</t>
  </si>
  <si>
    <t>GRALA PIOTR</t>
  </si>
  <si>
    <t>SR-HK-20260130-P00061 SCB RFI--STS—eOTT-- HK6OL26013002B2R - GLOBAL E-PAYMENT LIMITED//TS260130-HK00054</t>
  </si>
  <si>
    <t>5181240830023924738</t>
  </si>
  <si>
    <t>SILVERROCKET EUROPE LIMITED</t>
  </si>
  <si>
    <t>Jiang Jiawei</t>
  </si>
  <si>
    <t>RfiClient from INGBNL2AXXX - Ref.: SRVC00098-290126/F01SXPYDKKKBXXX0 BC:071407068</t>
  </si>
  <si>
    <t>RFI Inquiry 30/01/2026 for BNP PARIBASP000001833253196</t>
  </si>
  <si>
    <t>VA已注销</t>
  </si>
  <si>
    <t>RE: SCBHK - GEP - RFI - CA40743028 - US - TM260128-US00303 - by 11 Feb 2026</t>
  </si>
  <si>
    <t>5181241213036499548</t>
  </si>
  <si>
    <t>深圳市钛格龙科技有限公司</t>
  </si>
  <si>
    <t>TIGLON TECHNOLOGY PTE. LTD,</t>
  </si>
  <si>
    <t>HKP260202-000336 // HK6OL26020202D85 // 2021510169767454</t>
  </si>
  <si>
    <t>5181240221002104258</t>
  </si>
  <si>
    <t>遨遊九天營銷有限公司</t>
  </si>
  <si>
    <t>HONG KONG BRANDSOCEAN CO.,LIMITED</t>
  </si>
  <si>
    <t>RFI Inquiry 04/02/2026 for PETER BURGESS KUCHARCZYK 5330549100014409</t>
  </si>
  <si>
    <t>PAYPAL PTE LTD 5 TEMASEK BOULEVARD</t>
  </si>
  <si>
    <t>林劲/张文力</t>
  </si>
  <si>
    <t>地址虚拟无法提供</t>
  </si>
  <si>
    <t>SR-HK-20260205-P00039 SCB RFI--STS—eOTT-- HK6OL26020502965 - GLOBAL E-PAYMENT LIMITED// TS260205-HK00057</t>
  </si>
  <si>
    <t>5181241209036402158</t>
  </si>
  <si>
    <t>深圳市易可美科技物流有限公司</t>
  </si>
  <si>
    <t>WANG XI</t>
  </si>
  <si>
    <t>Pyvio</t>
  </si>
  <si>
    <t>RFI - NGUYEN DUY PHUC</t>
  </si>
  <si>
    <t>5181221201002916108</t>
  </si>
  <si>
    <t>乐飞天下有限公司</t>
  </si>
  <si>
    <t>NGUYEN DUY PHUC</t>
  </si>
  <si>
    <t>高天景/</t>
  </si>
  <si>
    <t>Unable to Apply-OTT— HK6OT260202029VP– HKP260203-000462</t>
  </si>
  <si>
    <t>HKP260203-000329//HK6OT260202029LZ//USD 14,915.00</t>
  </si>
  <si>
    <t>5181260122055514808</t>
  </si>
  <si>
    <t>香港米客貿易有限公司</t>
  </si>
  <si>
    <t>NINGBO NUMBER ONE SUPPLIERS FOREIGN TRADECO.,LTD</t>
  </si>
  <si>
    <t>RFI Inquiry 05/02/2026 for FGH P000001840007950</t>
  </si>
  <si>
    <t>5181240531003571408</t>
  </si>
  <si>
    <t>FGH</t>
  </si>
  <si>
    <t>谷城县零末商贸有限公司</t>
  </si>
  <si>
    <t>HKP260205-000386 // HK6OL260205025ZK // 132,200.00/USD</t>
  </si>
  <si>
    <t>林劲/新中润集团有限公司</t>
  </si>
  <si>
    <t>SR-HK-20260206-P00062 SCB RFI--STS—eOTT—HK6OL26020602B07 - GLOBAL E-PAYMENT LIMITED//TS260206-HK00052</t>
  </si>
  <si>
    <t>AGMS SOLUTIONS LIMITED</t>
  </si>
  <si>
    <t>林劲/小鸟</t>
  </si>
  <si>
    <t>OUTWARD IDEAL - CLARIFY CNY CORR BANK - GLOBAL E-PAYMENT LIMITED - 1513OT6010312266</t>
  </si>
  <si>
    <t>5181250928048962608</t>
  </si>
  <si>
    <t>延興環球食品供應鏈有限公司</t>
  </si>
  <si>
    <t>Jiangsu Laoshu Pet Products Co., Ltd</t>
  </si>
  <si>
    <t>SR-HK-20260210-P00001 SCB RFI--STS—eOTT-- HK6OL26020902E7I - GLOBAL E-PAYMENT LIMITED//TS260209-HK00050</t>
  </si>
  <si>
    <t>PENDING AMENDMENT REF. 1513OT0313257 GLOBAL E-PAYMENT LIMITED L/Y</t>
  </si>
  <si>
    <t>5181230918000822578</t>
  </si>
  <si>
    <t>北京爱鸽国际旅行社有限公司</t>
  </si>
  <si>
    <t>Vietlet Aviation JSC</t>
  </si>
  <si>
    <t>HKP260208-000038 / HK6OT2602050269N / USD 18,899.00</t>
  </si>
  <si>
    <t>RFI Inquiry 2026-01-27 for ANTON PRYKHODKO Transaction ID P000001831672302</t>
  </si>
  <si>
    <t>HKP260210-000189 // HK6OT26020902971 // 2091552205713084</t>
  </si>
  <si>
    <t>HKP260211-000445 // HK6OT260210028P8 // USD 49,278.00</t>
  </si>
  <si>
    <t>HKP260212-000011 // HK6OT260211026Z0 // USD 114,620.00
其他邮件：[External] Re: HKP260212-000011 // HK6OT260211026Z0 // USD 114,620.00</t>
  </si>
  <si>
    <t>5181251110051300468</t>
  </si>
  <si>
    <t>MEGO TOP TECHNOLOGY CO.,LIMITED</t>
  </si>
  <si>
    <t>Yiwu Trans ton Trade Co., LTD</t>
  </si>
  <si>
    <t>HKP260211-000248</t>
  </si>
  <si>
    <t>RFI Inquiry 18/02/2026 for IPT P000001851055626</t>
  </si>
  <si>
    <t>5181230418003460758</t>
  </si>
  <si>
    <t>IPT</t>
  </si>
  <si>
    <t>RFI Inquiry 19/01/2026 for ANTON PRYKHODKO in Transaction No P000001853106755</t>
  </si>
  <si>
    <t>Action Request - RFI request- HK6OT26021202861 - HKP260212-000413</t>
  </si>
  <si>
    <t>HKP260215-000017 // HK6OT260212028EB // 49,702.00/USD</t>
  </si>
  <si>
    <t>有两封一模一样的</t>
  </si>
  <si>
    <t>Additional Information Request – Hold - RT5161904854 - Connect resources LLC/ Global e payment limited - AE1762833609036 | 882890</t>
  </si>
  <si>
    <t>ALIEXPRESS CIS HOLDING PTE. LTD. -2</t>
  </si>
  <si>
    <t>Additional Information Request – Post Transaction Monitoring – RT6506803916-Shenzhenshi qiaokepai kejiyouxiangongsi | 884282</t>
  </si>
  <si>
    <t>5181250515041545938</t>
  </si>
  <si>
    <t>深圳市巧克派科技有限公司</t>
  </si>
  <si>
    <t>HONGKONG ANYCUBIC TECHNOLOGY CO., LIMITED</t>
  </si>
  <si>
    <t>Additional Information Request – Post Transaction Monitoring- RT7398987641 / RT7398987641 | A Ticket #887496 has been created
其他邮件：Additional Information Request – Post Transaction Monitoring- RT7398987641 / RT7398987641 | 887496</t>
  </si>
  <si>
    <t>YANG GONGPING</t>
  </si>
  <si>
    <t>小鸟</t>
  </si>
  <si>
    <t>RFI - UT1877292773423526466 李豪宇</t>
  </si>
  <si>
    <t>5181250111037212798</t>
  </si>
  <si>
    <t>CTY CP NHAT PHUONG</t>
  </si>
  <si>
    <t>李豪宇</t>
  </si>
  <si>
    <t>Global E-payment -Transcation review :TRIOLIN TRADE FZCO</t>
  </si>
  <si>
    <t>5181240306002304098</t>
  </si>
  <si>
    <t>TRIOLIN TRADE FZCO</t>
  </si>
  <si>
    <t>香港威诺仕电子科技有限公司</t>
  </si>
  <si>
    <t>梁紫薇/万日露</t>
  </si>
  <si>
    <t>商户已关户</t>
  </si>
  <si>
    <t>/</t>
  </si>
  <si>
    <t>SGD</t>
  </si>
  <si>
    <t>PENDING AMENDMENT REF. 1513OT0340638 REMITTER: GLOBAL E-PAYMENT LIMITED</t>
  </si>
  <si>
    <t>LAIWU TAIFENG FOODS CO., LTD.</t>
  </si>
  <si>
    <t>受益人账户信息错误</t>
  </si>
  <si>
    <t>@星星(陈一涵)</t>
  </si>
  <si>
    <t>(For Your Action) IDW GLOBAL E-PAYMENT LIMITED 1513OT0371354 JPY 854,500.00</t>
  </si>
  <si>
    <t>5181230522000128198</t>
  </si>
  <si>
    <t>广州布莱特教育科技有限公司</t>
  </si>
  <si>
    <t>TOKYO COSMO GAKUEN</t>
  </si>
  <si>
    <t>JPY</t>
  </si>
  <si>
    <t>2602261103097240429</t>
  </si>
  <si>
    <t>(1425994013) AML/CTF Thunes Information Request [Global E-Payment Limited]</t>
  </si>
  <si>
    <t>FU YANG LIN MENG DIAN ZI KE JI CO LTD</t>
  </si>
  <si>
    <t>YURUI ZHANG</t>
  </si>
  <si>
    <t>HKP260226-000012 // HK6OT260224026R0 // 80,722.00/USD</t>
  </si>
  <si>
    <t>HKP260227-000038 // HK6OL26022602BC3 // 2261721294526105</t>
  </si>
  <si>
    <t>OUTWARD IDEAL - CLARIFY CORR BANK - GLOBAL E-PAYMENT LIMITED - 1513OT6010403496</t>
  </si>
  <si>
    <t>5181251020050009878</t>
  </si>
  <si>
    <t>Ebuy1688 Trading Limited</t>
  </si>
  <si>
    <t>JIA LIN TRADE LIMITED</t>
  </si>
  <si>
    <t>确认中间行</t>
  </si>
  <si>
    <t>#8530004048 *transaction need supporting documents*- 03/05/2026</t>
  </si>
  <si>
    <t>5181221011002601968</t>
  </si>
  <si>
    <t>Martha Conde</t>
  </si>
  <si>
    <t>周培鑫</t>
  </si>
  <si>
    <t>Martha Emilia CONDE URAGA</t>
  </si>
  <si>
    <t>HKP260305-000064 // HK6OT260303026TX // AMT 85,064.99/USD</t>
  </si>
  <si>
    <t>RFI Inquiry 06/03/2026 for AT CONSULTING SRLS - 010F2502606501FH</t>
  </si>
  <si>
    <t>退款</t>
  </si>
  <si>
    <t>5181251013049580328</t>
  </si>
  <si>
    <t>Global E-Payment Limited</t>
  </si>
  <si>
    <t>AT CONSULTING SRLS</t>
  </si>
  <si>
    <t>(For Your Action) IDW GLOBAL E-PAYMENT LIMITED 065241429 USD 82,987.17</t>
  </si>
  <si>
    <t>5181240425003227808</t>
  </si>
  <si>
    <t>UNLIMIT EU LTD</t>
  </si>
  <si>
    <t>GLOBAL BEST GETWAY TECH LIMITED</t>
  </si>
  <si>
    <t>[PingPong Currentz] Request for information - ID: 202603091228024731260</t>
  </si>
  <si>
    <t>5181230922000858518</t>
  </si>
  <si>
    <t>MONEYMATCH SDN BHD</t>
  </si>
  <si>
    <t>林正阳</t>
  </si>
  <si>
    <t>商户反馈账号很久没登过，密码找不着，且VA已注销</t>
  </si>
  <si>
    <t>Fwd: Re: Re: Tx-19986195 and Tx-19986194 on hold due to HFREQ-I[#35244][#35247][#35263]</t>
  </si>
  <si>
    <t>5181251225054186608</t>
  </si>
  <si>
    <t>LIKENDRICK COUNTY</t>
  </si>
  <si>
    <t>刘修利</t>
  </si>
  <si>
    <t>MSA3 – 8530004048 - $240.00 has been held on 03/06/2026</t>
  </si>
  <si>
    <t>POSHMARK INC</t>
  </si>
  <si>
    <t>Martha Conde，命中OFAC，买家直接打款，ID给不出来，订单截图涉及LV，店铺归属权无法证明</t>
  </si>
  <si>
    <t>(For Your Action) IDW GLOBAL E-PAYMENT LIMITED HICL20260309421614271 USD 47,668.44</t>
  </si>
  <si>
    <t>5181260303056887748</t>
  </si>
  <si>
    <t>HONG KONG GMS GROUP LIMITED</t>
  </si>
  <si>
    <t>(For Your Action) IDW GLOBAL E-PAYMENT LIMITED 1513OI1125496 USD 51,172.61</t>
  </si>
  <si>
    <t>(For Your Action) IDW GLOBAL E-PAYMENT LIMITED 1513OI1130634 USD 81,715.38</t>
  </si>
  <si>
    <t>(1490623040) 3296070 - [Thunes - Global E-Payment Limited] - Partner Request for Information (Sender &amp; Beneficiary) [Thunes Outbound]</t>
  </si>
  <si>
    <t>5181240311002421528</t>
  </si>
  <si>
    <t>香港三百山航空服務有限公司（LCC)</t>
  </si>
  <si>
    <t>Congger Pty Ltd</t>
  </si>
  <si>
    <t>Post-RFI Payment Ref 1513OT5010100199 [ CIF Number 5259859 GLOBAL E-PAYMENT LIMITED] EMAIL REF HK100584575</t>
  </si>
  <si>
    <t>PROTHOMOS INTERNATIONAL LIMITED</t>
  </si>
  <si>
    <t>(For Your Action) IDW GLOBAL E-PAYMENT LIMITED 1513OI1137322 USD 150,799.46</t>
  </si>
  <si>
    <t>HKP260311-000131 / HK6OT2603090265W / USD 84,080.59</t>
  </si>
  <si>
    <t>(For Your Action) IDW GLOBAL E-PAYMENT LIMITED HICL20260313422678517 USD 150,799.46</t>
  </si>
  <si>
    <t>RFI - UT1877292773423526466 李豪宇 &amp; UT1920460308456799100 赵博雅</t>
  </si>
  <si>
    <t>5181250511041390448
5181250111037212798</t>
  </si>
  <si>
    <t>(For Your Action) IDW GLOBAL E-PAYMENT LIMITED 100588536 eur 16,210.74</t>
  </si>
  <si>
    <t>LOW PING HUI</t>
  </si>
  <si>
    <t>DIVI – 8922501205 - $534.00 has been held on 02/26/2026 (Same Name)</t>
  </si>
  <si>
    <t>(For Your Action) IDW GLOBAL E-PAYMENT LIMITED SWF207260761250322 USD 179,586.63</t>
  </si>
  <si>
    <t>HKP260319-000171</t>
  </si>
  <si>
    <t>5181251220053974058</t>
  </si>
  <si>
    <t>ALL DAY GLOBAL LIMITED</t>
  </si>
  <si>
    <t>LEDDER INTERNATIONAL LIMI</t>
  </si>
  <si>
    <t>SCB反馈：退款信息有误。与清算核实：信息应无误，可能是扫描件过于模糊了，已重新将清晰PDF回传，看看后续</t>
  </si>
  <si>
    <t>HKP260323-000038 // HK6OT260320025ZY</t>
  </si>
  <si>
    <t>海驰安汇信息科技有限公司</t>
  </si>
  <si>
    <t>Xiaomeng ZHANG</t>
  </si>
  <si>
    <t>CAD</t>
  </si>
  <si>
    <r>
      <rPr>
        <sz val="10"/>
        <color rgb="FF267EF0"/>
        <rFont val="微软雅黑"/>
        <charset val="134"/>
      </rPr>
      <t>DSG调单Timeline整理</t>
    </r>
  </si>
  <si>
    <t>GEP : Summary of cases.</t>
  </si>
  <si>
    <t>Jose Sanchez</t>
  </si>
  <si>
    <t>Payments on hold - TELEWARE TRADING LIMITED</t>
  </si>
  <si>
    <t>5181230420003473308</t>
  </si>
  <si>
    <t>很多</t>
  </si>
  <si>
    <t>泰来维国际贸易有限公司</t>
  </si>
  <si>
    <t>HKP260324-000357 // HK6OT260323026NQ // AMT 1,227.00/USD</t>
  </si>
  <si>
    <t>5181240229002208028</t>
  </si>
  <si>
    <t>深圳市雄伟轩科技有限公司</t>
  </si>
  <si>
    <t>SHEEJA MOLE KUNJUMON</t>
  </si>
  <si>
    <t>RFI Inquiry 28/03/2026 for MANDARIN S.R.O P000001894297646</t>
  </si>
  <si>
    <t>5181250604042490128</t>
  </si>
  <si>
    <t>SEUR GEOPOST S.L.U</t>
  </si>
  <si>
    <t>MANDARIN S.R.O</t>
  </si>
  <si>
    <t>SCBHK - UNABLE TO APPLY - HKP260327-000340</t>
  </si>
  <si>
    <t>PAYFUL-8922508804--JUNL CO LIMITED-needs supporting documents and explanation</t>
  </si>
  <si>
    <t>5181260228056740658</t>
  </si>
  <si>
    <t>俊隆有限公司</t>
  </si>
  <si>
    <t>GREE CONSTRACTING SERVICES INC</t>
  </si>
  <si>
    <t>王莹</t>
  </si>
  <si>
    <t>(For Your Action) IDW GLOBAL E-PAYMENT LIMITED 100595766 USD 50,000.00
关联：Returned Payment Under Ref. 1513OI1197165 GLOBAL E-PAYMENT LIMITED</t>
  </si>
  <si>
    <t>HIPAYX LIMITED (VATIN TRADING PTE LTD)</t>
  </si>
  <si>
    <t>HONG KONG BENEVOLENCE LIMITED HONG KONG</t>
  </si>
  <si>
    <t xml:space="preserve"> USD</t>
  </si>
  <si>
    <t>小鸟，2603261022098413074</t>
  </si>
  <si>
    <t>(For Your Action) IDW GLOBAL E-PAYMENT LIMITED 1513OT0505534 USD 99,350.00</t>
  </si>
  <si>
    <t>LINKFI SOFTWARE INC (HONG KONG GMS GROUP LIMITED)</t>
  </si>
  <si>
    <t>GD CONSULTING</t>
  </si>
  <si>
    <t>已到账,渠道退款</t>
  </si>
  <si>
    <t>(For Your Action) IDW GLOBAL E-PAYMENT LIMITED 100592269 USD 210,000.00
关联：Returned Payment Under Ref. 1513OI1170164 GLOBAL E-PAYMENT LIMITED</t>
  </si>
  <si>
    <t>4.9渠道通知拒绝，渠道表示：后续若有相同付款人的调单，仍然需要提供材料</t>
  </si>
  <si>
    <t>OSTROV GROUP CO., LIMITED</t>
  </si>
  <si>
    <t>WANG XINWEN</t>
  </si>
  <si>
    <t>Returned Payment Under Ref: 1513OT0439135 GLOBAL E-PAYMENT LIMITED</t>
  </si>
  <si>
    <t>[Thunes Support] Re: 3333255 - [Thunes - Global E-Payment Limited] [1506619270] Partner Request for Information - [Thunes Outbound]</t>
  </si>
  <si>
    <t>Corporate Information Travel Sdn Bhd</t>
  </si>
  <si>
    <t>RFI Inquiry 03/04/2026 for PERFORMANCE P000001903267978</t>
  </si>
  <si>
    <t>历史该商户已关结算</t>
  </si>
  <si>
    <t>5181260331059231808</t>
  </si>
  <si>
    <t>靳波</t>
  </si>
  <si>
    <t>PayPal</t>
  </si>
  <si>
    <t>陈一涵,王伊丽</t>
  </si>
  <si>
    <t>Fwd: Re: Tx-20524426 on hold du to 3PYSANC[#55819][#55821]</t>
  </si>
  <si>
    <t>MARIA JARAMILLO</t>
  </si>
  <si>
    <t>Liu Xiuli</t>
  </si>
  <si>
    <t>DIVI-8922501163- KONG YU TRADING LIMITED-needs supporting documents and explanation</t>
  </si>
  <si>
    <t>5181260211056339168</t>
  </si>
  <si>
    <t>光宇貿易有限公司</t>
  </si>
  <si>
    <t>Artisan Craft Design Inc</t>
  </si>
  <si>
    <t>AML/CTF Thunes Information Request [Global E-Payment Limited] - 2 transactions</t>
  </si>
  <si>
    <t>5181250228038406818</t>
  </si>
  <si>
    <t>香港真实球鞋有限公司</t>
  </si>
  <si>
    <t>리얼스니커 주식회사</t>
  </si>
  <si>
    <t>李坤严/</t>
  </si>
  <si>
    <t>延期</t>
  </si>
  <si>
    <t>RFI Inquiry 13/04/2026 for AHMED A Transaction No P000001912721134</t>
  </si>
  <si>
    <t>5181260314057854668</t>
  </si>
  <si>
    <t>AHMED A</t>
  </si>
  <si>
    <t>Yi wu shi lei chun</t>
  </si>
  <si>
    <t>REQUEST KYC &amp; SUPPORTING DOCUMETNS FOR ACCOUNT #8530005848 - 04/06/2026
关联：MSA3-8530005848-$15.00 has been held on 04/13/2026</t>
  </si>
  <si>
    <t>5181260126055715568</t>
  </si>
  <si>
    <t>Vinted INC</t>
  </si>
  <si>
    <t>James Wilson</t>
  </si>
  <si>
    <t>REQUEST KYCs &amp; SUPPORTING DOCUMETNS FOR ACCOUNTs # 8530007154- 04/13/2026
关联：MSA3 – 8530007154 - $10.00 &amp; $27.00 has been held on 04/14/2026</t>
  </si>
  <si>
    <t>款项均来自同一个VT店铺，命中名单James wilson</t>
  </si>
  <si>
    <t>REQUEST KYC &amp; SUPPORTING DOCUMETNS FOR ACCOUNT #8530002226- 04/14/2026
关联：MSA3 – 8530002226 - $12.80 &amp; $25.00 has been held on 04/14/2026</t>
  </si>
  <si>
    <t>SR-HK-20260415-P00002 SCB RFI--STS—eOTT— HK6OT2604140294O - Global E-Payment Limited/TS260414-HK00057</t>
  </si>
  <si>
    <t>5181251202052560078</t>
  </si>
  <si>
    <t>Globeasy Limited</t>
  </si>
  <si>
    <t>MAXTECH SPA</t>
  </si>
  <si>
    <t>(For Your Action) IDW GLOBAL E-PAYMENT LIMITED 264EF3236LZI1MIO AUD 50,000.00</t>
  </si>
  <si>
    <t>5181260327058886518</t>
  </si>
  <si>
    <t>YU ZHANG</t>
  </si>
  <si>
    <t>PURE ASCENT LIMITED</t>
  </si>
  <si>
    <t>(For Your Action) IDW GLOBAL E-PAYMENT LIMITED HICL20260414428732433 USD 500.00</t>
  </si>
  <si>
    <t>5181260210056309128</t>
  </si>
  <si>
    <t>MR LIU YANG</t>
  </si>
  <si>
    <t>VANTAGE ESIM SDN. BHD.</t>
  </si>
  <si>
    <t>SR-HK-20260417-P00006 SCB RFI--STS—eOTT— HK1OT2604160297B- GLOBAL E-PAYMENT LIMITED//TS260416-HK00067</t>
  </si>
  <si>
    <t>2604161804099402259</t>
  </si>
  <si>
    <t>HIPAYX LIMITED (PINGLINK LIMITED)</t>
  </si>
  <si>
    <t>PECKLETEK LIMITED</t>
  </si>
  <si>
    <t>(For Your Action) IDW GLOBAL E-PAYMENT LIMITED 100608707 USD 1,031.00</t>
  </si>
  <si>
    <t>SHEN ZHEN XIONG WEI XUAN TECHNOLOGY CO., LTD</t>
  </si>
  <si>
    <t>2604162211099409951</t>
  </si>
  <si>
    <t>[Thunes - Global E-Payment Limited] [1524638542] Partner Request for Information - [Thunes Outbound]</t>
  </si>
  <si>
    <t>5181220511001535738</t>
  </si>
  <si>
    <t>香港隆恒科技有限公司</t>
  </si>
  <si>
    <t>ERA PIONEERS LLC</t>
  </si>
  <si>
    <t>2604201602099497994</t>
  </si>
  <si>
    <t>3381259 - [Thunes - Global E-Payment Limited] [1528330995] Partner Request for Information - [Thunes Outbound]</t>
  </si>
  <si>
    <t>5181240424003209748</t>
  </si>
  <si>
    <t>HongKong Unififi International Limited</t>
  </si>
  <si>
    <t>Mayflower Holidays Sdn Bhd</t>
  </si>
  <si>
    <t>#3375576 - [Thunes - Global E-Payment Limited] [1525632515] Partner Request for Information - [Thunes Outbound]</t>
  </si>
  <si>
    <t>5181251125052213138</t>
  </si>
  <si>
    <t>菲鹰假期旅遊有限公司</t>
  </si>
  <si>
    <t>2604211714099543008</t>
  </si>
  <si>
    <t>#3375576 - [Thunes - Global E-Payment Limited] [1525632516] Partner Request for Information - [Thunes Outbound]</t>
  </si>
  <si>
    <t>2604211716099543074</t>
  </si>
  <si>
    <t>#3375576 - [Thunes - Global E-Payment Limited] [1525632517] Partner Request for Information - [Thunes Outbound]</t>
  </si>
  <si>
    <t>2604211713099542935</t>
  </si>
  <si>
    <t>#3375576 - [Thunes - Global E-Payment Limited] [1525632518] Partner Request for Information - [Thunes Outbound]</t>
  </si>
  <si>
    <t>2604211714099542982</t>
  </si>
  <si>
    <t>#3375576 - [Thunes - Global E-Payment Limited] [1525632519] Partner Request for Information - [Thunes Outbound]</t>
  </si>
  <si>
    <t>2604211715099543043</t>
  </si>
  <si>
    <t>3381433 - [Thunes - Global E-Payment Limited] [1528370168] Partner Request for Information - [Thunes Outbound]</t>
  </si>
  <si>
    <t>2604241424099744189</t>
  </si>
  <si>
    <t>3381433 - [Thunes - Global E-Payment Limited] [1528370190] Partner Request for Information - [Thunes Outbound]</t>
  </si>
  <si>
    <t>2604241423099744169</t>
  </si>
  <si>
    <t>3381433 - [Thunes - Global E-Payment Limited] [1528370214] Partner Request for Information - [Thunes Outbound]</t>
  </si>
  <si>
    <t>2604241423099744139</t>
  </si>
  <si>
    <t>SR-HK-20260427-P93901 SCB RFI--STS—eOTT-- HK6OT260427027QU - Global E-Payment Limited// TS260427-HK00016</t>
  </si>
  <si>
    <t>5181260410060159658</t>
  </si>
  <si>
    <t>WORKMAN CO.,LIMITED</t>
  </si>
  <si>
    <t>CHANGHONG HUAYI COMPRESSOR CO.,LTD</t>
  </si>
  <si>
    <t>2604271134099834361</t>
  </si>
  <si>
    <t>SR-HK-20260427-P94054 SCB RFI--STS—eOTT-- HK6OT26042702843 - Global E-Payment Limited//TS260427-HK00032</t>
  </si>
  <si>
    <t>UNITED RAW MATERIAL SOLUTIONS INC.</t>
  </si>
  <si>
    <t>2604271214099835996</t>
  </si>
  <si>
    <t>RFI - Liu Xiaoyang/ 81199558 / Payers KAYLA HOGUE and THOMAS RACE
关联：RFI - Liu Xiaoyang (ID: 81199558) - Global E-Payments Limited Referral[#102924]</t>
  </si>
  <si>
    <t>21笔均已入账</t>
  </si>
  <si>
    <t>5181260207056213568</t>
  </si>
  <si>
    <t>THOMAS RACE / KAYLA HOGUE</t>
  </si>
  <si>
    <t>陈恢松</t>
  </si>
  <si>
    <t>贾锦洲/</t>
  </si>
  <si>
    <t>已到账,未到账</t>
  </si>
  <si>
    <t>13笔已入账，32笔在途</t>
  </si>
  <si>
    <t>5181260207056211368</t>
  </si>
  <si>
    <t>刘小洋</t>
  </si>
  <si>
    <t>(For Your Action) IDW GLOBAL E-PAYMENT LIMITED 20260427MMQFMP2H13201104271833FT03 USD 2,500.00</t>
  </si>
  <si>
    <t>5181251112051504868</t>
  </si>
  <si>
    <t>TRADE MARKET 57 SA DE CV</t>
  </si>
  <si>
    <t>WINBO GIFTS CO LIMITED</t>
  </si>
  <si>
    <t>3387730 - [Thunes - Global E-Payment Limited] [1532184676] Partner Request for Information - [Thunes Outbound]</t>
  </si>
  <si>
    <t>2604281531099906289</t>
  </si>
  <si>
    <t>5181260325058704498</t>
  </si>
  <si>
    <t>香港合眾源航空服務有限公司</t>
  </si>
  <si>
    <t>3388064 - [Thunes - Global E-Payment Limited] [1532269239] Partner Request for Information - [Thunes Outbound]</t>
  </si>
  <si>
    <t>(1417268009) AML/CTF Thunes Information Request [Global E-Payment Limited]</t>
  </si>
  <si>
    <t>2512181314093661180</t>
  </si>
  <si>
    <t>5181250429041067478</t>
  </si>
  <si>
    <t>瑪雅全球購有限公司</t>
  </si>
  <si>
    <t>주식회사 에이치엠국제무역</t>
  </si>
  <si>
    <t>Tx- T20381899 from payer TIMOTHY DUCKETT</t>
  </si>
  <si>
    <t>TIMOTHY DUCKETT</t>
  </si>
  <si>
    <t>Compliance Hold on Transfers – Clarification Needed (UK Transactions)-81200607 Chen Huisong RFI</t>
  </si>
  <si>
    <t>退款关户</t>
  </si>
  <si>
    <t>多个</t>
  </si>
  <si>
    <t>(For Your Action) IDW GLOBAL E-PAYMENT LIMITED HICL20260429431868383 HKD 1,914.32</t>
  </si>
  <si>
    <t>5181260410060162638</t>
  </si>
  <si>
    <t>DANIEL PEREZ</t>
  </si>
  <si>
    <t>FM INTL LIMITED</t>
  </si>
  <si>
    <t>3393076 - [Thunes - Global E-Payment Limited] [1534306975] Partner Request for Information - [Thunes Outbound]</t>
  </si>
  <si>
    <t>2604301657100040813</t>
  </si>
  <si>
    <t>5181260330059145678</t>
  </si>
  <si>
    <t>安行國際贸易有限公司</t>
  </si>
  <si>
    <t>ZHONGRUI TRADING LIMITED</t>
  </si>
  <si>
    <t>赵梦翔/</t>
  </si>
  <si>
    <t>MSA3 – 8530009834 - $130.44 has been held on 04/30/2026
关联： REQUEST KYC &amp; SUPPORTING DOCUMETNS FOR ACCOUNT #8530009834- 04/30/2026</t>
  </si>
  <si>
    <t>5181260427061885138</t>
  </si>
  <si>
    <t>清退商户 走关户</t>
  </si>
  <si>
    <t>Payment on hold - TELEWARE TRADING LIMITED - T20488062</t>
  </si>
  <si>
    <t>KRISTEENA THOMAS</t>
  </si>
  <si>
    <t>TELEWARE TRADING LIMITED</t>
  </si>
  <si>
    <t>On hold - RFI - Incoming transfers to GA of Huang Yuejiao from multiple payers
关联：RFI - Huang Yuejiao (ID: 81198195) - Global E-Payments partner referral[#102933]</t>
  </si>
  <si>
    <t>5181260310057527168</t>
  </si>
  <si>
    <t>Huang Yuejiao</t>
  </si>
  <si>
    <t>Fwd: Re: Tx-21020671, Tx-21020670, Tx-21020618 from payer HUNTER JENKINS[#70177][#70178]</t>
  </si>
  <si>
    <t>HUNTER JENKINS</t>
  </si>
  <si>
    <t>Fwd: Re: Re: Tx-21020936 from payer HUNTER JENKINS[#70175][#70176][#71158]</t>
  </si>
  <si>
    <t>WANG BANGSHENG</t>
  </si>
  <si>
    <t>HKP260429-000208 // HK6OT260427026BO // 44,150.00/USD</t>
  </si>
  <si>
    <t>2604241050099732037</t>
  </si>
  <si>
    <t>HKP260428-000388 // HK6OT260427026BJ // 13,646.00/USD</t>
  </si>
  <si>
    <t>2604241832099785380</t>
  </si>
  <si>
    <t>HKP260501-000031 // HK6OT260429029F0 // 24,160.00/USD</t>
  </si>
  <si>
    <t>2604291423099937279</t>
  </si>
  <si>
    <t>HKP260505-000253 // HK6OT260423028AN // AMT 8,459.62/USD</t>
  </si>
  <si>
    <t>2604231512099653399</t>
  </si>
  <si>
    <t>5181251202052548588</t>
  </si>
  <si>
    <t>HUAZHI COMMERCE AND TRADE CO., LIMITED</t>
  </si>
  <si>
    <t xml:space="preserve">CONSOLIDATED SHIPPING SERVICES LLC </t>
  </si>
  <si>
    <t>HKP260506-000101 // HK6OT260430026CL // 40,675.00/USD</t>
  </si>
  <si>
    <t>2604291705099948299</t>
  </si>
  <si>
    <t>SHENZHEN FITCONN TECHNOLOGY CO., LTD</t>
  </si>
  <si>
    <t>3409449 - [Thunes - Global E-Payment Limited] [1534306975] Partner Request for Information - [Thunes Outbound]</t>
  </si>
  <si>
    <t>RFI Inquiry 08/05/2026 for Zhang Bo Transaction No 44784503B92683</t>
  </si>
  <si>
    <t>AMAZON PAYMENTS UK</t>
  </si>
  <si>
    <t>HEFEIHANCHUANGUANG</t>
  </si>
  <si>
    <t>DIVI-8922504232-$10,000.00 has been held on 05/08/2026 (Same Name)</t>
  </si>
  <si>
    <t>5181260506062729158</t>
  </si>
  <si>
    <t>PASI CONSTR-DEPASI CONSTRUCTION INC./</t>
  </si>
  <si>
    <t>DEPASI Construction inc</t>
  </si>
  <si>
    <t>刘王/</t>
  </si>
  <si>
    <t>HKP260508-000409 // HK6OL26050802BTQ // 5081552162850215</t>
  </si>
  <si>
    <t>2605081524100315422</t>
  </si>
  <si>
    <t>GREEN ENERGY CO.,LTD</t>
  </si>
  <si>
    <t>3413275 - [Thunes - Global E-Payment Limited] [1545191685] Partner Request for Information - [Thunes Outbound]</t>
  </si>
  <si>
    <t>2605111058100370025</t>
  </si>
  <si>
    <t>5181260305057028948</t>
  </si>
  <si>
    <t>EHA Prime Group Limited</t>
  </si>
  <si>
    <t xml:space="preserve">NEXTBRIDGE SERVICES SDN BHD </t>
  </si>
  <si>
    <t>Action Request - RFI request- HK6OT260507026GC - HKP260508-000250</t>
  </si>
  <si>
    <t>2605061720100195096</t>
  </si>
  <si>
    <t>HANGZHOU YINKUO TRADING CO., LTD</t>
  </si>
  <si>
    <t>转发：转发:【对公反洗钱协查】IRFT72342600031-GLOBAL E-PAYMENT LIMITED，需尽快反馈。</t>
  </si>
  <si>
    <t>YEEWALLEX HK LIMITED</t>
  </si>
  <si>
    <t>SCBHK - UNABLE TO APPLY - HKP260511-000008</t>
  </si>
  <si>
    <t>2605081400100312087</t>
  </si>
  <si>
    <t>WENZHOU TRADE-STAR CO., LTD</t>
  </si>
  <si>
    <t>SCBHK - UNABLE TO APPLY - HKP260511-000005</t>
  </si>
  <si>
    <t>2605081542100316710</t>
  </si>
  <si>
    <t>NINGBO JILILAI SOLID SLIDING BEARING CO., LTD</t>
  </si>
  <si>
    <t>SCBHK - UNABLE TO APPLY - HKP260511-000423</t>
  </si>
  <si>
    <t xml:space="preserve">ZHOUSHAN HENGSHUN SEALING PIECES CO., LTD </t>
  </si>
  <si>
    <t>SCBHK - UNABLE TO APPL Y - HKP260512-000008</t>
  </si>
  <si>
    <t>2605071933100293801</t>
  </si>
  <si>
    <t>AR CANADIAN BROTHERS INC</t>
  </si>
  <si>
    <t>梁紫薇/石家庄聚焱营销策划有限公司</t>
  </si>
  <si>
    <t>(For Your Action) IDW GLOBAL E-PAYMENT LIMITED 2026051400511394-017 USD 78,485.20</t>
  </si>
  <si>
    <t>PHOENIX CO.. LTD</t>
  </si>
  <si>
    <t>Action Request ARM (ARM JAV)_RFI request---OTT—(HK6OT260512027PQ) –Global E-Payment Limited– HKP260514-000056</t>
  </si>
  <si>
    <t>2605121102100405881</t>
  </si>
  <si>
    <t>SHAOXING PUSHUO IMPORT AND EXPORT CO., LTD.</t>
  </si>
  <si>
    <t>(For Your Action) IDW GLOBAL E-PAYMENT LIMITED 1513OT0697146 USD 21,919.20</t>
  </si>
  <si>
    <t>2605151351100675701</t>
  </si>
  <si>
    <t>HIPAYX LIMITED(VATIN TRADING PTE LTD)</t>
  </si>
  <si>
    <t>PHOENIX PLUS PTE. LTD</t>
  </si>
  <si>
    <t>SCBHK - UNABLE TO APPLY - HKP260514-000009</t>
  </si>
  <si>
    <t>2605121101100405853</t>
  </si>
  <si>
    <t>SHAOXING PUSHUO IMPORT AND EXPORT CO., LTD</t>
  </si>
  <si>
    <t>RFI Inquiry 15.05.2026 for Transaction ID: P000001947439867</t>
  </si>
  <si>
    <t>WHT</t>
  </si>
  <si>
    <t>(For Your Action) IDW GLOBAL E-PAYMENT LIMITED 1513OT0692989 USD 61,400.00</t>
  </si>
  <si>
    <t>2605141553100544719</t>
  </si>
  <si>
    <t>SHAANXI BEIREN PRINTING MACHINERY CO LTD</t>
  </si>
  <si>
    <t>3431523 - [Thunes - Global E-Payment Limited] [1554104066] Partner Request for Information - [Thunes Outbound]</t>
  </si>
  <si>
    <t>2605201635100915681</t>
  </si>
  <si>
    <t>5181260227056687628</t>
  </si>
  <si>
    <t>臻享互聯傳媒有限公司</t>
  </si>
  <si>
    <t>GOSAT TELECOM, LLC</t>
  </si>
  <si>
    <t>(For Your Action) IDW GLOBAL E-PAYMENT LIMITED 2026052000504910-017 USD 125,281.18</t>
  </si>
  <si>
    <t>平安FTN汇入协查-5181210819000145848/骆驼供应链管理亚洲有限公司3</t>
  </si>
  <si>
    <t>2605201110825876953</t>
  </si>
  <si>
    <t>5181210819000145848</t>
  </si>
  <si>
    <t>Camel Supply Chain Management (Asia) Limited</t>
  </si>
  <si>
    <t>骆驼供应链管理亚洲有限公司3</t>
  </si>
  <si>
    <t xml:space="preserve">[AML-RFI-Request] MSA3-8530008879-WU HAIQUAN -needs supporting documents and explanation </t>
  </si>
  <si>
    <t>2604301129812378220</t>
  </si>
  <si>
    <t>5181260422061494058</t>
  </si>
  <si>
    <t xml:space="preserve">HAIQUAN WU </t>
  </si>
  <si>
    <t>WU HAIQUAN</t>
  </si>
  <si>
    <t>SCBHK - GEP - CAR RFI- CAR-7471</t>
  </si>
  <si>
    <t>2604281433099894320</t>
  </si>
  <si>
    <t>BLUE HORIZON EXPORT</t>
  </si>
  <si>
    <t>SCBHK - GEP - RFI - CAR-7470</t>
  </si>
  <si>
    <t>2604280059099865271</t>
  </si>
  <si>
    <t>5181240328002851998</t>
  </si>
  <si>
    <t>億能國際商業貿易發展有限公司</t>
  </si>
  <si>
    <t>KONG LEAKHENA</t>
  </si>
  <si>
    <t>SCBHK - GEP - RFI - CAR-7469</t>
  </si>
  <si>
    <t>2604211504099534099</t>
  </si>
  <si>
    <t>5181250429041075958</t>
  </si>
  <si>
    <t>深圳弘通企业管理有限公司</t>
  </si>
  <si>
    <t xml:space="preserve">Connor Corporate Services Ltd </t>
  </si>
  <si>
    <t>SCBHK - GEP - RFI - CAR-7468</t>
  </si>
  <si>
    <t>2605071501100272891</t>
  </si>
  <si>
    <t xml:space="preserve">Al Alamia for Insulation Co. </t>
  </si>
  <si>
    <t>SR-HK-20260521-P84710 SCB RFI--STS—eOTT— HK6OT26052102793- Global E-Payment Limited//TS260521-HK00030</t>
  </si>
  <si>
    <t>2605211119100987760</t>
  </si>
  <si>
    <t>SR-HK-20260521-P85102 SCB RFI--STS—eOTT— HK6OT260521026RZ- Global E-Payment Limited//TS260521-HK00020</t>
  </si>
  <si>
    <t>2605211002100983513</t>
  </si>
  <si>
    <t>MSA3-#8530000824 *Transaction Needs Supporting Documents - 05/21/2026
关联：MSA3 – 8530000824 - $161.35 has been held on 05/21/2026</t>
  </si>
  <si>
    <t>5181260425061817128</t>
  </si>
  <si>
    <t>Depop</t>
  </si>
  <si>
    <t>ANTONIO RODRIGUEZ</t>
  </si>
  <si>
    <t>王莹/</t>
  </si>
  <si>
    <t>首个dp平台调单，类似VT&amp;PM无法提供证件</t>
  </si>
  <si>
    <t>SR-HK-20260522-P86031 SCB RFI--STS—eOTT— HK6OL26052102CBH- GLOBAL E-PAYMENT LIMITED//TS260521-HK00064//</t>
  </si>
  <si>
    <t>2605211520101022530</t>
  </si>
  <si>
    <t>SHENGRUI INDUSTRIAL CO., LIMITED</t>
  </si>
  <si>
    <t>[AML-RFI-Request] DIVI-8922509963- Lekfook Supply Limited -needs supporting documents and explanation</t>
  </si>
  <si>
    <t>2604281149811057624</t>
  </si>
  <si>
    <t>5181260422061466358</t>
  </si>
  <si>
    <t>FAMOUS CATERING INC</t>
  </si>
  <si>
    <t>樂福商貿有限公司</t>
  </si>
  <si>
    <t>2604301129812367648</t>
  </si>
  <si>
    <t xml:space="preserve">FISHWITHYOUTX LLC </t>
  </si>
  <si>
    <t>SR-HK-20260527-P93007 SCB RFI--STS-eOTT-HK6OT260527025W7-GLOBAL E-PAYMENT LIMITED//TS260527-HK00020</t>
  </si>
  <si>
    <t>5181251127052333498</t>
  </si>
  <si>
    <t>领域國際控股有限公司</t>
  </si>
  <si>
    <t>Muhammad Ahmad</t>
  </si>
  <si>
    <t>HKP260525-000178//USD 179,900.00 //HK6OT260508028ID</t>
  </si>
  <si>
    <t>2605071917100293228</t>
  </si>
  <si>
    <t>AGRISAR DMCC</t>
  </si>
  <si>
    <t>(For Your Action) IDW GLOBAL E-PAYMENT LIMITED 2026052600442043-005 USD 19,522.00</t>
  </si>
  <si>
    <t>5181240828023422918</t>
  </si>
  <si>
    <t>Gross Company Limited</t>
  </si>
  <si>
    <t>WINFRED INTERNATIONAL METAL SOURCE CO.,LTD</t>
  </si>
  <si>
    <t>(For Your Action) IDW GLOBAL E-PAYMENT LIMITED 100633482 USD 10,000.00</t>
  </si>
  <si>
    <t>2605271613101399469</t>
  </si>
  <si>
    <t>5181251110051309988</t>
  </si>
  <si>
    <t>MF Trading Limited</t>
  </si>
  <si>
    <t>ZHANGZHOU MANTIANXIANG FOOD Co., Ltd.</t>
  </si>
  <si>
    <t>陈彦宏/泽基（厦门）供应链有限公司</t>
  </si>
  <si>
    <t>[AML-RFI-Request] DIVI-8922507563- Respectfully sky Trading Co Limited -needs supporting documents and explanation</t>
  </si>
  <si>
    <t>2605191209824411211</t>
  </si>
  <si>
    <t>5181250527042047588</t>
  </si>
  <si>
    <t>GOLDEN LANDMARK CONSTRUCTION INC.</t>
  </si>
  <si>
    <t>Respectfully sky Trading Co., Limited</t>
  </si>
  <si>
    <t>HKP260528-000031 // HK6OT260521026RZ // 5211003229477722</t>
  </si>
  <si>
    <t>HKP260527-000363 / HK6OT26052102793 / 7,225.80/USD</t>
  </si>
  <si>
    <t>3452605 - [Thunes - Global E-Payment Limited] [1565736260] Partner Request for Information - [Thunes Outbound]</t>
  </si>
  <si>
    <t>2606011421101640526</t>
  </si>
  <si>
    <t>5181260226056643128</t>
  </si>
  <si>
    <t>iTnio Tech Limited</t>
  </si>
  <si>
    <t>ITNIO TECH (OPC) PRIVATE LIMITED</t>
  </si>
  <si>
    <t>INR</t>
  </si>
  <si>
    <t>(For Your Action) IDW GLOBAL E-PAYMENT LIMITED 2026060100263206-005 USD 10,422.00</t>
  </si>
  <si>
    <t>GROSS COMPANY LIMITED</t>
  </si>
  <si>
    <t>SR-HK-20260603-P53635 SCB RFI--STS—eOTT-- HK6OT260603028B7 - Global E-Payment Limited// TS260603-HK00045</t>
  </si>
  <si>
    <t>2606031350101730560</t>
  </si>
  <si>
    <t>HIPAYX LIMITED (Alkaid Global Limited)</t>
  </si>
  <si>
    <t>ALKAID GLOBAL LIMITED</t>
  </si>
  <si>
    <t>RFI Inquiry P000001969364877</t>
  </si>
  <si>
    <t>5181260422061549158</t>
  </si>
  <si>
    <t>PAYPAL CODE 8186</t>
  </si>
  <si>
    <t>SOOTY LIMITED</t>
  </si>
  <si>
    <t>RFI - Hebi Kuiqi Trading Co., Ltd - 20260603-33LVLA - P GROUP S R L - Case 00411821</t>
  </si>
  <si>
    <t>P GROUP S R L</t>
  </si>
  <si>
    <t>Hebi kuiqi trading co.,Ltd</t>
  </si>
  <si>
    <t>冻结394CNH</t>
  </si>
  <si>
    <t>RFI - Hebi Kuiqi Trading Co., Ltd - 20260604-WM2DAU - P GROUP S R L - Case 00412368</t>
  </si>
  <si>
    <t>账户无可冻结余额</t>
  </si>
  <si>
    <t>DIVI-8922507079-$1,000.00 has been held on 06/03/2026 (Same Name)</t>
  </si>
  <si>
    <t>运营已协助答复8922507079</t>
  </si>
  <si>
    <t>5181260526067258358</t>
  </si>
  <si>
    <t>Blue Starling LLC</t>
  </si>
  <si>
    <t>徐雅婷/</t>
  </si>
  <si>
    <t>3459842 - [Thunes - Global E-Payment Limited] [1568719210] Partner Request for Information - [Thunes Outbound]</t>
  </si>
  <si>
    <t>3460228 - [Thunes - Global E-Payment Limited] [1568866496] Partner Request for Information - [Thunes Outbound]</t>
  </si>
  <si>
    <t>2606041553101836948</t>
  </si>
  <si>
    <t>RFI: 20260513-1YESEH - Hebi Kuiqi Trading Co., Ltd - due 2026-06-12</t>
  </si>
  <si>
    <t>2605131329823199977</t>
  </si>
  <si>
    <t>RFI Inquiry 2026-05-26 for Mohammed Almasri Transaction ID GW26052672194059</t>
  </si>
  <si>
    <t>5181260304056962958</t>
  </si>
  <si>
    <t>Wise（Mohammed Almasri）</t>
  </si>
  <si>
    <t>HUANG YUPENG</t>
  </si>
  <si>
    <t>RFI Inquiry P000001973244081</t>
  </si>
  <si>
    <t>5181260601069081868</t>
  </si>
  <si>
    <t>KOLLER SZILARD</t>
  </si>
  <si>
    <t>LINK</t>
  </si>
  <si>
    <t>唐承斐</t>
  </si>
  <si>
    <t>(For Your Action) IDW GLOBAL E-PAYMENT LIMITED 1513OT0795109 USD 50.00</t>
  </si>
  <si>
    <t>2606081706101971633</t>
  </si>
  <si>
    <t>5181231103001100478</t>
  </si>
  <si>
    <t>内蒙古耀泽科技有限公司</t>
  </si>
  <si>
    <t>ZHAO WEI</t>
  </si>
  <si>
    <t>姜俊锋/江浩</t>
  </si>
  <si>
    <t>(1440477813) AML/CTF Thunes Information Request [Global E-Payment Limited]</t>
  </si>
  <si>
    <t>2601151358094959717</t>
  </si>
  <si>
    <t>5181250724045230078</t>
  </si>
  <si>
    <t>青岛佳海通国际物流有限公司</t>
  </si>
  <si>
    <t>ZHANG ZILI</t>
  </si>
  <si>
    <t xml:space="preserve">(For Your Action) IDW GLOBAL E-PAYMENT LIMITED 2026061000508307-019 USD 36,735.00 </t>
  </si>
  <si>
    <t>(For Your Action) IDW GLOBAL E-PAYMENT LIMITED 1513OT0804796 USD 39,880.00</t>
  </si>
  <si>
    <t>5181260603069478608</t>
  </si>
  <si>
    <t>OBSIDIAN INTERNATIONAL LIMITED</t>
  </si>
  <si>
    <t>FUJIAN QUANZHOU JUSTSUN SUPPLY CHAIN CO.,LTD</t>
  </si>
  <si>
    <t>RFI Inquiry 11/06/2026 for SHARIF ABDULLAH Transaction No 1853390A8B3F29</t>
  </si>
  <si>
    <t>5181251203052628298</t>
  </si>
  <si>
    <t>EBAY COMMERCE UK L</t>
  </si>
  <si>
    <t>SHARIF ABDULLAH</t>
  </si>
  <si>
    <t>RFI from the bank - Incoming Transfer to NEI MENG GU YAO ZE KE JI CO., LTD from payer PAYPAL PTE LTD</t>
  </si>
  <si>
    <t>NEI MENG GU YAO ZE KE JI CO., LTD</t>
  </si>
  <si>
    <t>MTR</t>
  </si>
  <si>
    <t>(For Your Action) IDW GLOBAL E-PAYMENT LIMITED SWF407831621538455 USD 577.50</t>
  </si>
  <si>
    <t>汇款方涉军工</t>
  </si>
  <si>
    <t>5181260317058039678</t>
  </si>
  <si>
    <t>M.AND M.ELECTRONICS M.S.M.LTD</t>
  </si>
  <si>
    <t>SYNTRAVOLT LIMITED</t>
  </si>
  <si>
    <t>转发：转发:【对公反洗钱协查】CNEF72342604026 GLOBAL E-PAYMENT LIMITED</t>
  </si>
  <si>
    <t>2606101114102046372</t>
  </si>
  <si>
    <t>5181250528042053078</t>
  </si>
  <si>
    <t>香港亞通貿易有限公司</t>
  </si>
  <si>
    <t>HONG KONG YATONG TRADING CO., LIMITED</t>
  </si>
  <si>
    <t>(For Your Action) IDW GLOBAL E-PAYMENT LIMITED IBCSE2I26933039 USD 124,000.00</t>
  </si>
  <si>
    <t>5181251121052055978</t>
  </si>
  <si>
    <t>LEE KEE TRADING LIMITED</t>
  </si>
  <si>
    <t>孔祎璐/Celest Trading Limited</t>
  </si>
  <si>
    <t>MSA3-#8530006209 *Transaction Needs Supporting Documents - 06/12/2026
关联：MSA3 – 8530006209 - $0.01 &amp; $0.09 has been held on 06/15/2026</t>
  </si>
  <si>
    <t>5181260609071072458</t>
  </si>
  <si>
    <t>SERGIO PINA</t>
  </si>
  <si>
    <t>吴宗杰</t>
  </si>
  <si>
    <t>李娜</t>
  </si>
  <si>
    <t>证件无法查验，关VA</t>
  </si>
  <si>
    <t>Additional Information Request – Hold – RT4948242781 – BESTPARTNER TRADE DEVELOPMENT CO., LIMITED/HONG KONG APOLLO TECHNOLOGY LIMITED – TTGHXAKJIHMU | 1008375</t>
  </si>
  <si>
    <t>2606111115102127931</t>
  </si>
  <si>
    <t>HONG KONG APOLLO TECHNOLOGY LIMITED</t>
  </si>
  <si>
    <t>(For Your Action) IDW GLOBAL E-PAYMENT LIMITED 2026061200512405-017 USD 89,192.88</t>
  </si>
  <si>
    <t>(For Your Action) IDW GLOBAL E-PAYMENT LIMITED 100644751 USD 19,055.00</t>
  </si>
  <si>
    <t>NINGBO WALTERY INTERNATIONAL TRADE CO., LTD</t>
  </si>
  <si>
    <t>(For Your Action) IDW GLOBAL E-PAYMENT LIMITED 100644876 USD 15,711.00</t>
  </si>
  <si>
    <t>2606111636102153899</t>
  </si>
  <si>
    <t>Obsidian International Limited</t>
  </si>
  <si>
    <t xml:space="preserve">LAND CAPITAL INTERNATIONAL LTD. </t>
  </si>
  <si>
    <t>(For Your Action) IDW GLOBAL E-PAYMENT LIMITED 100645003 USD 3,800.00</t>
  </si>
  <si>
    <t>2606121456102192748</t>
  </si>
  <si>
    <t>SHENZHEN ANGES MACHINERY CO.,LTD</t>
  </si>
  <si>
    <t>HKP260612-000274 // HK6OT260609027Q3 // USD 124,900.00</t>
  </si>
  <si>
    <t>2606091027101994324</t>
  </si>
  <si>
    <t xml:space="preserve">AL DOBOWI FZE </t>
  </si>
  <si>
    <t>(For Your Action) IDW GLOBAL E-PAYMENT LIMITED 100647120 USD 19,870.00
关联：Returned Payment Under Ref. 1513OT0827780 GLOBAL E-PAYMENT LIMITED</t>
  </si>
  <si>
    <t>2606161404102511263</t>
  </si>
  <si>
    <t xml:space="preserve">FUSITE CO. ,LTD </t>
  </si>
  <si>
    <t>王伊丽,陈一涵</t>
  </si>
  <si>
    <r>
      <rPr>
        <sz val="11"/>
        <color rgb="FF000000"/>
        <rFont val="宋体"/>
        <charset val="134"/>
      </rPr>
      <t>提单物流公司专门做伊朗专线</t>
    </r>
    <r>
      <rPr>
        <u/>
        <sz val="11"/>
        <color rgb="FF267EF0"/>
        <rFont val="宋体"/>
        <charset val="134"/>
      </rPr>
      <t xml:space="preserve">http://www.yt-tx.com/ </t>
    </r>
  </si>
  <si>
    <t>SR-HK-20260618-P77528 SCB RFI--STS—eOTT-- HK6OT260618026WL - Global E-Payment Limited//TS260618-HK00020</t>
  </si>
  <si>
    <t>2606171816102578832</t>
  </si>
  <si>
    <t>5181260525067130888</t>
  </si>
  <si>
    <t>PERFECT-BAZAR GENERAL TRADING L.L.C</t>
  </si>
  <si>
    <t>INNOLEO LTD</t>
  </si>
  <si>
    <t>张方杰/SOMEI E-COMMERCE LIMITED</t>
  </si>
  <si>
    <t>SR-HK-20260618-P78256 SCB RFI--STS—eOTT-- HK6OT260618029WJ - Global E-Payment Limited//TS260618-HK00046</t>
  </si>
  <si>
    <t>2606181458102656473</t>
  </si>
  <si>
    <t>KHL NON-SPECIALIZED WHOLESALE TRADING</t>
  </si>
  <si>
    <t>RFI - P2605082044728388255768683</t>
  </si>
  <si>
    <t>2605081702100320926</t>
  </si>
  <si>
    <t>CT CP XD TM DU LICH HONG NGOC HA</t>
  </si>
  <si>
    <t>(For Your Action) IDW GLOBAL E-PAYMENT LIMITED 1513OT0841199 USD 99,880.00</t>
  </si>
  <si>
    <t>2606181616102669941</t>
  </si>
  <si>
    <t>OCEAN CORPORATION CO LTD</t>
  </si>
  <si>
    <t>3488777 - [Thunes - Global E-Payment Limited] [1587416329] Partner Request for Information - [Thunes Outbound]</t>
  </si>
  <si>
    <t>2606231407102779732</t>
  </si>
  <si>
    <t>ITNIO TECH INC</t>
  </si>
  <si>
    <t>肖翔/</t>
  </si>
  <si>
    <t>SR-HK-20260626-P90676 SCB RFI--STS—eOTT-- HK6OT26062502AEB - Global E-Payment Limited//TS260625-HK00064</t>
  </si>
  <si>
    <t>2606251533103012483</t>
  </si>
  <si>
    <t>MCCORMICK KUTAS GIDA SAN. DIS TIC. A.S.</t>
  </si>
  <si>
    <t>(For Your Action) IDW GLOBAL E-PAYMENT LIMITED HICL20260626444079152 USD 155.76</t>
  </si>
  <si>
    <t>5181240815021375418</t>
  </si>
  <si>
    <t>TIANJIN PROMISE STEEL CO., LIMITED</t>
  </si>
  <si>
    <t>PETRO PRO OIL GAS TRADING SERVICES COMPANY LIMITED</t>
  </si>
  <si>
    <t>姜俊锋/CLOUDWALLEXLIMITED</t>
  </si>
  <si>
    <t>(For Your Action) IDW GLOBAL E-PAYMENT LIMITED HICL20260630444903886 USD 18,608.51</t>
  </si>
  <si>
    <t>5181260411060255878</t>
  </si>
  <si>
    <t>SANYI (GUANGZHOU) HIGH TECH CO., LT</t>
  </si>
  <si>
    <t>DONG GUAN SHI LAN BI YUAN HUAN BAO</t>
  </si>
  <si>
    <t>RFI Inquiry P000001997766647</t>
  </si>
  <si>
    <t>DAVIES AJ</t>
  </si>
  <si>
    <t>YI WU SHI LEI CHUN MAO YI SHANG HANG</t>
  </si>
  <si>
    <t>(For Your Action) IDW GLOBAL E-PAYMENT LIMITED 100656102 USD 97,880.00</t>
  </si>
  <si>
    <t>2606301549103158405</t>
  </si>
  <si>
    <t>NOOR TRADING CO.,LTD</t>
  </si>
  <si>
    <t>调单总金额</t>
  </si>
  <si>
    <t>调单单笔金额</t>
  </si>
  <si>
    <t>Fw:Request to provide Merchants List</t>
  </si>
  <si>
    <t>merchant list数据</t>
  </si>
  <si>
    <t>Request for Information - 16/01/2025 BC:072700054</t>
  </si>
  <si>
    <t>5181240930029998178</t>
  </si>
  <si>
    <t>义乌市驭菱进出口有限公司</t>
  </si>
  <si>
    <t>意大利买家</t>
  </si>
  <si>
    <t>Request for information 10/02/2025 BC:071800059</t>
  </si>
  <si>
    <t>5181241102034497888</t>
  </si>
  <si>
    <t>QINGBO TRADE LIMITED</t>
  </si>
  <si>
    <t>Dormant Virtual Account Review Exercise - 2025 Q1 - GLOBAL E-PAYMENT LIMITED</t>
  </si>
  <si>
    <t>Request of information - 20/02/2025 BC:072600187</t>
  </si>
  <si>
    <t>5181241229036951078</t>
  </si>
  <si>
    <t>义乌市寻喜贸易有限公司</t>
  </si>
  <si>
    <t>机构客户，钢贸，电商</t>
  </si>
  <si>
    <t>RE: Request for Information GLOBAL E-PAYMENT LIMITED (Deadline: 24 Feb 2025)</t>
  </si>
  <si>
    <t>追加邮件要求不再做菲律宾、肯尼亚、阿联酋、乌克兰、吉尔吉斯斯坦的贸易</t>
  </si>
  <si>
    <r>
      <rPr>
        <sz val="10"/>
        <color rgb="FF267EF0"/>
        <rFont val="微软雅黑"/>
        <charset val="134"/>
      </rPr>
      <t>菲律宾+肯尼亚+payso调单整理</t>
    </r>
  </si>
  <si>
    <t>贸易真实性</t>
  </si>
  <si>
    <t>Request for information 25/02/2025 BC:067000074</t>
  </si>
  <si>
    <t>Tiktok(越南站)</t>
  </si>
  <si>
    <t>POSTTM- FU JIAN MULTIPLE DIMENSIONS ELECTRONIC COMMERCE LIMITED COMPANY - Request for Information</t>
  </si>
  <si>
    <t>5181230207003107158</t>
  </si>
  <si>
    <t>福建省多维度电子商务有限公司</t>
  </si>
  <si>
    <t>POSTTM-58 BLUEVISION INTERACTIVE LIMITED - Post Transaction Query</t>
  </si>
  <si>
    <t>[Please respond by 28 Mar 2025 Friday]  Query on entities dealing with TW suppliers assisting with exporting of CHPL goods to Russia (GLOBAL E-PAYMENT LIMITED)</t>
  </si>
  <si>
    <r>
      <rPr>
        <sz val="11"/>
        <color rgb="FF000000"/>
        <rFont val="微软雅黑"/>
        <charset val="134"/>
      </rPr>
      <t>1、商户是澳大利亚三方支付机构，为其入驻商户出款。实际付款人是新加坡企业GOTRAYS</t>
    </r>
    <r>
      <rPr>
        <sz val="11"/>
        <color rgb="FF000000"/>
        <rFont val="微软雅黑"/>
        <charset val="134"/>
      </rPr>
      <t xml:space="preserve"> NETWORK</t>
    </r>
    <r>
      <rPr>
        <sz val="11"/>
        <color rgb="FF000000"/>
        <rFont val="微软雅黑"/>
        <charset val="134"/>
      </rPr>
      <t xml:space="preserve"> TECHNOLOGY</t>
    </r>
    <r>
      <rPr>
        <sz val="11"/>
        <color rgb="FF000000"/>
        <rFont val="微软雅黑"/>
        <charset val="134"/>
      </rPr>
      <t xml:space="preserve"> PTE.</t>
    </r>
    <r>
      <rPr>
        <sz val="11"/>
        <color rgb="FF000000"/>
        <rFont val="微软雅黑"/>
        <charset val="134"/>
      </rPr>
      <t xml:space="preserve"> LTD，从事商品（包括食品）在线市场以及软件和应用程序开发（游戏和网络安全除外），注册证书+director护照已提供。https://www.scam.sg/companies/202202066K/gotrays-network-technology-pte-ltd</t>
    </r>
    <r>
      <rPr>
        <sz val="11"/>
        <color rgb="FF000000"/>
        <rFont val="微软雅黑"/>
        <charset val="134"/>
      </rPr>
      <t xml:space="preserve">  
2、台湾企业收款，主营电子制造领域，逆变器和太阳能产品等。</t>
    </r>
    <r>
      <rPr>
        <u/>
        <sz val="11"/>
        <color rgb="FF267EF0"/>
        <rFont val="微软雅黑"/>
        <charset val="134"/>
      </rPr>
      <t>http://www.voltronicpower.com/</t>
    </r>
    <r>
      <rPr>
        <sz val="11"/>
        <color rgb="FF000000"/>
        <rFont val="微软雅黑"/>
        <charset val="134"/>
      </rPr>
      <t xml:space="preserve"> 、</t>
    </r>
    <r>
      <rPr>
        <u/>
        <sz val="11"/>
        <color rgb="FF267EF0"/>
        <rFont val="微软雅黑"/>
        <charset val="134"/>
      </rPr>
      <t xml:space="preserve"> https://www.twincn.com/item.aspx?no=28865032</t>
    </r>
    <r>
      <rPr>
        <sz val="11"/>
        <color rgb="FF000000"/>
        <rFont val="微软雅黑"/>
        <charset val="134"/>
      </rPr>
      <t xml:space="preserve">  有俄罗斯市场，https://catalog.expocentr.ru/catalog_e.php?wyst_id=108&amp;stand_id=44829、</t>
    </r>
    <r>
      <rPr>
        <u/>
        <sz val="11"/>
        <color rgb="FF267EF0"/>
        <rFont val="微软雅黑"/>
        <charset val="134"/>
      </rPr>
      <t>https://www.tradesns.com/en/data/supplier/Russia/2579932/VOLTRONIC%20POWER%20TECHNOLOGY%20CORP%20LTD</t>
    </r>
    <r>
      <rPr>
        <sz val="11"/>
        <color rgb="FF000000"/>
        <rFont val="微软雅黑"/>
        <charset val="134"/>
      </rPr>
      <t xml:space="preserve">
3、收货人=gotrays，物流过期不可验。notify=新加坡主营信息技术和服务的DODID</t>
    </r>
    <r>
      <rPr>
        <sz val="11"/>
        <color rgb="FF000000"/>
        <rFont val="微软雅黑"/>
        <charset val="134"/>
      </rPr>
      <t xml:space="preserve"> PTE</t>
    </r>
    <r>
      <rPr>
        <sz val="11"/>
        <color rgb="FF000000"/>
        <rFont val="微软雅黑"/>
        <charset val="134"/>
      </rPr>
      <t xml:space="preserve"> LTD</t>
    </r>
    <r>
      <rPr>
        <sz val="11"/>
        <color rgb="FF000000"/>
        <rFont val="微软雅黑"/>
        <charset val="134"/>
      </rPr>
      <t xml:space="preserve"> /</t>
    </r>
    <r>
      <rPr>
        <sz val="11"/>
        <color rgb="FF000000"/>
        <rFont val="微软雅黑"/>
        <charset val="134"/>
      </rPr>
      <t xml:space="preserve"> YTL</t>
    </r>
    <r>
      <rPr>
        <sz val="11"/>
        <color rgb="FF000000"/>
        <rFont val="微软雅黑"/>
        <charset val="134"/>
      </rPr>
      <t xml:space="preserve"> Data</t>
    </r>
    <r>
      <rPr>
        <sz val="11"/>
        <color rgb="FF000000"/>
        <rFont val="微软雅黑"/>
        <charset val="134"/>
      </rPr>
      <t xml:space="preserve"> Center.</t>
    </r>
    <r>
      <rPr>
        <u/>
        <sz val="11"/>
        <color rgb="FF267EF0"/>
        <rFont val="微软雅黑"/>
        <charset val="134"/>
      </rPr>
      <t xml:space="preserve"> https://www.datanyze.com/companies/dodid/440784287</t>
    </r>
    <r>
      <rPr>
        <sz val="11"/>
        <color rgb="FF000000"/>
        <rFont val="微软雅黑"/>
        <charset val="134"/>
      </rPr>
      <t>、</t>
    </r>
    <r>
      <rPr>
        <u/>
        <sz val="11"/>
        <color rgb="FF175CEB"/>
        <rFont val="微软雅黑"/>
        <charset val="134"/>
      </rPr>
      <t>https://ytldatacenters.com/pr/ytl-power-acquires-12-5mw-green-hyperscale-data-center-in-singapore/</t>
    </r>
    <r>
      <rPr>
        <sz val="11"/>
        <color rgb="FF000000"/>
        <rFont val="微软雅黑"/>
        <charset val="134"/>
      </rPr>
      <t xml:space="preserve">
反馈商户是帮代付。补充了收款人大陆关联公司中山旭贵明发货，HK关联公司POTENTIA</t>
    </r>
    <r>
      <rPr>
        <sz val="11"/>
        <color rgb="FF000000"/>
        <rFont val="微软雅黑"/>
        <charset val="134"/>
      </rPr>
      <t xml:space="preserve"> TECHNOLOGY</t>
    </r>
    <r>
      <rPr>
        <sz val="11"/>
        <color rgb="FF000000"/>
        <rFont val="微软雅黑"/>
        <charset val="134"/>
      </rPr>
      <t xml:space="preserve"> INC.</t>
    </r>
    <r>
      <rPr>
        <sz val="11"/>
        <color rgb="FF000000"/>
        <rFont val="微软雅黑"/>
        <charset val="134"/>
      </rPr>
      <t xml:space="preserve"> LIMITED收货的报关单，运抵国哈萨克斯坦。</t>
    </r>
  </si>
  <si>
    <t>5181220915002455318
5181231028001053918</t>
  </si>
  <si>
    <t>Hummingbird Intercoms Pty Ltd 2
凱豐（香港）電子商務有限公司</t>
  </si>
  <si>
    <t>俄罗斯相关贸易</t>
  </si>
  <si>
    <t>[Please respond by 28 Mar 2025 Friday]  SDN Lookback Exercise - OFAC Designation on Russia EO14024 Secondary Sanctions Risk (15 Jan 2025) - GLOBAL E-PAYMENT LIMITED</t>
  </si>
  <si>
    <t>5181221025002701818</t>
  </si>
  <si>
    <t>BROTHERHOBBY CO., LIMITED</t>
  </si>
  <si>
    <t>Request for information 25/03/2025 BC:011500238</t>
  </si>
  <si>
    <t>5181241216036568898</t>
  </si>
  <si>
    <t>南昌然为电子商务有限公司</t>
  </si>
  <si>
    <t>[Action Required] Account update on HONGKONG BOSTON ECOMMERCE LIMITED, VA of GLOBAL E-PAYMENT LIMITED (CIF NO. 5259859) ref . 1513IT5008699381, 1513IT5008706516</t>
  </si>
  <si>
    <t>POSTTM-95 YOUNG IRON AND STEEL LIMITED - Post Transaction Query - Global E-payment Limited</t>
  </si>
  <si>
    <t>商户股东个人账户划转后提现，无法配合提供调单资料，后续关停</t>
  </si>
  <si>
    <t>5181240724017208938</t>
  </si>
  <si>
    <t>YOUNG IRON AND STEEL LIMITED</t>
  </si>
  <si>
    <t>POSTTM-98 E1688 Trading Limited - Post Transaction Query - Global E-payment Limited</t>
  </si>
  <si>
    <t>5181240802019213568</t>
  </si>
  <si>
    <t>E1688 TRADING LIMITED</t>
  </si>
  <si>
    <t>Request for Information 31/03/2025 BC:067000139</t>
  </si>
  <si>
    <t>5181250211037664958</t>
  </si>
  <si>
    <t>义乌市笃格电子商务有限公司</t>
  </si>
  <si>
    <t>POSTTM-73 PINGXIANG HENGJIA IMPORT AND EXPORT TRADE CO.,LTD.</t>
  </si>
  <si>
    <t>5181240628011967928</t>
  </si>
  <si>
    <t>POSTTM-100 Guangxi Pingxiang Lijia Import and Export Trading Co., Ltd. - Post Transaction Query - Global E-payment Limited</t>
  </si>
  <si>
    <t>5181240628012032528</t>
  </si>
  <si>
    <t xml:space="preserve">广西凭祥利佳进出口贸易有限公司
</t>
  </si>
  <si>
    <t>Request for information 03/04/2025 BC:067000171</t>
  </si>
  <si>
    <t>5181241203036246398</t>
  </si>
  <si>
    <t>温州市瓯海娄桥勇银商贸商行(个体工商户)</t>
  </si>
  <si>
    <t>Shopee(越南站)</t>
  </si>
  <si>
    <t>POSTTM-110 Hancos Hong Kong Limited - Post Transaction Query - Global E-payment Limited</t>
  </si>
  <si>
    <t>5181240619009330338</t>
  </si>
  <si>
    <t>香港蘅蔻有限公司</t>
  </si>
  <si>
    <t>Post-RFI  Payment Ref 1513SW0000018820    [ CIF Number  5259859 GLOBAL E-PAYMENT LIMITED  ]   EMAIL REF  HK100383024</t>
  </si>
  <si>
    <t>汇款人为邮递公司，似主营中东运输服务</t>
  </si>
  <si>
    <t>5181240729018263188</t>
  </si>
  <si>
    <t>SINGULARITY ELECTRONIC TECHNOLOGY CO., LTD</t>
  </si>
  <si>
    <t>POSTTM-112 GUANGXI NINGMING RONGSHUO IMPORT AND EXPORT TRADING CO., LTD - Post Transaction Query - Global E-payment Limited</t>
  </si>
  <si>
    <t>5181231201001331178</t>
  </si>
  <si>
    <t>广西宁明荣硕进出口贸易有限公司</t>
  </si>
  <si>
    <t>Request of information - 10/04/2025 BC:072600329</t>
  </si>
  <si>
    <t>警方协查商户之一</t>
  </si>
  <si>
    <t>5181241202036182578</t>
  </si>
  <si>
    <t>义乌市极荔娅电子商务商行（个体工商户）</t>
  </si>
  <si>
    <t>意大利买家,可疑交易</t>
  </si>
  <si>
    <t>Fw: POSTTM-131 Hangzhou YiDing Technology Co., Ltd. - Post Transaction Query - Global E-payment Limited</t>
  </si>
  <si>
    <t>5181240702012976698</t>
  </si>
  <si>
    <t>杭州祎鼎科技有限公司</t>
  </si>
  <si>
    <t>POSTTM-134 BUYPOP (HONG KONG) LIMITED - Post Transaction Query - Global E-payment Limited</t>
  </si>
  <si>
    <t>化工原料</t>
  </si>
  <si>
    <t>[Action Required] Account update on SHANDONG DINGSHENG TRADING CO.,LTD, VA of GLOBAL E-PAYMENT LIMITED (CIF NO. 5259859) ref . [TT REF: 1513II6802837 and 1513II6749986]</t>
  </si>
  <si>
    <t>5181240822022565768</t>
  </si>
  <si>
    <t>山东鼎晟贸易有限公司</t>
  </si>
  <si>
    <t>Post-RFI Payment Ref 1513SW87365 [ CIF Number 5259859 GLOBAL E-PAYMENT LIMITED ] EMAIL REF HK100395105</t>
  </si>
  <si>
    <t>5181250221038058748</t>
  </si>
  <si>
    <t>香港玉岩文化传播有限公司</t>
  </si>
  <si>
    <t>5181250212037709658</t>
  </si>
  <si>
    <t>5181250212037695548</t>
  </si>
  <si>
    <t>香港东澤網絡科技有限公司</t>
  </si>
  <si>
    <t>Cruise -RFI-GLOBAL E-PAYMENT LIMITED (pls reply on or before 14 May 2025)</t>
  </si>
  <si>
    <t>Request for information 15/05/2025 BC:067000191</t>
  </si>
  <si>
    <t>Request for information 15/05/2025 BC:067000190</t>
  </si>
  <si>
    <t>5181250210037637458</t>
  </si>
  <si>
    <t>FIBER LIMITED</t>
  </si>
  <si>
    <t>&lt;Action Requried&gt;&gt;Global E-Payment - DONGGUA TRADING CO., LIMITED, VA of GLOBAL E-PAYMENT LIMITED (CIF NO. 5259859) ref . [TT REF: 1513IT8940791]</t>
  </si>
  <si>
    <t>5181250418040570078</t>
  </si>
  <si>
    <t>DONGGUA TRADING CO., LIMITED</t>
  </si>
  <si>
    <t>Cruise -RFI-GLOBAL E-PAYMENT LIMITED (pls reply on or before 27 May 2025)
追问邮件：Cruise -RFI-GLOBAL E-PAYMENT LIMITED (pls reply on or before 27 May 2025)-Follow up DONGGUA TRADING CO., LIMITED</t>
  </si>
  <si>
    <t>Request for information 22/05/2025 BC:067000220</t>
  </si>
  <si>
    <t>5181241102034496098</t>
  </si>
  <si>
    <t>TOPVIEW IMPORT EXPORT LIMITED</t>
  </si>
  <si>
    <t>Request for information 23/05/2025 BC:065600025</t>
  </si>
  <si>
    <t>5181250207037587148</t>
  </si>
  <si>
    <t>佛山市顺德区瑞迪福商贸行（个体工商户）</t>
  </si>
  <si>
    <t>Request for information 23/05/2025 BC:065600023</t>
  </si>
  <si>
    <t>5181250102037021828</t>
  </si>
  <si>
    <t>义乌市图裂电子商务商行（个体工商户）</t>
  </si>
  <si>
    <t>Global E-payment-Dormant Virtual Account Review Exercise - 2025 Q2</t>
  </si>
  <si>
    <t>Request for information 29/05/2025 BC:067000262</t>
  </si>
  <si>
    <t>5181250414040303618</t>
  </si>
  <si>
    <t>南昌翔资科技有限公司</t>
  </si>
  <si>
    <t>Request for information 30/05/2025 BC:067000269</t>
  </si>
  <si>
    <t>5181241204036262638</t>
  </si>
  <si>
    <t>义乌市莹珍电子商务商行（个体工商户）</t>
  </si>
  <si>
    <t>Request for information 30/05/2025 BC:067000270</t>
  </si>
  <si>
    <t>5181250417040480068</t>
  </si>
  <si>
    <t>南昌鹏飚电子商务有限公司</t>
  </si>
  <si>
    <t>韩国本土店alwayz</t>
  </si>
  <si>
    <t>Urgent: Unauthorized Virtual Account Creation– Immediate Action Required</t>
  </si>
  <si>
    <t>韩国个人claim 该VA非本人创建</t>
  </si>
  <si>
    <t>5181250312038872118</t>
  </si>
  <si>
    <t>梁振华</t>
  </si>
  <si>
    <t>[Action Required] Account update on SHANDONG DINGSHENG TRADING CO.,LTD, VA of GLOBAL E-PAYMENT LIMITED (CIF NO. 5259859) ref . [TT REF: 1513II6803267]</t>
  </si>
  <si>
    <t>商户欺诈</t>
  </si>
  <si>
    <t>[Action Required] Account update on SHANDONG DINGSHENG TRADING CO.,LTD, VA of GLOBAL E-PAYMENT LIMITED (CIF NO. 5259859) ref . [TT REF: 1513II6943389]</t>
  </si>
  <si>
    <t>KYC Data Point Quality Assurance Sampling Result for Jun-16 - GLOBAL E-PAYMENT LIMITED, 5259859</t>
  </si>
  <si>
    <t>Request for information 24/06/2025 BC:065600081</t>
  </si>
  <si>
    <t>Request for information 27/06/2025 BC:065600087</t>
  </si>
  <si>
    <t>GREAT SEA SHIPPING LIMITED</t>
  </si>
  <si>
    <t>P卡VCC客户内转</t>
  </si>
  <si>
    <t>Payoneer</t>
  </si>
  <si>
    <t>Fw: About collecting GEP and clients invoice for audit</t>
  </si>
  <si>
    <t>5181230831000687618</t>
  </si>
  <si>
    <t>武汉慧通远达信息技术有限公司</t>
  </si>
  <si>
    <t>越南代购</t>
  </si>
  <si>
    <t>Re: GEP-FX request -2507141744086605831</t>
  </si>
  <si>
    <t>广西凭祥利佳进出口贸易有限公司</t>
  </si>
  <si>
    <t>Request of information</t>
  </si>
  <si>
    <t>LU474080000052919087</t>
  </si>
  <si>
    <t>5181240322002754488</t>
  </si>
  <si>
    <t>香港邱豐貿易有限公司</t>
  </si>
  <si>
    <t>洗钱</t>
  </si>
  <si>
    <t>Global E-Payment - Payment Transparent</t>
  </si>
  <si>
    <t>[Action Required] Account update on SHAN DONG LAI HUA JIN CHU KOU CO., LTD , VA of GLOBAL E-PAYMENT LIMITED  (CIF NO. 5259859) ref: UAE202507180616595761</t>
  </si>
  <si>
    <t>5181240507003316068</t>
  </si>
  <si>
    <t>山东莱华进出口有限公司</t>
  </si>
  <si>
    <t>RE: SCBHK - GEP - RFI - CA39362815 - US - TM250717-US00354</t>
  </si>
  <si>
    <t>5181250519041641238</t>
  </si>
  <si>
    <t>WUGANG STEEL GROUP CO., LTD</t>
  </si>
  <si>
    <t>Request for information 19/07/2025 BC:065600144</t>
  </si>
  <si>
    <t>5181250519041685698</t>
  </si>
  <si>
    <t>谷城县合字彼商贸有限公司</t>
  </si>
  <si>
    <t>Post-RFI Payment Ref 1513SWFCM-00357643 [ CIF Number 5259859 GLOBAL E-PAYMENT LIMITED] EMAIL REF HK100441472</t>
  </si>
  <si>
    <t>电子模块</t>
  </si>
  <si>
    <t>FW : SR-HK-20250717-000241 Re:RE : SR-HK-20250714-E00338 [External] 【渣打-未到账资金查询】</t>
  </si>
  <si>
    <t>5181250611043071748</t>
  </si>
  <si>
    <t>MARTIONTER ELECTRONICS LIMITED</t>
  </si>
  <si>
    <t>&lt;Urgent&gt;Global E-payment-Potential crypto-related transactions - MCAP</t>
  </si>
  <si>
    <t>&lt;&lt;Request for meeting &gt;&gt;Returned Payment</t>
  </si>
  <si>
    <t>Post-RFI Payment Ref 1513SW201010_IA [ CIF Number 5259859 GLOBAL E-PAYMENT LIMITED] EMAIL REF HK100449339</t>
  </si>
  <si>
    <t>5181240902024487238</t>
  </si>
  <si>
    <t>香港歐仕贸易有限公司</t>
  </si>
  <si>
    <t>Request for Information 06/08/25 BC:040900151</t>
  </si>
  <si>
    <t>5181241116035488578</t>
  </si>
  <si>
    <t>MARYA GLOBAL LIMITED</t>
  </si>
  <si>
    <t>@陈一涵</t>
  </si>
  <si>
    <t>Request for information 11/08/2025 BC:055500347</t>
  </si>
  <si>
    <t>GEP自有账户同名划转，BC的资金归集到同名渣打和DBS账户</t>
  </si>
  <si>
    <t>RFI: 20250812-N1FKBQ - zhao rui gao - due 2025-08-18</t>
  </si>
  <si>
    <t>已冻结50 GBP</t>
  </si>
  <si>
    <t>5181220807002228558</t>
  </si>
  <si>
    <t>高照瑞</t>
  </si>
  <si>
    <t>RFI: 20250812-COLO2S - GAUNGHAN ZHENG - due 2025-08-18</t>
  </si>
  <si>
    <t>5181230125003081608</t>
  </si>
  <si>
    <t>丘宇伟</t>
  </si>
  <si>
    <t>洗涤剂原料、石蜡</t>
  </si>
  <si>
    <t>[Action Required] Account update on SHANDONG PUKEDI NEW MATERIAL TECHNOLOGY CO., LTD., VA of GLOBAL E-PAYMENT LIMITED (CIF NO. 5259859) ref . 1513IT9374752</t>
  </si>
  <si>
    <t>商户不愿提供任何资料，结合产品价格和商户经营异常等情况来看似商户欺诈，MSO report先定性贸易纠纷</t>
  </si>
  <si>
    <t>5181230710000431408</t>
  </si>
  <si>
    <t>山东普科迪新材料科技有限公司</t>
  </si>
  <si>
    <t>Post-RFI Payment Ref 1513SW1755206505044 [ CIF Number 5259859 GLOBAL E-PAYMENT LIMITED] EMAIL REF HK100455667</t>
  </si>
  <si>
    <t>香港宝荣商贸有限公司</t>
  </si>
  <si>
    <t>5181230913000776258</t>
  </si>
  <si>
    <t>HONGKONG POKWING BUSINESS CO., LIMITED</t>
  </si>
  <si>
    <t>禁止国家/地区</t>
  </si>
  <si>
    <t>代理采购</t>
  </si>
  <si>
    <t>Request for Information BC:017001707</t>
  </si>
  <si>
    <t>Request for information 20/08/2025 BC:067000330</t>
  </si>
  <si>
    <t>5181250510041374728</t>
  </si>
  <si>
    <t>义乌市苡可电子商务商行</t>
  </si>
  <si>
    <t>[Action Required] Account update on MARTIONTER ELECTRONICS LIMITED , VA of GLOBAL E-PAYMENT LIMITED (CIF NO. 5259859) ref: UAE202509041714230861</t>
  </si>
  <si>
    <t>召回</t>
  </si>
  <si>
    <t>Post-RFI Payment Ref 1513SW94506 [ CIF Number 5259859 GLOBAL E-PAYMENT LIMITED] EMAIL REF HK100468163</t>
  </si>
  <si>
    <t>5181241113035269938</t>
  </si>
  <si>
    <t>ZE SHEN COMPANY LTD</t>
  </si>
  <si>
    <t>Request for Information - #1827547 BC:017002142</t>
  </si>
  <si>
    <t>5181250612043264848</t>
  </si>
  <si>
    <t>永济俊柳电子商务有限公司</t>
  </si>
  <si>
    <t>可疑交易</t>
  </si>
  <si>
    <t>Request for Information - #1830897 BC:017002136</t>
  </si>
  <si>
    <t>阀门和旋塞制造</t>
  </si>
  <si>
    <t>RE: SCBHK - GEP - RFI - CA40426391 - US - TM250926-US00083</t>
  </si>
  <si>
    <t>5181250619043717758</t>
  </si>
  <si>
    <t>科普特实业有限公司</t>
  </si>
  <si>
    <t>谭先婷/袁汉艺</t>
  </si>
  <si>
    <t>Post-RFI Payment Ref 1513SW0000023871 [ CIF Number 5259859 GLOBAL E-PAYMENT LIMITED] EMAIL REF HK100483815</t>
  </si>
  <si>
    <t xml:space="preserve">USD </t>
  </si>
  <si>
    <t>5181250520041722748</t>
  </si>
  <si>
    <t>香港嘉美實業有限公司</t>
  </si>
  <si>
    <t>Request for Information - #1914184 BC:017002564</t>
  </si>
  <si>
    <t>5181241108034943958</t>
  </si>
  <si>
    <t>HONGYA LIMITED</t>
  </si>
  <si>
    <t>Request for Information - #1870946 BC:017002798
关联邮件：Request for Information - #1870946 BC:017002497、Request for Information - #1870946 BC:017002637</t>
  </si>
  <si>
    <t>雷谦</t>
  </si>
  <si>
    <t>蔡丽娜,李源</t>
  </si>
  <si>
    <t>Random Compliance Check</t>
  </si>
  <si>
    <t>订单号：
2510151713678575509
2510151714678575510
2510151711675707601--已回复提现截图
2510151712678575508--已回复提现截图
2510151714678608072</t>
  </si>
  <si>
    <t>RFI: Han Wang - Due Date: 27-10-2025</t>
  </si>
  <si>
    <t>无资金可冻</t>
  </si>
  <si>
    <t>5181250807046007008</t>
  </si>
  <si>
    <t>王含</t>
  </si>
  <si>
    <t>Multiple accounts inquiry</t>
  </si>
  <si>
    <t>5181240406002964558、5181230421003477088 无资金可冻</t>
  </si>
  <si>
    <t>FW: 07112025-05 - [Wallex] Post Transaction Query - CLOUD WAVE HONG KONG LIMITED (Global E-payment Limited)</t>
  </si>
  <si>
    <t>DDL 1118</t>
  </si>
  <si>
    <t>Re: 07112025-06 - [Wallex] Post Transaction Query - Hekou Gedeng Cross border E-commerce Co., Ltd (Global E-payment Limited)</t>
  </si>
  <si>
    <t>154493463848</t>
  </si>
  <si>
    <t>越南1688</t>
  </si>
  <si>
    <t>FW: 07112025-07 - [Wallex] Post Transaction Query - EBUY1688 TRADING LIMITED (Global E-payment Limited)</t>
  </si>
  <si>
    <t>130760402606</t>
  </si>
  <si>
    <t>陈彦宏/优迈国际物流(广州)有限公司</t>
  </si>
  <si>
    <t>07112025-08 - [Wallex] Post Transaction Query - Hancos Hong Kong Limited (Global E-payment Limited)</t>
  </si>
  <si>
    <t>129544117325</t>
  </si>
  <si>
    <t>[Action Required] Account update on Marcochip Electronic Technology Limited, VA of GLOBAL E-PAYMENT LIMITED(CIF NO. 5259859 ) ref . [1513IT9568739]</t>
  </si>
  <si>
    <t>5181250623043979638</t>
  </si>
  <si>
    <t>MARCOCHIP ELECTRONIC TECHNOLOGY LIMITED</t>
  </si>
  <si>
    <t>AML/CTF Thunes Information Request [Global E-Payment Limited] - 3 transactions</t>
  </si>
  <si>
    <t>5181250715044908048</t>
  </si>
  <si>
    <t>杭州云韩科技有限公司</t>
  </si>
  <si>
    <t>Inquiry on Non-Marketplace Deposit</t>
  </si>
  <si>
    <t>电商平台违规</t>
  </si>
  <si>
    <t>Global E-payment - Review on Rejected payment (reply on or before 20 Nov)</t>
  </si>
  <si>
    <t>询问多笔退款</t>
  </si>
  <si>
    <t>SERVERMAX TECH
LIMITED</t>
  </si>
  <si>
    <t>Request for Information - #1946904 BC:017003887</t>
  </si>
  <si>
    <t>5181250930049083358</t>
  </si>
  <si>
    <t>广州寒缓影商贸有限公司</t>
  </si>
  <si>
    <t>RE: SCBHK - GEP - GLOBAL E-PAYMENT LIMITED - RFI - CA41181902 - US - TM251117-US00150 - by 27th Nov 2025</t>
  </si>
  <si>
    <t>5181231012000940698</t>
  </si>
  <si>
    <t>臻瓴貿易有限公司</t>
  </si>
  <si>
    <t>RE: SCBHK - GEP - GLOBAL E-PAYMENT LIMITED - RFI - CA40254051 - US - TM251119-US00197 - by 27th Nov 2025</t>
  </si>
  <si>
    <t>Additional Information Request – Post Transaction Monitoring – SHEN ZHEN SHI FEI GE TONG XIN CO., LTD/RT9977878722 &amp; RT0154572423 | 794323</t>
  </si>
  <si>
    <t>5181240621010516728</t>
  </si>
  <si>
    <t>深圳市飞格通信有限公司</t>
  </si>
  <si>
    <t>&lt;SCBHK unable to process payment&gt; Global E-Payment Limited _27 Nov 2025</t>
  </si>
  <si>
    <t>(For Your Action) REJ - GLOBAL E-PAYMENT LIMITED</t>
  </si>
  <si>
    <t>多笔入账退款需更新申请书，清算已重新传真资料</t>
  </si>
  <si>
    <t>Request for Information: GLOBAL E-PAYMENT LIMITED the "Company" &lt;5259859&gt;</t>
  </si>
  <si>
    <t>5181241107034855838</t>
  </si>
  <si>
    <t>傑聖機械（中國）有限公司</t>
  </si>
  <si>
    <t>Post-RFI Payment Ref 1513SW0000025865 [ CIF Number 5259859 GLOBAL E-PAYMENT LIMITED] EMAIL REF HK100524320</t>
  </si>
  <si>
    <t>DDL 1218</t>
  </si>
  <si>
    <t>Fraud Recall [Case id:2118204]</t>
  </si>
  <si>
    <t>5181251013049552558</t>
  </si>
  <si>
    <t>DEBZONGUAN LIMITED</t>
  </si>
  <si>
    <t>Request for Information - #2065091 BC:017004543</t>
  </si>
  <si>
    <t>5181250628044208758</t>
  </si>
  <si>
    <t>XIAOFEI GLOBAL LIMITED</t>
  </si>
  <si>
    <t>仿牌表</t>
  </si>
  <si>
    <t>[Action Required] Account update on MAOMING BOYANG INTL INFOR LTD, VA of GLOBAL E-PAYMENT LIMITED (CIF NO. 5259859) ref . 1513IT0023818</t>
  </si>
  <si>
    <t>Request for Information - #2069684 BC:017004661</t>
  </si>
  <si>
    <t>Request for Information - #2069819 BC:017004663</t>
  </si>
  <si>
    <t>5181250930049076808</t>
  </si>
  <si>
    <t>JINSUOYANG Limited</t>
  </si>
  <si>
    <t>Request for Information - #2075590 BC:017004813</t>
  </si>
  <si>
    <t>Request for Information - #2081746 BC:017004838</t>
  </si>
  <si>
    <t>5181250929049060478</t>
  </si>
  <si>
    <t>上海牧渝秧科技有限公司</t>
  </si>
  <si>
    <t>Fwd: [Compliance] Request for clarification on GEP Submerchant</t>
  </si>
  <si>
    <t>5181251208053177428</t>
  </si>
  <si>
    <t>垦喜贸易（广州）有限公司</t>
  </si>
  <si>
    <t>5181250910047834938</t>
  </si>
  <si>
    <t>柯建成</t>
  </si>
  <si>
    <t>Request for Information - #2084407 BC:017005007</t>
  </si>
  <si>
    <t>5181250924048718388</t>
  </si>
  <si>
    <t>上海管歌分第网络科技有限公司</t>
  </si>
  <si>
    <t>Request for Information - #2084328 BC:017005014</t>
  </si>
  <si>
    <t>5181250819046451428</t>
  </si>
  <si>
    <t>DMZZ Limited</t>
  </si>
  <si>
    <t>Request for Information - #2084419 BC:017005020</t>
  </si>
  <si>
    <t>5181250730045617368</t>
  </si>
  <si>
    <t>吉利奥國際有限公司</t>
  </si>
  <si>
    <t>Request for Information - #2088329 BC:017005056</t>
  </si>
  <si>
    <t>5181250723045202238</t>
  </si>
  <si>
    <t>阳泉广卓电子商务有限公司</t>
  </si>
  <si>
    <t>Request for Information - #2087224 BC:017005072</t>
  </si>
  <si>
    <t>上海扈铪坝科技有限公司</t>
  </si>
  <si>
    <t>Request for Information - #2091556 BC:017005150</t>
  </si>
  <si>
    <t>5181250923048639608</t>
  </si>
  <si>
    <t>PQSDG LIMITED</t>
  </si>
  <si>
    <t>Request for Information - #2081746 BC:017005159</t>
  </si>
  <si>
    <t>URGENT RFI - GUANGCHEN INDUSTRIAL CO., LIMITED - DD 30/12/2025</t>
  </si>
  <si>
    <t>[Action Required] Account update on LIN XIAYING , VA of GLOBAL E-PAYMENT LIMITED (CIF NO. 5259859) ref: UAE202512300746040191</t>
  </si>
  <si>
    <t>5181251118051894408</t>
  </si>
  <si>
    <t>林侠英</t>
  </si>
  <si>
    <t>仿牌</t>
  </si>
  <si>
    <t>[Action Required] Account update on MAOMING BOYANG INTL INFOR LTD , VA of GLOBAL E-PAYMENT LIMITED (CIF NO. 5259859)</t>
  </si>
  <si>
    <t>Request for Information - #2109064 BC:017005443</t>
  </si>
  <si>
    <t>5181250806045974458</t>
  </si>
  <si>
    <t>VANTEX BUSINESS LIMITED</t>
  </si>
  <si>
    <t>Request for Information - #2113383 BC:017005453</t>
  </si>
  <si>
    <t>5181251107051160978</t>
  </si>
  <si>
    <t>Amazon GmbH Limited</t>
  </si>
  <si>
    <t>&lt;Urgent&gt; Global E-payment - review on payment -JNX GENERAL TRADING L L C</t>
  </si>
  <si>
    <t>SentBe</t>
  </si>
  <si>
    <t>[SENTBE] Post RFI for Xiamen Shishiqiushi E-commerce Co., Ltd.</t>
  </si>
  <si>
    <t>5181251124052170638</t>
  </si>
  <si>
    <t>厦门实事求势电子商务有限公司</t>
  </si>
  <si>
    <t>SCBHK - GEP Payful - GLOBAL E-PAYMENT LIMITED - RFI - CA40272145 - US - TM251209-US00427 - urgent</t>
  </si>
  <si>
    <t>Request for Information - #2125639 BC:017005621</t>
  </si>
  <si>
    <t>5181250704044470318</t>
  </si>
  <si>
    <t>斯特贸易有限公司</t>
  </si>
  <si>
    <t>转发：NPM payments - 查核反馈</t>
  </si>
  <si>
    <t>RE: SCBHK - GEP - RFI - CA40426391 - US - TM250926-US00083 - by 23 Jan 2026</t>
  </si>
  <si>
    <t>5181250723045200418</t>
  </si>
  <si>
    <t>山东星烨泰钢铁有限公司</t>
  </si>
  <si>
    <t>Request for Information - #2133878 BC:017005781</t>
  </si>
  <si>
    <t>5181250428041000148</t>
  </si>
  <si>
    <t>香港頂甲有限公司</t>
  </si>
  <si>
    <t>ddl：2/6</t>
  </si>
  <si>
    <t>RE: SCBHK - GEP - RFI - CA40747906 - US - TM260119-US00331 - by 29 Jan 2026</t>
  </si>
  <si>
    <t>5181250603042386428</t>
  </si>
  <si>
    <t>RFI- WAN ZHOU QU SAN YI SHANG MAO JING YING BU- DD 24.01.2026</t>
  </si>
  <si>
    <t>无余额</t>
  </si>
  <si>
    <t>5181240924028634748</t>
  </si>
  <si>
    <t>万州区三蚁商贸经营部</t>
  </si>
  <si>
    <t>flutterwave</t>
  </si>
  <si>
    <t>Fw: Customer transaction history</t>
  </si>
  <si>
    <t>NGN</t>
  </si>
  <si>
    <t>5181251128052384068</t>
  </si>
  <si>
    <t>绍兴赛德国际货运代理有限公司</t>
  </si>
  <si>
    <t>RFI- Shuai Wang- DD 12.02.2026</t>
  </si>
  <si>
    <t>5181250807046006528</t>
  </si>
  <si>
    <t>王帅</t>
  </si>
  <si>
    <t>RE: SCBHK - GEP - RFI - CA42473679 - US - TM260209-US00141 - by 20 Feb 2026</t>
  </si>
  <si>
    <t>5181250402039807498</t>
  </si>
  <si>
    <t>嶼石國際有限公司</t>
  </si>
  <si>
    <t>Global E-payment- MSO review -P2P</t>
  </si>
  <si>
    <t>@星星</t>
  </si>
  <si>
    <t>RE: SCBHK - GEP - RFI - CA42488468 - US - TM260210-US00166 - by 20 Feb 2026</t>
  </si>
  <si>
    <t>5181250814046322718</t>
  </si>
  <si>
    <t>Bluelight Technology Limited</t>
  </si>
  <si>
    <t>RE: SCBHK - GEP - RFI - CA43073010 - US - TM260209-US00068 - by 25 Feb 2026
关联邮件：RE: SCBHK - GEP - RFI - CA42488468 - US - TM260210-US00166 - by 25 Feb 2026
RE: SCBHK - GEP - RFI - CA43073010 - US - TM260209-US00068 - by 6 Mar 2026</t>
  </si>
  <si>
    <t>5181250812046231708</t>
  </si>
  <si>
    <t>香港靈動創意科技資訊有限公司</t>
  </si>
  <si>
    <t>RE: SCBHK - GEP - RFI - CA42479558 - US - TM260220-US00001 - by 5 Mar 2026</t>
  </si>
  <si>
    <t>戈燕</t>
  </si>
  <si>
    <t>平安--跨境商户事宜</t>
  </si>
  <si>
    <t>Request for Information - #2225193 BC:017007589
关联邮件：Request for Information - #2225193 BC:017007901</t>
  </si>
  <si>
    <t>維克有限公司</t>
  </si>
  <si>
    <t>[GEP] Risk Review Request – Supporting Documents</t>
  </si>
  <si>
    <t>蔡丽娜,陈一涵,樊晓全</t>
  </si>
  <si>
    <r>
      <rPr>
        <sz val="10"/>
        <color rgb="FF267EF0"/>
        <rFont val="微软雅黑"/>
        <charset val="134"/>
      </rPr>
      <t>Sentbe调单材料梳理</t>
    </r>
  </si>
  <si>
    <t>Baokim Risk Review Document Request</t>
  </si>
  <si>
    <t>5181251101050753658</t>
  </si>
  <si>
    <t>河口新东进跨境电子商务有限公司</t>
  </si>
  <si>
    <t>5181251224054144618</t>
  </si>
  <si>
    <t>广西凭祥市亿鑫达进出口贸易有限公司</t>
  </si>
  <si>
    <t>5181251213053661228</t>
  </si>
  <si>
    <t>河口玖泰国际供应链管理有限公司</t>
  </si>
  <si>
    <t>张方杰</t>
  </si>
  <si>
    <t>5181251022050103938</t>
  </si>
  <si>
    <t>广西迅驰进出口贸易有限公司</t>
  </si>
  <si>
    <t>RFI - JIAKEKE TRADE LIMITED - DD 13/03/2026</t>
  </si>
  <si>
    <t>RFI- JIAKEKE TRADE LIMITED- DD 14.03.2026</t>
  </si>
  <si>
    <t>[Action Required] Account update on VA: SHAN DONG WEI DI LA XIN CAI LIAO CO., LTD of GLOBAL E-PAYMENT LIMITED (CIF: 5259859) ref . 1513IT0489924</t>
  </si>
  <si>
    <t>5181251201052489648</t>
  </si>
  <si>
    <t>山东威迪拉新材料有限公司</t>
  </si>
  <si>
    <t>RE: SCBHK - GEP - RFI - CA43088212 - US - TM260319-US00088 - by 1st Apr 2026</t>
  </si>
  <si>
    <t>已延期</t>
  </si>
  <si>
    <t>5181250912047964808</t>
  </si>
  <si>
    <t>Dawnstart Technology Co., Limited</t>
  </si>
  <si>
    <t>RE: SCBHK - GEP - RFI - CA43827081 - US - TM260324-US00270 - by 2nd Apr 2026</t>
  </si>
  <si>
    <t>RE: SCBHK - GEP - RFI - CA43836285 - US - TM260326-US00357 - by 6th Apr 2026</t>
  </si>
  <si>
    <t>5181251020049958558</t>
  </si>
  <si>
    <t>斯波達實業有限公司</t>
  </si>
  <si>
    <t>陈一涵,王伊丽,樊晓全</t>
  </si>
  <si>
    <r>
      <rPr>
        <sz val="10"/>
        <color rgb="FF267EF0"/>
        <rFont val="微软雅黑"/>
        <charset val="134"/>
      </rPr>
      <t>Sentbe第二波</t>
    </r>
  </si>
  <si>
    <t>[FOR IMMEDIATE ATTENTION] Sentbe's request to Payful for VND Collection Merchant Document (Round 2)</t>
  </si>
  <si>
    <t>5181240703013321588</t>
  </si>
  <si>
    <t>义乌市格湫贸易商行(个体工商户)</t>
  </si>
  <si>
    <t>5181250521041769548</t>
  </si>
  <si>
    <t>合肥为什么教育科技有限公司</t>
  </si>
  <si>
    <t>2511171541092077530
2511141521091994484
2511111551091825320</t>
  </si>
  <si>
    <t>RE: SCBHK - GEP - Urgent RFI - 26MLD004611 / CA43755661 - by 16th Apr 2026</t>
  </si>
  <si>
    <t>30笔入账涉2个汇款司，事后调单，申请延期</t>
  </si>
  <si>
    <t>5181240105001664488</t>
  </si>
  <si>
    <t>中遠國際快運有限公司</t>
  </si>
  <si>
    <t>SCBHK - GEP - Urgent RFI - CA40730488 - US - TM260327-US00049- by 16th Apr 2026</t>
  </si>
  <si>
    <t>林劲/上海遂意付网络科技有限公司</t>
  </si>
  <si>
    <t>AE CIS入账，海外分发</t>
  </si>
  <si>
    <t>Additional Information Request – Post Transaction Monitoring - LAI WEIYE - RT6098565833 | 939565</t>
  </si>
  <si>
    <t>5181250606042726588</t>
  </si>
  <si>
    <t>JIU JIANG SHI HE RAN DIAN ZI SHANG WU CO   LTD</t>
  </si>
  <si>
    <t>2507221910086947113 / 2510231814091074266</t>
  </si>
  <si>
    <t>5181250606042726898</t>
  </si>
  <si>
    <t>JIU JIANG SHI HUA SHAO DIAN ZI SHANG WU CO   LTD</t>
  </si>
  <si>
    <t>2510231812091074137 / 2507230953086967498</t>
  </si>
  <si>
    <t>5181250606042730118</t>
  </si>
  <si>
    <t>JIU JIANG SHI JIA YI MING DIAN ZI SHANG WU CO   LTD</t>
  </si>
  <si>
    <t>2507231001086967750 / 2510231816091074699</t>
  </si>
  <si>
    <t>5181250606042726038</t>
  </si>
  <si>
    <t>JIU JIANG SHI RUI XUE DIAN ZI SHANG WU CO   LTD</t>
  </si>
  <si>
    <t>2507221918086951631 / 2510241054091088847</t>
  </si>
  <si>
    <t>5181250606042729578</t>
  </si>
  <si>
    <t>JIU JIANG SHI XIAO GUANG DIAN ZI SHANG WU CO   LTD</t>
  </si>
  <si>
    <t>2507220924086875651 / 2510221819090983764 / 2507181414086823486</t>
  </si>
  <si>
    <t>5181250606042716428</t>
  </si>
  <si>
    <t>ZHENG ZHOU XIU LE DIAN ZI KE JI CO   LTD</t>
  </si>
  <si>
    <t>2510231819091075205 / 2507231009086968045</t>
  </si>
  <si>
    <t>5181250606042720128</t>
  </si>
  <si>
    <t>ZHENG ZHOU YIN MIE DIAN ZI KE JI CO   LTD</t>
  </si>
  <si>
    <t>2510241032091088334 / 2507231016086968312</t>
  </si>
  <si>
    <t>Additional Information Request – Post Transaction Monitoring - LI HUAN - RT3002198974 | 939570
关联：Additional Information Request – Post Transaction Monitoring - XIA MEN BAN JIU WANG LUO KE JI CO., LTD / LI HUAN | 951586</t>
  </si>
  <si>
    <t>2508141459087726543</t>
  </si>
  <si>
    <t>5181250618043703848</t>
  </si>
  <si>
    <t>FU ZHOU BAI SHUN TONG DIAN ZI CO   LTD</t>
  </si>
  <si>
    <t>2508141554087729408</t>
  </si>
  <si>
    <t>5181250618043702508</t>
  </si>
  <si>
    <t>FU ZHOU SHI JIN AN QU XIAO MAN DIAN ZI SHANG HANG</t>
  </si>
  <si>
    <t>2508291228088243930</t>
  </si>
  <si>
    <t>5181250623043971148</t>
  </si>
  <si>
    <t>SHEN YANG SHENG MAI TONG KE JI CO   LTD</t>
  </si>
  <si>
    <t>2508201529087846757</t>
  </si>
  <si>
    <t>5181250804045852138</t>
  </si>
  <si>
    <t>XIA MEN BAN JIU WANG LUO KE JI CO   LTD</t>
  </si>
  <si>
    <t>2508201605087847592</t>
  </si>
  <si>
    <t>5181250804045852998</t>
  </si>
  <si>
    <t>XIA MEN BAN XI WANG LUO KE JI CO   LTD</t>
  </si>
  <si>
    <t>2508201601087847480</t>
  </si>
  <si>
    <t>5181250804045854718</t>
  </si>
  <si>
    <t>XIA MEN SHI TONG AN QU CHUANG SHI AO MAO YI SHANG HANG GE TI GONG SHANG HU</t>
  </si>
  <si>
    <t>2508201557087847363</t>
  </si>
  <si>
    <t>5181250802045807888</t>
  </si>
  <si>
    <t>XIA MEN WAN ZE YOU YU WANG LUO KE JI CO   LTD</t>
  </si>
  <si>
    <t>RE: SCBHK - GEP - RFI - CA43820156 - US - TM260413-US00012</t>
  </si>
  <si>
    <t>5181210402000078058</t>
  </si>
  <si>
    <t>歌谷（深圳）电商科技有限公司</t>
  </si>
  <si>
    <t>2512291651094177398/2512241530093978032/2512241139093968365</t>
  </si>
  <si>
    <t>RE: SCBHK - GEP - RFI - CA40751054 - US - TM260416-US00251</t>
  </si>
  <si>
    <t>5181251028050479578</t>
  </si>
  <si>
    <t>ZFANCE INC.</t>
  </si>
  <si>
    <t>RE: SCBHK - GEP - RFI - CA44343457 - US - TM260407-US00095</t>
  </si>
  <si>
    <r>
      <rPr>
        <sz val="10"/>
        <color rgb="FF267EF0"/>
        <rFont val="微软雅黑"/>
        <charset val="134"/>
      </rPr>
      <t>SCB NESTING RFI</t>
    </r>
  </si>
  <si>
    <t>Re: SCBHK - GEP - GLOBAL E-PAYMENT LIMITED - CAR6887, CAR6888, CAR6908, CAR6959, CAR6982, CAR6983, CAR7079</t>
  </si>
  <si>
    <t>GEP财务户付款</t>
  </si>
  <si>
    <t>Nium Pte Ltd</t>
  </si>
  <si>
    <t>2602271120097270884</t>
  </si>
  <si>
    <t>5181250402039794248</t>
  </si>
  <si>
    <t>香港匯鋒國際貿易有限公司</t>
  </si>
  <si>
    <t>吕鹏/香港容融科技有限公司</t>
  </si>
  <si>
    <t>HONGKONG FORTUNETECH LIMITED</t>
  </si>
  <si>
    <t>2602241149097128087</t>
  </si>
  <si>
    <t>5181250730045609408</t>
  </si>
  <si>
    <t>斯磐卡什有限公司</t>
  </si>
  <si>
    <t>MICO WORLD LIMITED</t>
  </si>
  <si>
    <t>2603181638098048969</t>
  </si>
  <si>
    <t>姜俊锋
LINKFI SOFTWARE INC</t>
  </si>
  <si>
    <t>CARLOS ESPINO VILLALAZ</t>
  </si>
  <si>
    <t>2603091622781192057
EMERGENCE TECHNOLOGY - FZCO</t>
  </si>
  <si>
    <t>5181250611043119538</t>
  </si>
  <si>
    <t>伍零壹源碼科技有限公司</t>
  </si>
  <si>
    <t>FIVE ZERO ONE LIMITED</t>
  </si>
  <si>
    <t>2603112151782064211
AMANAMODE PORTAL CO. L.L.C - GCC MULTI TXN</t>
  </si>
  <si>
    <t>SPANCASH LIMITED</t>
  </si>
  <si>
    <t>2603121848782026035
1/LIMITED LIABILITY COMPANY ASIA FE</t>
  </si>
  <si>
    <t>5181260306057114178</t>
  </si>
  <si>
    <t>Hong Tai Metal Co., Limited</t>
  </si>
  <si>
    <t>HONG TAI METAL CO., LIMITED.</t>
  </si>
  <si>
    <t>2512121151093390183</t>
  </si>
  <si>
    <t>2512181531093670928</t>
  </si>
  <si>
    <t>2602131439096899085</t>
  </si>
  <si>
    <t>5181250117037344088</t>
  </si>
  <si>
    <t>Hong kong Summer Penguin Travel Limited</t>
  </si>
  <si>
    <t>2603061413097550107</t>
  </si>
  <si>
    <t>AML/CTF Thunes Information Request [Global E-Payment Limited] - 7 transactions</t>
  </si>
  <si>
    <t>2512161645093532419</t>
  </si>
  <si>
    <t>吴铠玘/杭州雷闪闪科技有限公司</t>
  </si>
  <si>
    <t>2512251119094070608</t>
  </si>
  <si>
    <t>2512272118094142016</t>
  </si>
  <si>
    <t>2512281517094147669</t>
  </si>
  <si>
    <t>2512291153094162283</t>
  </si>
  <si>
    <t>2512291353094166874</t>
  </si>
  <si>
    <t>2512291410094167325</t>
  </si>
  <si>
    <t>Re: SCBHK - GEP - GLOBAL E-PAYMENT LIMITED - CAR7206, CAR7298</t>
  </si>
  <si>
    <t>2604220943099557853</t>
  </si>
  <si>
    <t>2604231613099659226</t>
  </si>
  <si>
    <t>KYC and SOF/SOW Documentation</t>
  </si>
  <si>
    <t>RFI - LAOLI WU - DD 10.10.2026</t>
  </si>
  <si>
    <t>5181240401002908348</t>
  </si>
  <si>
    <t>福建子鲸网络有限公司</t>
  </si>
  <si>
    <t>RE: SCBHK - GLOBAL E-PAYMENT LIMITED - Urgent RFI - 26MLD005793 - by 13th May 2026</t>
  </si>
  <si>
    <t xml:space="preserve">5181250211037655068 </t>
  </si>
  <si>
    <t>RE: SCBHK - GEP - RFI - CA45097420 - US - TM260506-US00084</t>
  </si>
  <si>
    <t>13笔</t>
  </si>
  <si>
    <t>5181250802045801808</t>
  </si>
  <si>
    <t>厦门市薄发贸易有限公司</t>
  </si>
  <si>
    <t>RFI- PALACE BIANHE, SHIYI KANG, XINRUI SHENG- DD 13.05.2026</t>
  </si>
  <si>
    <t>客户ID提供不出</t>
  </si>
  <si>
    <t>RE: [Action Required] Account update on VA: Flyingcard inc of GLOBAL E-PAYMENT LIMITED (CIF: 5259859) ref . 1513IT0555070</t>
  </si>
  <si>
    <t>5181241014032026828</t>
  </si>
  <si>
    <t>Flyingcard inc</t>
  </si>
  <si>
    <t>RFI- LAOLI WU- DD 14.05.2026</t>
  </si>
  <si>
    <t>Supporting documents - Incoming IDR VA- April 2026</t>
  </si>
  <si>
    <t>2604301339812356297</t>
  </si>
  <si>
    <t>5181240612004311968</t>
  </si>
  <si>
    <t>宁波井十电子商务有限公司</t>
  </si>
  <si>
    <t>2604081421801002869</t>
  </si>
  <si>
    <t>2602271811768707691</t>
  </si>
  <si>
    <t>5181260209056277948</t>
  </si>
  <si>
    <t>深圳市今悉科技有限公司</t>
  </si>
  <si>
    <t>张方杰/北京大墅科技有限公司</t>
  </si>
  <si>
    <t>2603311027789088515</t>
  </si>
  <si>
    <t>5181240710015030808</t>
  </si>
  <si>
    <t>唐敦娥</t>
  </si>
  <si>
    <t>2602261533766859864</t>
  </si>
  <si>
    <t>5181260225056552328</t>
  </si>
  <si>
    <t>山东新格林材料科技有限公司</t>
  </si>
  <si>
    <t>2603301447789097396</t>
  </si>
  <si>
    <t>2604210907803431935</t>
  </si>
  <si>
    <t>2604291439812366268</t>
  </si>
  <si>
    <t>2604230925803505930</t>
  </si>
  <si>
    <t>SCBHK - GEP - RFI -CA45111796 - US - TM260513-US00036</t>
  </si>
  <si>
    <t>5181250906047396068</t>
  </si>
  <si>
    <t>GRANDMAX TYRE GROUP CO., LIMITED</t>
  </si>
  <si>
    <t>SCBHK - GEP - RFI -CA45105617 - US - TM260513-US00087</t>
  </si>
  <si>
    <t>2603180719783109828</t>
  </si>
  <si>
    <t>5181260210056323508</t>
  </si>
  <si>
    <t>Celest Trading Limited</t>
  </si>
  <si>
    <t>2603200719787687964</t>
  </si>
  <si>
    <t>2603270743789106376</t>
  </si>
  <si>
    <t>2603310718789048652</t>
  </si>
  <si>
    <t>2604080732801007138</t>
  </si>
  <si>
    <t>Transfermate</t>
  </si>
  <si>
    <t>TM Compliance Periodic Review - Liu Xiuli</t>
  </si>
  <si>
    <t>已清退</t>
  </si>
  <si>
    <t>RFI: 20260516-D4OTPP - ZHAN QUAN LIU - due 2026-05-21</t>
  </si>
  <si>
    <t>03724604</t>
  </si>
  <si>
    <t>5181250728045347608</t>
  </si>
  <si>
    <t>林锦涛</t>
  </si>
  <si>
    <t>RFI: 20260519-K5IPSB - QIAO LI - due 2026-05-22</t>
  </si>
  <si>
    <t>03735503</t>
  </si>
  <si>
    <t>奉天贸易有限公司</t>
  </si>
  <si>
    <t>RE: [MCAP] [for action] Review on VA with Designated Jurisdictions nexus - GLOBAL E-PAYMENT LIMITED</t>
  </si>
  <si>
    <t>2508291015088237238</t>
  </si>
  <si>
    <t>5181241008031001278</t>
  </si>
  <si>
    <t>AUTHENTIC STEEL LIMITED</t>
  </si>
  <si>
    <t>(1427878859) AML/CTF Thunes Information Request [Global E-Payment Limited]</t>
  </si>
  <si>
    <t>2512311110094263916</t>
  </si>
  <si>
    <t>RE: Post-RFI Payment Ref 1513SW0000032835 [ CIF Number 5259859 GLOBAL E-PAYMENT LIMITED] EMAIL REF HK100630960</t>
  </si>
  <si>
    <t>5181230628000362458</t>
  </si>
  <si>
    <t>基米瑞科技有限公司</t>
  </si>
  <si>
    <t>Post-RFI Payment Ref 1513SW0000032854 [ CIF Number 5259859 GLOBAL E-PAYMENT LIMITED] EMAIL REF HK100632036</t>
  </si>
  <si>
    <t>SCBHK - GEP - RFI - CA45883790 - US - TM260525-US00085</t>
  </si>
  <si>
    <t>5181260127055813748</t>
  </si>
  <si>
    <t>榮旭達有限公司</t>
  </si>
  <si>
    <t>SCBHK - GEP - RFI - CA45901121 - US - TM260525-US00017</t>
  </si>
  <si>
    <t>5181250906047403478</t>
  </si>
  <si>
    <t>海南鑫鸿源轮胎制造有限公司</t>
  </si>
  <si>
    <t>RFI: 20260525-GPYBB3 - JIN HAI ZHENG - due 2026-05-29</t>
  </si>
  <si>
    <t>MT70CFTE28004000000000006254620 / 03763224
（商户均已主动注销）
无余额</t>
  </si>
  <si>
    <t>5181240130001942588</t>
  </si>
  <si>
    <t>俞亚妹</t>
  </si>
  <si>
    <t>RFI: 20260527-MZMHG2 - JUN LIANG LIN - due 2026-06-02</t>
  </si>
  <si>
    <t>已冻结50EUR</t>
  </si>
  <si>
    <t>5181221115002822078</t>
  </si>
  <si>
    <t>林军良</t>
  </si>
  <si>
    <t>GME-Payments_Request for Marketplace Proof and Deactivation of VAs</t>
  </si>
  <si>
    <t>电商平台未报备给渠道</t>
  </si>
  <si>
    <t>5181250225038246738</t>
  </si>
  <si>
    <t>青岛璀印诚和电子商务有限公司</t>
  </si>
  <si>
    <t>[Action Required] Account update on VA: HONGKONG PALAMO TRADING LIMITED of GLOBAL E-PAYMENT LIMITED (CIF: 5259859) ref . NoTransaction</t>
  </si>
  <si>
    <t>2,000.00	HKD
300	USD</t>
  </si>
  <si>
    <t>欺诈调查，暂无DA letter</t>
  </si>
  <si>
    <t>5181260413060440838</t>
  </si>
  <si>
    <t>香港帕拉莫貿易有限公司</t>
  </si>
  <si>
    <t>Re: SCBHK - GEP - GLOBAL E-PAYMENT LIMITED - CAR7471, CAR7470, CAR7469, CAR7468</t>
  </si>
  <si>
    <t>Suspicious Account Activities - GLOBAL E-PAYMENT LIMITED</t>
  </si>
  <si>
    <t>5181251216053781558</t>
  </si>
  <si>
    <t>天月松公司</t>
  </si>
  <si>
    <t>5181251209053274368</t>
  </si>
  <si>
    <t>星萬宏公司</t>
  </si>
  <si>
    <t>5181251209053273268</t>
  </si>
  <si>
    <t>煌百公司</t>
  </si>
  <si>
    <t>5181251216053780528</t>
  </si>
  <si>
    <t>亮帝公司</t>
  </si>
  <si>
    <t>5181251229054385478</t>
  </si>
  <si>
    <t>盛景公司</t>
  </si>
  <si>
    <t>5181251212053569198</t>
  </si>
  <si>
    <t>日博公司</t>
  </si>
  <si>
    <t>5181251211053521128</t>
  </si>
  <si>
    <t>星途公司</t>
  </si>
  <si>
    <t>[Request for Information] MF Trading Limited - VA 9633363139</t>
  </si>
  <si>
    <t>2604241217810933187</t>
  </si>
  <si>
    <t>[Action Required] Account update on VA: SILK ESSENCE COMPANY of GLOBAL E-PAYMENT LIMITED (CIF: 5259859) ref . NA</t>
  </si>
  <si>
    <t>7990012500
欺诈调查 尚未收到DA letter
汇款人：Allinpay Merchants Services Company</t>
  </si>
  <si>
    <t>5181260203056021318</t>
  </si>
  <si>
    <t>SILK ESSENCE COMPANY</t>
  </si>
  <si>
    <t>SCBHK - GEP - RFI - CA45899494 - US - TM260603-US00180</t>
  </si>
  <si>
    <t>5181251223054067448</t>
  </si>
  <si>
    <t>TSUI KEE TRADING LIMITED</t>
  </si>
  <si>
    <t>DBS HK - SDN Lookback Trawl - 1 May 2026 - GLOBAL E-PAYMENT LIMITED</t>
  </si>
  <si>
    <t>5181250527042025788</t>
  </si>
  <si>
    <t>TERODA INTERNATIONAL LIMITED</t>
  </si>
  <si>
    <t>depop证件</t>
  </si>
  <si>
    <t>[E-Commerce Platform Review] - Payful - Depop - Request 20260608</t>
  </si>
  <si>
    <t>林敏健</t>
  </si>
  <si>
    <t>5181220312001013738</t>
  </si>
  <si>
    <t>陈志聪</t>
  </si>
  <si>
    <t>5181260417060975958</t>
  </si>
  <si>
    <t>侯新龙</t>
  </si>
  <si>
    <t>Fwd: RFI - Ruan Jiale (ID: 81215350)[#102941]</t>
  </si>
  <si>
    <t>5181241211036450648</t>
  </si>
  <si>
    <t xml:space="preserve">阮家乐 </t>
  </si>
  <si>
    <t>Request for Information - #2416580 BC:017010390</t>
  </si>
  <si>
    <t>5181250806045975558</t>
  </si>
  <si>
    <t>XUJIN GLOBAL LIMITED</t>
  </si>
  <si>
    <t>Request for Information - #2484601 BC:017010470</t>
  </si>
  <si>
    <t>5181241023033379248</t>
  </si>
  <si>
    <t>郑明</t>
  </si>
  <si>
    <t>RFI: 20260617-UQI7DJ - HONG YAN ZHANG - due 2026-06-22</t>
  </si>
  <si>
    <t>3875041 已冻结50EUR</t>
  </si>
  <si>
    <t>[Action Required] Account update on VA: LRQ LIMITED of GLOBAL E-PAYMENT LIMITED (CIF: 5259859) ref . 2512222000308/2512232000287/2512292000347</t>
  </si>
  <si>
    <t>5181251117051794648</t>
  </si>
  <si>
    <t>麟瑞權有限公司</t>
  </si>
  <si>
    <t>RFI: 20260620-LAZTCX - XUE LIN - due 2026-06-25</t>
  </si>
  <si>
    <t>3887310
已冻结50EUR</t>
  </si>
  <si>
    <t>Request for Information - #2445779 BC:017010698</t>
  </si>
  <si>
    <t>5181260319058243688</t>
  </si>
  <si>
    <t>义乌市瑞圳贸易商行（个体工商户）</t>
  </si>
  <si>
    <t>AML/CTF Thunes Information Request [Global E-Payment Limited] - 12 transactions</t>
  </si>
  <si>
    <t>12笔</t>
  </si>
  <si>
    <t>HPAY</t>
  </si>
  <si>
    <t>Fwd: [HPAY] CUNG CẤP CHỨNG TỪ GIAO DỊCH</t>
  </si>
  <si>
    <t>5181260424061670818</t>
  </si>
  <si>
    <t>河口德文商贸有限公司</t>
  </si>
  <si>
    <t>RFI: 20260629-Z6951X - ZHENG ZHOU LIN - due 2026-07-02</t>
  </si>
  <si>
    <t>03929653 已冻结50EUR</t>
  </si>
  <si>
    <t>5181230922000858068</t>
  </si>
  <si>
    <t>陈明敏</t>
  </si>
  <si>
    <t>RFI: 20260701-K394OT - ZHENG ZHOU LIN - due 2026-07-06</t>
  </si>
  <si>
    <t>03940164 已冻结50EUR</t>
  </si>
  <si>
    <t>SCBHK - GEP - RFI -CA46666090 - US - TM260629-US00166</t>
  </si>
  <si>
    <t>2604281547811137762</t>
  </si>
  <si>
    <t>2605202050825924322</t>
  </si>
  <si>
    <t>2605061106812383704</t>
  </si>
  <si>
    <t>2605140802823140099</t>
  </si>
  <si>
    <t>2604221546803464164</t>
  </si>
  <si>
    <t>2604292151812332936</t>
  </si>
  <si>
    <t>Post-RFI Payment Ref 1513SW0000034659 [ CIF Number 5259859 GLOBAL E-PAYMENT LIMITED ] EMAIL REF HK100654753</t>
  </si>
  <si>
    <t>2605211530101040655</t>
  </si>
  <si>
    <t>2605211332100993499</t>
  </si>
  <si>
    <t>2605211522101022806</t>
  </si>
  <si>
    <t>收款方名称</t>
  </si>
  <si>
    <t>单笔抽查金额（CNY）</t>
  </si>
  <si>
    <t>渠道邮件名称</t>
  </si>
  <si>
    <t>第一次回复追问时间</t>
  </si>
  <si>
    <t>5181240722016838668</t>
  </si>
  <si>
    <t>汇付</t>
  </si>
  <si>
    <t>汇付调单调单-GLOBAL E-PAYMENT LIMITED</t>
  </si>
  <si>
    <t>已完成</t>
  </si>
  <si>
    <t>材料非常差；贸易真实性存疑</t>
  </si>
  <si>
    <t>3个商户</t>
  </si>
  <si>
    <t>汇付1月例行调单</t>
  </si>
  <si>
    <r>
      <rPr>
        <sz val="11"/>
        <color rgb="FF267EF0"/>
        <rFont val="微软雅黑"/>
        <charset val="134"/>
      </rPr>
      <t>解密后.xls</t>
    </r>
  </si>
  <si>
    <t>5181230306003249368</t>
  </si>
  <si>
    <t>李特</t>
  </si>
  <si>
    <t>转发：年审资料补充</t>
  </si>
  <si>
    <t>汇付2月例行调单</t>
  </si>
  <si>
    <t>汇付3月例行调单</t>
  </si>
  <si>
    <t>2个商户</t>
  </si>
  <si>
    <t>汇付4月例行调单</t>
  </si>
  <si>
    <t xml:space="preserve">5181240218002068198
</t>
  </si>
  <si>
    <t>香港十美科技有限公司</t>
  </si>
  <si>
    <t>新生</t>
  </si>
  <si>
    <t>Global e-payment Limited合规调单</t>
  </si>
  <si>
    <t>5181240918027362388</t>
  </si>
  <si>
    <t>YWJS CO., LTD</t>
  </si>
  <si>
    <t>易宝</t>
  </si>
  <si>
    <t>【易宝调单-事后核查】Global E-Payment Limited</t>
  </si>
  <si>
    <t>汇付5月例行调单</t>
  </si>
  <si>
    <t>GEP交易调单【新生支付】</t>
  </si>
  <si>
    <t>汇付6月例行调单</t>
  </si>
  <si>
    <t>汇付7月例行调单</t>
  </si>
  <si>
    <t>汇付代发提额材料</t>
  </si>
  <si>
    <t>汇付8月例行调单</t>
  </si>
  <si>
    <t>隱龍科技集團有限公司
Indomobi Technology Limited</t>
  </si>
  <si>
    <t>汇付9月例行调单</t>
  </si>
  <si>
    <t>汇付10月例行调单</t>
  </si>
  <si>
    <t>汇付11月例行调单</t>
  </si>
  <si>
    <t xml:space="preserve"> CNY</t>
  </si>
  <si>
    <t>汇付12月例行调单</t>
  </si>
  <si>
    <t>【新生支付】交易抽查-GEP</t>
  </si>
  <si>
    <t>5181250819046466088</t>
  </si>
  <si>
    <t>JINGT Corporation Limited</t>
  </si>
  <si>
    <t>韩浩亮</t>
  </si>
  <si>
    <t>中行</t>
  </si>
  <si>
    <t>4月调单明细(20260430)--中行B2B业务调单核查</t>
  </si>
  <si>
    <t>5181260325058745868</t>
  </si>
  <si>
    <t>香港新木木智能科技有限公司</t>
  </si>
  <si>
    <t>深圳市盛德至善贸易有限责任公司</t>
  </si>
  <si>
    <t>东莞市杰木木智能科技有限公司</t>
  </si>
  <si>
    <t>5181251016049766228</t>
  </si>
  <si>
    <t>LINK METAL LIMITED</t>
  </si>
  <si>
    <t>郑敬波</t>
  </si>
  <si>
    <t>5181260120055406598</t>
  </si>
  <si>
    <t>香港菲樂思科技有限公司</t>
  </si>
  <si>
    <t>陈露</t>
  </si>
  <si>
    <r>
      <rPr>
        <sz val="10"/>
        <color rgb="FF267EF0"/>
        <rFont val="微软雅黑"/>
        <charset val="134"/>
      </rPr>
      <t>中行调单对应关系整理</t>
    </r>
  </si>
  <si>
    <t>转发：调单（2604）</t>
  </si>
  <si>
    <t>4个商户</t>
  </si>
  <si>
    <r>
      <rPr>
        <sz val="11"/>
        <color rgb="FF267EF0"/>
        <rFont val="宋体"/>
        <charset val="134"/>
      </rPr>
      <t>易宝调单关系梳理</t>
    </r>
  </si>
  <si>
    <t>【易宝】【外部核查】0605-Global E-Payment Limited</t>
  </si>
  <si>
    <t>58个商户</t>
  </si>
  <si>
    <t>2026年5月中行调单</t>
  </si>
  <si>
    <t>等待材料</t>
  </si>
  <si>
    <t>邮件主题</t>
  </si>
  <si>
    <t>商户</t>
  </si>
  <si>
    <t>站点</t>
  </si>
  <si>
    <t>交易订单号/渠道号</t>
  </si>
  <si>
    <t>币种（总）</t>
  </si>
  <si>
    <t>调单金额（分）</t>
  </si>
  <si>
    <t>币种（分）</t>
  </si>
  <si>
    <t>VA</t>
  </si>
  <si>
    <t>是否冻结罚款</t>
  </si>
  <si>
    <t>用户状态</t>
  </si>
  <si>
    <t>结算状态</t>
  </si>
  <si>
    <t>Inquiry in criminal investigation proceedings, Case-No. 2024 01 260 500 BC(1478442)</t>
  </si>
  <si>
    <t>5181240122001854088 
贺老四</t>
  </si>
  <si>
    <t>丹麦本土店(paypal)
DKK</t>
  </si>
  <si>
    <t>2410100756047365706</t>
  </si>
  <si>
    <t>sextortion</t>
  </si>
  <si>
    <t>开通</t>
  </si>
  <si>
    <t>不可结算</t>
  </si>
  <si>
    <t>10月paypal批量召回商户</t>
  </si>
  <si>
    <t>REMINDER: Request for information / file number 542/24/119822</t>
  </si>
  <si>
    <t>Bestandsdatenanfrage ST/1040946/2024</t>
  </si>
  <si>
    <t>5181240411003046978
余康</t>
  </si>
  <si>
    <t>欧洲本土店(shoplazza)
EUR</t>
  </si>
  <si>
    <t>2405202115009137333</t>
  </si>
  <si>
    <t>LU884080000027738507</t>
  </si>
  <si>
    <t>Fraud</t>
  </si>
  <si>
    <t>police request</t>
  </si>
  <si>
    <t>5181240423003195118
胡昂</t>
  </si>
  <si>
    <t>VINTED（欧元）</t>
  </si>
  <si>
    <t>2408012039025082673</t>
  </si>
  <si>
    <t>DE36202208000027744141</t>
  </si>
  <si>
    <t>余额不足</t>
  </si>
  <si>
    <t>FW: Polizeiliches Auskunftsersuchen, unser Zeichen: 2024 01 023 639</t>
  </si>
  <si>
    <t>5181240325002794458
湖北富贵网络科技有限公司</t>
  </si>
  <si>
    <t>独立站-丹麦
DKK</t>
  </si>
  <si>
    <t>2409040753036500019</t>
  </si>
  <si>
    <t>DK5889000050686739</t>
  </si>
  <si>
    <t>是</t>
  </si>
  <si>
    <t>两封邮件（Requesting information - Ref. 03/2025 BC#1555627）</t>
  </si>
  <si>
    <t>Requesting information - Ref. 03/2025</t>
  </si>
  <si>
    <t>5181240314002524488
邱清清</t>
  </si>
  <si>
    <t>丹麦本土店(shopline)
DKK</t>
  </si>
  <si>
    <t>2412280934065427448</t>
  </si>
  <si>
    <t>DK3389000052898013</t>
  </si>
  <si>
    <t>FW: Law Enforcement Enquiry BC#1558184</t>
  </si>
  <si>
    <t>5181230905000716628
輝銘駿貿易有限公司</t>
  </si>
  <si>
    <t>独立站(欧元)
EUR</t>
  </si>
  <si>
    <t>2401291844005663102</t>
  </si>
  <si>
    <t>DK2489000026430561</t>
  </si>
  <si>
    <t>2402071730005901312</t>
  </si>
  <si>
    <t>DK4089000026762207</t>
  </si>
  <si>
    <t>5181240711015204648
王智辉</t>
  </si>
  <si>
    <t>丹麦本土店
DKK</t>
  </si>
  <si>
    <t>2408130759027345035</t>
  </si>
  <si>
    <t>DK2389000050684459</t>
  </si>
  <si>
    <t>否</t>
  </si>
  <si>
    <t>关闭</t>
  </si>
  <si>
    <t>2412080454059743641</t>
  </si>
  <si>
    <t>DK4689000050797632</t>
  </si>
  <si>
    <t>2408300824034170784</t>
  </si>
  <si>
    <t>DK2789000050684484</t>
  </si>
  <si>
    <t>2411280544055857544</t>
  </si>
  <si>
    <t xml:space="preserve">DK5289000050795681 </t>
  </si>
  <si>
    <t>2412020105056507054</t>
  </si>
  <si>
    <t>DK8889000050796585</t>
  </si>
  <si>
    <t>5181240228002192678
沈艳苹</t>
  </si>
  <si>
    <t>2408150755027619661</t>
  </si>
  <si>
    <t>DK4889000050795947</t>
  </si>
  <si>
    <t>可结算</t>
  </si>
  <si>
    <t>10月PayPal欺诈召回高风险商户</t>
  </si>
  <si>
    <t>2408160752028186423</t>
  </si>
  <si>
    <t>DK5789000050799374</t>
  </si>
  <si>
    <t>2408150753027616753</t>
  </si>
  <si>
    <t>DK1489000050796365</t>
  </si>
  <si>
    <t>2408150753027617398</t>
  </si>
  <si>
    <t xml:space="preserve">DK7389000050796370 </t>
  </si>
  <si>
    <t>5181240116001787608
朱忠文</t>
  </si>
  <si>
    <t>2403201726006853291</t>
  </si>
  <si>
    <t>DK1489000027631892</t>
  </si>
  <si>
    <t>查询不到</t>
  </si>
  <si>
    <t xml:space="preserve">DK9489000024752656 </t>
  </si>
  <si>
    <t>5181240324002777948
香港麥斯特科技有限公司</t>
  </si>
  <si>
    <t>2407250756023279785</t>
  </si>
  <si>
    <t xml:space="preserve">DK6689000028568655 </t>
  </si>
  <si>
    <t>Police investigation data request (GlobalEPayment_DP_159.2024_T46467U)</t>
  </si>
  <si>
    <t>与【FW: Law Enforcement Enquiry BC#1558184】相同</t>
  </si>
  <si>
    <r>
      <rPr>
        <sz val="11"/>
        <color rgb="FF267EF0"/>
        <rFont val="宋体"/>
        <charset val="134"/>
      </rPr>
      <t>document.xlsx</t>
    </r>
  </si>
  <si>
    <t>Urgent investigation request. Prot. 00867/2024</t>
  </si>
  <si>
    <t>其他警方</t>
  </si>
  <si>
    <t>5181241202036181858
义乌市奔骑电子商务商行（个体工商户）</t>
  </si>
  <si>
    <t>DK1589000027879127</t>
  </si>
  <si>
    <t>5181241120035804928
义乌市费拉戈商贸商行(个体工商户)</t>
  </si>
  <si>
    <t>LU964080000027876782</t>
  </si>
  <si>
    <t>5181241118035660558
佛山市顺德区归来的商贸商行（个体工商户）</t>
  </si>
  <si>
    <t>DK6089000027878705</t>
  </si>
  <si>
    <t>5181241103034583638
义乌市杜杜妈饰品商行</t>
  </si>
  <si>
    <t>DE17202208000027877082</t>
  </si>
  <si>
    <t>LU324080000026566397</t>
  </si>
  <si>
    <t>Police Investigation - Request for Merchant Information VA 56216880082116</t>
  </si>
  <si>
    <t>5181220114000588138
林少雄</t>
  </si>
  <si>
    <t>韩国本土店 BUNJANG</t>
  </si>
  <si>
    <t>2411121814053770379</t>
  </si>
  <si>
    <t>300000</t>
  </si>
  <si>
    <t>56216880082116</t>
  </si>
  <si>
    <t>Request for information Police Weil am Rhein - ST/2351968/2024</t>
  </si>
  <si>
    <t>5181240127001919058
余梅丹</t>
  </si>
  <si>
    <t>独立站-丹麦</t>
  </si>
  <si>
    <t>2412061045059656990</t>
  </si>
  <si>
    <t>very urgent request for data from the Luxembourg authorities for VIBAN DK2189000095309345</t>
  </si>
  <si>
    <t>5181221017002640158
唐婷</t>
  </si>
  <si>
    <t>亚马逊美国站</t>
  </si>
  <si>
    <t>2302140912001915290</t>
  </si>
  <si>
    <t>70240000095309345</t>
  </si>
  <si>
    <t>余额不足，部分冻结106.38USD</t>
  </si>
  <si>
    <t>FW: Law Enforcement Enquiry</t>
  </si>
  <si>
    <t>5181221122002867468
郑善桐</t>
  </si>
  <si>
    <t>波兰本土店(olx)</t>
  </si>
  <si>
    <t>2502032246073634371</t>
  </si>
  <si>
    <t>PL24102010263992000053758189</t>
  </si>
  <si>
    <t>警方邮件：Legal assistance RSD- 29/25</t>
  </si>
  <si>
    <t>Merchant info requested_56216880114103_police report</t>
  </si>
  <si>
    <t>5181220225000887308
张记生</t>
  </si>
  <si>
    <t>韩国本土店BUNJANG</t>
  </si>
  <si>
    <t>2502281003563095821</t>
  </si>
  <si>
    <t>56216880114103</t>
  </si>
  <si>
    <t>POSTA CERTIFICATA: Data acquisition request for Police Investigations - Ref. Prot. No.: AGPH20/2025/000048 (to be cited in response)</t>
  </si>
  <si>
    <t>5181241229036951078
义乌市寻喜贸易有限公司</t>
  </si>
  <si>
    <t>意大利警方调查</t>
  </si>
  <si>
    <t>5181250102037021828
义乌市图裂电子商务商行（个体工商户）</t>
  </si>
  <si>
    <t>GEP-Police report_V.A_56216880111820_2025-5608</t>
  </si>
  <si>
    <t>5181240220002094268
陈龙卫</t>
  </si>
  <si>
    <t>2503051819563136005</t>
  </si>
  <si>
    <t>56216880111820</t>
  </si>
  <si>
    <t>@李源</t>
  </si>
  <si>
    <t>GEP-Police report_V.A_ 56216880108540</t>
  </si>
  <si>
    <t>2502260641081151204</t>
  </si>
  <si>
    <t>56216880108540</t>
  </si>
  <si>
    <t>商户无法提供材料，已同步渠道退款</t>
  </si>
  <si>
    <t>DELITOS TECNOLOGIVOS REQUEST INFORMATION S12455-25 104.449
关联邮件：FW: DELITOS TECNOLOGICOS SOLICITA INFORMACION S-12455-25 BC#1709343</t>
  </si>
  <si>
    <t>5181250205037551608
顺景立有限公司</t>
  </si>
  <si>
    <t>西班牙警方调查，涉嫌欺诈</t>
  </si>
  <si>
    <t>GEP-police report cases_2025-9235 &amp; 2025-3646_ Bunjang market</t>
  </si>
  <si>
    <t>5181241201036168678
郭富民</t>
  </si>
  <si>
    <t>2503071610563280028</t>
  </si>
  <si>
    <t>56216880103533</t>
  </si>
  <si>
    <t>已回复</t>
  </si>
  <si>
    <t>5181241126035980118
詹楚颖</t>
  </si>
  <si>
    <t>2503070023563185800</t>
  </si>
  <si>
    <t>56216880093877</t>
  </si>
  <si>
    <t>Very urgent data request from the Luxembourg authorities on the account associated with VIBAN LU264080000027877072
关联邮件：
Temporary User Account: fileexchange.bankingcircle.com
We have received a Freeze order from the Luxembourg Authorities for the VIBAN LU264080000027877072</t>
  </si>
  <si>
    <t>5181250226038284018
SHINNING LIMITED</t>
  </si>
  <si>
    <t>LU264080000027877072</t>
  </si>
  <si>
    <t>Re: Request for KYB Documents for Reported Virtual Account Holders</t>
  </si>
  <si>
    <t>5181240926029159358
沈丽媛</t>
  </si>
  <si>
    <t>韩国本土店coupang</t>
  </si>
  <si>
    <t>56216880109402</t>
  </si>
  <si>
    <t>FW: Sdo. Informacion en relación atestado 9397/24. (CP. 93765) BC#1731783</t>
  </si>
  <si>
    <t>5181240521003440468
董群华</t>
  </si>
  <si>
    <t>50795642；50797288</t>
  </si>
  <si>
    <t>涉嫌欺诈</t>
  </si>
  <si>
    <t>Fraud Transaction Registration 2025-3595 Ho</t>
  </si>
  <si>
    <t>5181240617008552638
郭富城</t>
  </si>
  <si>
    <t>2503071749563300075</t>
  </si>
  <si>
    <t>56216880120630</t>
  </si>
  <si>
    <t>Police Case No 2025-6111</t>
  </si>
  <si>
    <t>2501251451073543773</t>
  </si>
  <si>
    <t>56216880097050</t>
  </si>
  <si>
    <t>张记生</t>
  </si>
  <si>
    <t>Case Registration 2025-6038</t>
  </si>
  <si>
    <t>韩国本土店
joonggonara
Collectiv</t>
  </si>
  <si>
    <t>2505221314585112106</t>
  </si>
  <si>
    <t>56216880122551</t>
  </si>
  <si>
    <t>未告知</t>
  </si>
  <si>
    <t>FW: Police information BC(1751382)</t>
  </si>
  <si>
    <t>5181230320003324298
史辉萍</t>
  </si>
  <si>
    <t>Vinted(欧元)</t>
  </si>
  <si>
    <t>2412192219064022312</t>
  </si>
  <si>
    <t>DK2589000052205577</t>
  </si>
  <si>
    <t>FW: Polizeiliches Ersuchen, Vorgangsnummer 2025 00 656 242</t>
  </si>
  <si>
    <t>5181221124002876538
叶开泰</t>
  </si>
  <si>
    <t>无</t>
  </si>
  <si>
    <t>DK6789000052207149</t>
  </si>
  <si>
    <t>FW: URGENT! ST_1317605_2025_Schreiben_Extern_Banking_Circle_1007202513.pdf (BC#1765783)</t>
  </si>
  <si>
    <t>5181240316002567168
东阳市彬蜀电子商务有限公司</t>
  </si>
  <si>
    <t>2507092210617698098</t>
  </si>
  <si>
    <t>DE59202208000028187211</t>
  </si>
  <si>
    <t>资金未入账，渠道要求退款
已退款</t>
  </si>
  <si>
    <t>Fw: Request from Met Police</t>
  </si>
  <si>
    <t>5181240322002754488
香港邱豐貿易有限公司</t>
  </si>
  <si>
    <t>Request for information from the german police concerning Az. 2025 00 611 189</t>
  </si>
  <si>
    <t>5181250425040937118
谢亚妹</t>
  </si>
  <si>
    <t>shopify欧元</t>
  </si>
  <si>
    <t>LU754080000053432295</t>
  </si>
  <si>
    <t>FW: Auskunftsersuchen 333300/000313/07/25 BC#1789710
同内容：request for information 333300/000313/07/25</t>
  </si>
  <si>
    <t>5181250514041502538
宜春市鹏鹏电子商务有限公司</t>
  </si>
  <si>
    <t>2505302216587002459
2505301724586982546</t>
  </si>
  <si>
    <t>DE54202208000027876513</t>
  </si>
  <si>
    <t>Fw: Police case 2025-697 request</t>
  </si>
  <si>
    <t>BUNJANG</t>
  </si>
  <si>
    <t>2502171522077646018</t>
  </si>
  <si>
    <t>56216880106283</t>
  </si>
  <si>
    <t>欺诈</t>
  </si>
  <si>
    <t>Fw: Police case 2025-585 request</t>
  </si>
  <si>
    <t>2501171632072761548</t>
  </si>
  <si>
    <t>56216880095764</t>
  </si>
  <si>
    <t>Police report case 2025-3564</t>
  </si>
  <si>
    <t>5181220427001438738
李晨明</t>
  </si>
  <si>
    <t>Alwayz</t>
  </si>
  <si>
    <t>56216880121844</t>
  </si>
  <si>
    <t>Registered Case 2025-2790</t>
  </si>
  <si>
    <t>5181240611003763028
沈丽英</t>
  </si>
  <si>
    <t>coupang</t>
  </si>
  <si>
    <t>56216760385346</t>
  </si>
  <si>
    <t>Very urgent request from Luxembourg Authorities DK4889000027876981</t>
  </si>
  <si>
    <t>5181250709044672528
利辛县炫谦电子商务有限公司</t>
  </si>
  <si>
    <t>DK4889000027876981</t>
  </si>
  <si>
    <t>Police report case 2025-16060</t>
  </si>
  <si>
    <t>韩国本土店
joonggonara</t>
  </si>
  <si>
    <t>2503251702567344251</t>
  </si>
  <si>
    <t>56216986102563</t>
  </si>
  <si>
    <t>Re: Police report case 2025-009360 request</t>
  </si>
  <si>
    <t>韩国本土店
alwayzseller</t>
  </si>
  <si>
    <t>56216880113257</t>
  </si>
  <si>
    <t>以他人企业名称在其他网站上注册为卖家，销售商品并开具税务发票</t>
  </si>
  <si>
    <t>judicial requisition FR : 68409 / 1769 / 2025
关联邮件：FW: judicial requisition FR : 68409 / 1769 / 2025 BC#1854612</t>
  </si>
  <si>
    <t>5181250704044470318
斯特贸易有限公司</t>
  </si>
  <si>
    <t>DE61202208000027876775</t>
  </si>
  <si>
    <t>RE: Fraud Notification [Case id:1850749 / 1850862]</t>
  </si>
  <si>
    <t>5181250612043264848
永济俊柳电子商务有限公司</t>
  </si>
  <si>
    <r>
      <rPr>
        <sz val="10"/>
        <color rgb="FF267EF0"/>
        <rFont val="宋体"/>
        <charset val="134"/>
      </rPr>
      <t>GEPD_Accounts.xlsx</t>
    </r>
  </si>
  <si>
    <t>DE89202208000027876271</t>
  </si>
  <si>
    <t>BC似接到协查，同步商户和交易对手都涉嫌欺诈，要求block。已+监控标签管控实时交易，并关闭结算。对应涉诈金额已收到召回邮件，最终反馈接受召回</t>
  </si>
  <si>
    <t>5181250718045037788
义乌市庆寰贸易有限公司</t>
  </si>
  <si>
    <t>DK2589000027876522</t>
  </si>
  <si>
    <t>BC似接到协查，同步商户和交易对手都涉嫌欺诈，要求block。已+监控标签管控实时交易，并关闭结算。退回商户账户内剩余金额</t>
  </si>
  <si>
    <t>Police Report Case 2025-2570</t>
  </si>
  <si>
    <t>56216880102900</t>
  </si>
  <si>
    <t>Police report case 2025-4832</t>
  </si>
  <si>
    <t>5181240729018408918
成鑫</t>
  </si>
  <si>
    <t>56216760380179</t>
  </si>
  <si>
    <t>5181250104037075528
刘建梁</t>
  </si>
  <si>
    <t>56216880119126</t>
  </si>
  <si>
    <t>Registered Case number: 2025-2130</t>
  </si>
  <si>
    <t>56216986108216</t>
  </si>
  <si>
    <t>以他人企业名称在其他网站上注册为卖家</t>
  </si>
  <si>
    <t>Identical Chinese Merchant</t>
  </si>
  <si>
    <t>韩国本土店 alwayz</t>
  </si>
  <si>
    <t>Very urgent request from Luxembourg authorities for the VIBANs DE05202208000027876522 and DE89202208000027876271 | Response Within 2 days</t>
  </si>
  <si>
    <t>DE05202208000027876522</t>
  </si>
  <si>
    <t>Fw: Very urgent request from Luxembourg authorities for the VIBAN LU194080000026566340 | Reply Within 24 hours</t>
  </si>
  <si>
    <t>5181240717016084148
义乌市熇光进出口有限公司</t>
  </si>
  <si>
    <t>LU194080000026566340</t>
  </si>
  <si>
    <t>FW: Police request 202501041851 BC#1904351</t>
  </si>
  <si>
    <t>5181250403039826588
冷水灘貿易有限公司</t>
  </si>
  <si>
    <t>DK8289000027876660</t>
  </si>
  <si>
    <t>Case Registered 2025-20186</t>
  </si>
  <si>
    <t>56216880094461</t>
  </si>
  <si>
    <t>56216880109385</t>
  </si>
  <si>
    <t>FW: Requesting data. Urgent. BC#1905485
关联邮件：Request for information.- U R G E N T</t>
  </si>
  <si>
    <t>5181230822000643528
潘龙</t>
  </si>
  <si>
    <t>Wallapop欧洲站</t>
  </si>
  <si>
    <t>DE05202208000024526530</t>
  </si>
  <si>
    <t>Official request for information // 2666/25/148322</t>
  </si>
  <si>
    <t>5181250226038288418
HHON LIMITED</t>
  </si>
  <si>
    <t>LU304080000026566627</t>
  </si>
  <si>
    <t>FW: Auskunftsersuchen zum Strafverfahren 2666/25/148322 BC#1918198</t>
  </si>
  <si>
    <t>Law Enforcement Enquiry</t>
  </si>
  <si>
    <t>LU674080000053433506</t>
  </si>
  <si>
    <t>FW: DACH - Law Enforcement Enquiry BC#1935968</t>
  </si>
  <si>
    <t>5181250912047951448
BOCAU LIMITED</t>
  </si>
  <si>
    <t>DE90202208000027876835</t>
  </si>
  <si>
    <t>FW: Auskunftsersuchen nach § 161,163 StPO - Unser Zeichen: 250906-1210-095144 BC(1943821)</t>
  </si>
  <si>
    <t>5181250903047222388
莆田市涵江区云岫商贸工作室（个体工商户）</t>
  </si>
  <si>
    <t>DE53202208000040165946</t>
  </si>
  <si>
    <t>似大量发低价品，通过货到付款欺诈</t>
  </si>
  <si>
    <t>Request for inventory data due to investment fraud
关联邮件：FW: Bestandsdatenanfrage aufgrund Anlagebetrugs AZ: ST/1385622/2025</t>
  </si>
  <si>
    <t>5181250526041991898
谷城县染漠罂商贸有限公司</t>
  </si>
  <si>
    <t>DE27202208000027876514</t>
  </si>
  <si>
    <t>历史和BD协商关停</t>
  </si>
  <si>
    <t>5181250612043217958
襄阳市鸿斯黛商贸有限公司</t>
  </si>
  <si>
    <t>DE93202208000027876684</t>
  </si>
  <si>
    <t>Police Request , VN 100008/29092025/1322
关联邮件：FW: Bestandsdaten, VN 100008/29092025/1322 BC#1945601</t>
  </si>
  <si>
    <t>5181250805045917298
諾拓耀貿易有限公司</t>
  </si>
  <si>
    <t>DK1189000027876386</t>
  </si>
  <si>
    <t>Request for information</t>
  </si>
  <si>
    <t>5181250807046007008
王含</t>
  </si>
  <si>
    <t>MT05CFTE28004000000000004836098</t>
  </si>
  <si>
    <t>FW: Betrug BY7121-508892-25/4 BC#1949117</t>
  </si>
  <si>
    <t>FW: Police Information Request VN 090013/01102025/1126 BC#1956417</t>
  </si>
  <si>
    <t>5181250821046557558
Qwer Limited</t>
  </si>
  <si>
    <t>DK2589000027877007</t>
  </si>
  <si>
    <t>FW: Ermittlungsersuchen zum Betrugsfall Az.: BY7415-505239-25/1 BC#1949123</t>
  </si>
  <si>
    <t>German Police RFI === VIBAN DE46202208000027876269 === URGENT</t>
  </si>
  <si>
    <t>5181241108034953708
ELITECH LIMITED</t>
  </si>
  <si>
    <t>DE46202208000027876269</t>
  </si>
  <si>
    <t>Police Case 2025-18573</t>
  </si>
  <si>
    <t>5181250310038746888
莆田市捷利克网络科技有限公司</t>
  </si>
  <si>
    <t>韩国本土店joonggonara</t>
  </si>
  <si>
    <t>56216986105063</t>
  </si>
  <si>
    <t>FW: Gendarmerie Banking circle (Pv 962/2025)</t>
  </si>
  <si>
    <t>5181250326039480638
一思贸易有限公司</t>
  </si>
  <si>
    <t>DK0589000027876397</t>
  </si>
  <si>
    <t>FW: Auskunftsersuchen in Ermittlungsverfahren - VN: 932025/15092025/0945, KOK Stoll BC#2035052</t>
  </si>
  <si>
    <t>DX2 24756/25 D POLICIA NACIONAL Sending an official letter requesting information about fraud
关联邮件：FW: DX2 24756/25 D POLICIA NACIONAL Sending an official letter requesting information BC#2039766</t>
  </si>
  <si>
    <t>5181250819046458438
Fendyue Limited</t>
  </si>
  <si>
    <t>DE33202208000027877085</t>
  </si>
  <si>
    <t>Legal request in a case of fraud, File: 932025/15092025/0945, KOK Stoll</t>
  </si>
  <si>
    <t>FW: EILT Polizeianfrage VN: 173005/17102025/1140 Bc#2058650</t>
  </si>
  <si>
    <t>5181250926048897418
潢川县本觅娜商贸有限公司</t>
  </si>
  <si>
    <t>DE45202208000027877063</t>
  </si>
  <si>
    <t>FW: BDA 2025 01 163 331 BC#2059415</t>
  </si>
  <si>
    <t>FW: Law Enforcement Enquiry BC#2059393</t>
  </si>
  <si>
    <t>5181250423040795268
派克斯供应链管理（深圳）有限公司</t>
  </si>
  <si>
    <t>DK9689000027876990</t>
  </si>
  <si>
    <t>police request for information 202501163331</t>
  </si>
  <si>
    <t>Reg AICMS 161379.25 GE / DILIG 849416/2025 / Global E-Payment Ltd. / UI CORNELLÀ</t>
  </si>
  <si>
    <t>FW: Auskunftsersuchen - Kriminalpolizei Lindau (Bodensee) BC#2069910
关联邮件：Request for information - Kriminalpolizei Lindau</t>
  </si>
  <si>
    <t>5181250915048111598
VSPOPA LIMITED</t>
  </si>
  <si>
    <t>DE66202208000027876685</t>
  </si>
  <si>
    <t>FW: Réquisition Gendarmerie - CRYPTO GROUP AZ: 89466/00210/2025</t>
  </si>
  <si>
    <t>5181250401039760048
SE advertise technology Limited</t>
  </si>
  <si>
    <t>DE79202208000027876548</t>
  </si>
  <si>
    <t>Policerequest VN: 173005/17102025/1140</t>
  </si>
  <si>
    <t>W: Urgent — Fraudulent Payment Made to an Account Held by Your Bank SXPYDKKKXXX BC(2076654)</t>
  </si>
  <si>
    <t>5181251003049134298
DALIWAN Limited</t>
  </si>
  <si>
    <t>DK5189000027877024</t>
  </si>
  <si>
    <t>very urgent request from Luxembourg authorities for the VIBAN DE77202208000027876681 and VIBAN DE61202208000027876678 | Reply Within 24 hours</t>
  </si>
  <si>
    <t>5181250904047236128
Huoops Limited</t>
  </si>
  <si>
    <t>DE77202208000027876681</t>
  </si>
  <si>
    <t>5181250904047235198
Gyoop Limited</t>
  </si>
  <si>
    <t>DE61202208000027876678</t>
  </si>
  <si>
    <t>FW: RÉQUISITION JUDICIAIRE BC#2103165</t>
  </si>
  <si>
    <t>5181250724045211268
香港易成有限公司</t>
  </si>
  <si>
    <t>DE62202208000027876563</t>
  </si>
  <si>
    <t>FW: Police request - 2025011199165 BC#2129396</t>
  </si>
  <si>
    <t>5181250818046407798
港龍國際企業有限公司</t>
  </si>
  <si>
    <t>DK8989000027876631</t>
  </si>
  <si>
    <t>FW: Ermittlungsverfahren der Staatsanwaltschaft Karlsruhe wegen Anlagebetrug / hier: Übersendung eines Auskunftsersuchens zu der IBAN-Nummer DE29202208000027877060 BC#2129438</t>
  </si>
  <si>
    <t>5181251008049235688
Kiows GmbH Limited</t>
  </si>
  <si>
    <t>DE29202208000027877060</t>
  </si>
  <si>
    <t>Request for further information</t>
  </si>
  <si>
    <t>Freeze order DK6789000026566751</t>
  </si>
  <si>
    <t>5181250926048875618
BB DECORER LIMITED</t>
  </si>
  <si>
    <t>LU774080000026566751</t>
  </si>
  <si>
    <t>Very urgent request for the VIBAN DK6789000026566751</t>
  </si>
  <si>
    <t xml:space="preserve">FW: VERY URGENT - FRAUD and MONEY LAUNDERING - ILLICIT FUNDS TRANSFERRED TO BANK ACCOUNT HELD IN YOUR INSTITUTION [Case id:2137796]
关联邮件：
FW: Geldeinfrierungsersuchen, Az.: G4/253232/CNG/91675/4 SB: Schneider
VERY URGENT - FRAUD and MONEY LAUNDERING - ILLICIT FUNDS TRANSFERRED TO BANK ACCOUNTS HELD IN YOUR INSTITUTION
</t>
  </si>
  <si>
    <t>Request for information, CID Tübingen, ST/1862931/2025</t>
  </si>
  <si>
    <t>FW: polizeiliche Anfrage / Az. 251127-1145-032002 BC(2148528)
关联邮件：RE: polizeiliche Anfrage / Az. 251127-1145-032002 BC(2148528)</t>
  </si>
  <si>
    <t>Very urgent request related to the VIBANs DE42202208000027876535, DK0789000027876943 and LU934080000026566366 | Reply Within 24 hours</t>
  </si>
  <si>
    <t>5181250603042436888
成都朋侣贸易有限公司</t>
  </si>
  <si>
    <t>DE42202208000027876535
DK0789000027876943
LU934080000026566366</t>
  </si>
  <si>
    <t>RFI - DK4689000027876241 and DE86202208000027876325</t>
  </si>
  <si>
    <t>5181250723045202238
阳泉广卓电子商务有限公司</t>
  </si>
  <si>
    <t>FW: Geldwäsche Betrug Anzeige BC#2179448
关联邮件：Fraud and money laundering</t>
  </si>
  <si>
    <t>FW: Polizeiliches Auskunftsersuchen: 251202-1518-098525 BC#2181100</t>
  </si>
  <si>
    <t>5181250904047268538
Zvsop Limited</t>
  </si>
  <si>
    <t>DE95202208000027876260</t>
  </si>
  <si>
    <t>FW: REQUEST FOR INFORMATION ABOUT A BANK ACCOUNT BC#2188650</t>
  </si>
  <si>
    <t>5181251010049401608
XINZHIGANG LIMITED</t>
  </si>
  <si>
    <t>DK8289000027878697</t>
  </si>
  <si>
    <t>FW: Réquisition suite escroquerie bancaire AZ: 03559 01617 2025</t>
  </si>
  <si>
    <t>Request for Investigation Cooperation : Case 2025-19466</t>
  </si>
  <si>
    <t>5181250409039995918
陈金美</t>
  </si>
  <si>
    <t>韩国本土店-올웨이즈</t>
  </si>
  <si>
    <t>56216986109312</t>
  </si>
  <si>
    <t>FW: Polizeiliche Anfrage, ST/1884948/2025 BC#2200120</t>
  </si>
  <si>
    <t>FW: 594S2601266 Solicitud información BANKING CIRCLE 594A2517259 (Inv 3) BC#2201840</t>
  </si>
  <si>
    <t>5181250821046567098
Maxtutd Limited</t>
  </si>
  <si>
    <t>DE26202208000027876532</t>
  </si>
  <si>
    <t>DELITOS TECNOLOGICOS REQUEST INFORMATION S-14592-25 104449</t>
  </si>
  <si>
    <t>5181250908047630768
合肥普泵网络科技有限公司</t>
  </si>
  <si>
    <t>MT65CFTE28004000000000004977220</t>
  </si>
  <si>
    <t>Police request, Az. ST/0067153/2026</t>
  </si>
  <si>
    <t>5181240924028634748
万州区三蚁商贸经营部</t>
  </si>
  <si>
    <t>MT21CFTE28004000000000005441090</t>
  </si>
  <si>
    <t>客户余额不足，未冻结RFI手续费，125 GBP</t>
  </si>
  <si>
    <t>Investigation proceedings by the Karlsruhe Public Prosecutor's Office (Germany) regarding commercial fraud / here: request for information regarding the account DE29202208000027877060</t>
  </si>
  <si>
    <t>GME_Urgent: Unauthorized Virtual Account Assignments – Immediate Review Required</t>
  </si>
  <si>
    <t>5181220215000826018
谢沐阳</t>
  </si>
  <si>
    <t>56217398161230</t>
  </si>
  <si>
    <t>该VA无交易</t>
  </si>
  <si>
    <t>5181230108003051488
郭清福</t>
  </si>
  <si>
    <t>56217398160224</t>
  </si>
  <si>
    <t>FW: Compliance Enquiry</t>
  </si>
  <si>
    <t>5181250922048617908
BXKS LIMITED</t>
  </si>
  <si>
    <t>DE47202208000027876542</t>
  </si>
  <si>
    <t>5181250912047955158
POSDAD LIMITED</t>
  </si>
  <si>
    <t>LU87408000002656657【1】</t>
  </si>
  <si>
    <t>FW: 2025 01 359 263- Kriminalpolizeiliches Auskunftsersuchen BC#2211770</t>
  </si>
  <si>
    <t>5181250820046528478
Ppqq Limited</t>
  </si>
  <si>
    <t>DK4789000027878939</t>
  </si>
  <si>
    <t>FW: Law Enforcement Enquiry BC#2211802</t>
  </si>
  <si>
    <t>5181250820046507608
Ddgg Limited</t>
  </si>
  <si>
    <t>DK3989000027878695</t>
  </si>
  <si>
    <t>FW: Réquisition Bancaire - ADC PESTANA - Gendarmerie de LAGNIEU 01150 ( FRANCE ) BC#2212170</t>
  </si>
  <si>
    <t>5181250516041570098
Ningbo Fepa Global Limited</t>
  </si>
  <si>
    <t>DE10202208000027876723</t>
  </si>
  <si>
    <t>FW: Law Enforcement Enquiry BC#2215333</t>
  </si>
  <si>
    <t>5181250804045859768
笛傲有限公司</t>
  </si>
  <si>
    <t>DE79202208000027877033</t>
  </si>
  <si>
    <t>Information Request # CIVIL GUARD - @ VALENCIA TEAM (3222-2025)</t>
  </si>
  <si>
    <t>Law firm FW: LU32 4080 0000 5221 1257 - Diedrich, Gerhard ./. Banking Cirlce S.A. wg. SFM Holding - AktNr: 000101-26 [SOFB 2225063]
关联邮件：Diedrich, Gerhard ./. Global E-Payment Ltd. wg. SFM Holding - AktNr: 000101-26</t>
  </si>
  <si>
    <t>5181251114051638758
維克有限公司</t>
  </si>
  <si>
    <t>2601152214740063143</t>
  </si>
  <si>
    <t>LU324080000052211257</t>
  </si>
  <si>
    <t>投资诈骗</t>
  </si>
  <si>
    <t>Very urgent request related to individual Chen Jianfeng with DoB 30/07/1972</t>
  </si>
  <si>
    <t>5181221114002818618
陈坚锋</t>
  </si>
  <si>
    <t>DK3589000022839908</t>
  </si>
  <si>
    <t>2025 01 359 263- Request for information</t>
  </si>
  <si>
    <t>2509171444662347734</t>
  </si>
  <si>
    <t>FW: 580A2502880 BANKING CIRCLE SA BC#2236837
关联邮件：580A2502880 SOLICITUD A GLOBAL E-PAYMENT Ltd.</t>
  </si>
  <si>
    <t>5181250804045853928
潮人世界網絡科技有限公司</t>
  </si>
  <si>
    <t>NAR1过期</t>
  </si>
  <si>
    <t>DE63202208000027876157</t>
  </si>
  <si>
    <t>FW: 2025 01 117 693- Kriminalpolizeiliches Auskunftsersuchen BC(2244986)
关联邮件：2025 01 117 693- Request for information</t>
  </si>
  <si>
    <t>5181250521041761678
NANOSKY LIMITED</t>
  </si>
  <si>
    <t>DE44202208000027877081</t>
  </si>
  <si>
    <t>FW: Law Enforcement Enquiry BC(2248740)</t>
  </si>
  <si>
    <t>FW: Police information request VN 090021/26012026/1346 Bc#2252686</t>
  </si>
  <si>
    <t>FW: Law Enforcement Enquiry AZ: 2025-2163-1549</t>
  </si>
  <si>
    <t>5181250731045684758
香港萬物科技有限公司</t>
  </si>
  <si>
    <t>DE57202208000027876750</t>
  </si>
  <si>
    <t>SDO. INF. EXP. 2025 - 298 - 2376 KTG</t>
  </si>
  <si>
    <t>FW: Solicitud de datos BANKING CIRCLE REF 594A2515653 - 594S2503353 BC#2262262</t>
  </si>
  <si>
    <t>FW: Law Enforcement Enquiry BC#2262544</t>
  </si>
  <si>
    <t>5181251008049229788
Donner GmbH Limited</t>
  </si>
  <si>
    <t>DK5289000027876230</t>
  </si>
  <si>
    <t>Police Case 2026-100999</t>
  </si>
  <si>
    <t>5181241211036456558
泉州泺衿贸易有限公司</t>
  </si>
  <si>
    <t>韩国本土店-ALWAYZ</t>
  </si>
  <si>
    <t>56216986120836</t>
  </si>
  <si>
    <t>594S2604570 Solicitud información GLOBAL E-PAYMENT 594A2517259 (Inv 3)</t>
  </si>
  <si>
    <t>Solicitud de datos Global E-Payment Ltd.REF 594A2515653 - 594S2604758</t>
  </si>
  <si>
    <t>FW: Law Enforcement Enquiry BC#2273907</t>
  </si>
  <si>
    <t>FW: pgph10/2025/1145/sis BC#2276939</t>
  </si>
  <si>
    <t>LU274080000027876375</t>
  </si>
  <si>
    <t>DK0789000027876652</t>
  </si>
  <si>
    <t>FW: APPLICATION FOR COLLABORATION IN A CRIMINAL RESEARCH. DPPA 216/26 BC#2276943</t>
  </si>
  <si>
    <t>5181251009049302318
Vvuse GmbH Limited</t>
  </si>
  <si>
    <t>DE04202208000027876831</t>
  </si>
  <si>
    <t>5181250716044943888
利辛县帆基电子商务有限公司</t>
  </si>
  <si>
    <t>DK8389000027876642</t>
  </si>
  <si>
    <t>FW: APPLICATION FOR COLLABORATION IN A CRIMINAL RESEARCH. DPPA 216/26 BC#2276952</t>
  </si>
  <si>
    <t>Request for information (File Ref.: TDIB/I/TD/1348/25)</t>
  </si>
  <si>
    <t>5181250603042426108 
彗星传奇科技深圳有限公司</t>
  </si>
  <si>
    <t>FW: Law Enforcement Enquiry BC#2290391
关联邮件：URGENT REQUEST</t>
  </si>
  <si>
    <t>DK9589000027876911</t>
  </si>
  <si>
    <t>FW: Law Enforcement Enquiry AZ: 25R0045979</t>
  </si>
  <si>
    <t>5181250623043957218
龍山貿易有限公司</t>
  </si>
  <si>
    <t>DK6889000027876427</t>
  </si>
  <si>
    <t>LU374080000026566695</t>
  </si>
  <si>
    <t>5181250819046467568
CWTA Limited</t>
  </si>
  <si>
    <t>DE15202208000027877118</t>
  </si>
  <si>
    <t>5181250821046566068
Ghas Limited</t>
  </si>
  <si>
    <t>DE51202208000027877052</t>
  </si>
  <si>
    <t>5181250731045697358
晶雨設備有限公司</t>
  </si>
  <si>
    <t>DK4489000027876956</t>
  </si>
  <si>
    <t>FW: IBAN: LU32 4080 0000 5221 1257 Kontoinhaber: Vektor Limited - Forro, Lucia ./. Banking Circle S.A. wegen Schadensersatz in Sachen Aurexium - AktNr: 000131-26</t>
  </si>
  <si>
    <t>FW: [EXTERN] RE: Auskunftsersuchen - KD Kaiserslautern / K13 - VN.: 610007/25122025/2140 - Oberschmidt BC#2303116</t>
  </si>
  <si>
    <t>5181240918027344058
胡秀珍</t>
  </si>
  <si>
    <t>Fw: Police Case 2026-101520</t>
  </si>
  <si>
    <t>5181251022050113618
林浩杰</t>
  </si>
  <si>
    <t>56217398100293</t>
  </si>
  <si>
    <t>未告知具体原因，协查函显示罪名为“违反《通信xxx法》”</t>
  </si>
  <si>
    <t>GME_Urgent: Unauthorized Virtual Account Creation_56217512749762_김재호 (Bunjang Marketplace)</t>
  </si>
  <si>
    <t>5181251021050080968
锦州市古塔区水村山郭百货日杂经营店（个体工商户）</t>
  </si>
  <si>
    <t>56217512749762</t>
  </si>
  <si>
    <t>Unauthorized VA Registration</t>
  </si>
  <si>
    <t>L.E. REQUEST P.P. 6484_24</t>
  </si>
  <si>
    <t>5181240910025976068
Eu Trading Limited</t>
  </si>
  <si>
    <t>DE22202208000027876313</t>
  </si>
  <si>
    <t>FW: Website Customer Support Enquiry - Suspected Fraud [BL CASE: 2316466]</t>
  </si>
  <si>
    <t>DK3189000052919195</t>
  </si>
  <si>
    <t>URGENT - Asset seizure request</t>
  </si>
  <si>
    <t>5181250526041954828
顺为贸易（香港）有限公司</t>
  </si>
  <si>
    <t>police request for information 1329/25/143330
关联邮件：FW: Herausgabeverlangen Polizei Leipzig Verfahren 1329/25/143330 BC#2323764</t>
  </si>
  <si>
    <t>已冻结</t>
  </si>
  <si>
    <t>REQUEST DATA POLICE GUARDIA CIVIL SPAIN EXP. 127/2025
关联邮件：FW: Law Enforcement Enquiry BC#2323964</t>
  </si>
  <si>
    <t>DE83202208000027876767</t>
  </si>
  <si>
    <t>GME_Urgent: Unauthorized Virtual Account Creation_56217512771023_김하림 (Bunjang Marketplace)</t>
  </si>
  <si>
    <t>bunjang</t>
  </si>
  <si>
    <t/>
  </si>
  <si>
    <t>56217512771023</t>
  </si>
  <si>
    <t>FW: DACH - Law Enforcement Enquiry BC#2327272</t>
  </si>
  <si>
    <t>DE59202208000027877102</t>
  </si>
  <si>
    <t>FW: Law Enforcement Enquiry BC#2333143</t>
  </si>
  <si>
    <t>Fraud Case_56217398139468</t>
  </si>
  <si>
    <t>5181240919027646388
蔡智勇</t>
  </si>
  <si>
    <t>Gmarket 已冻结</t>
  </si>
  <si>
    <t>56217398139468</t>
  </si>
  <si>
    <t>Very urgent request related to VIBAN LU494080000026566576</t>
  </si>
  <si>
    <t>5181250821046575028
Mmnn Limited</t>
  </si>
  <si>
    <t>LU494080000026566576</t>
  </si>
  <si>
    <t>Fraud Case_56217398151241</t>
  </si>
  <si>
    <t>5181240612003991758
仙游县树卉百货店（个体工商户）</t>
  </si>
  <si>
    <t>56217398151241</t>
  </si>
  <si>
    <t>Case Registered_56217398152949</t>
  </si>
  <si>
    <t>56217398152949</t>
  </si>
  <si>
    <t>Case Registered_AliExpress_2026-106858</t>
  </si>
  <si>
    <t>AE</t>
  </si>
  <si>
    <t>Fraud Case_56217398161034</t>
  </si>
  <si>
    <t>5181260103054588768
陈俊煌</t>
  </si>
  <si>
    <t>2601281017748985996</t>
  </si>
  <si>
    <t>56217398161034</t>
  </si>
  <si>
    <t>Registered Fraud Case_56217398163950</t>
  </si>
  <si>
    <t>11street 已冻结</t>
  </si>
  <si>
    <t>2602261416766914625</t>
  </si>
  <si>
    <t>56217398163950</t>
  </si>
  <si>
    <t>GME_Urgent: Unauthorized Virtual Account Creation_56217512785655_류재혁 (Bunjang Marketplace)</t>
  </si>
  <si>
    <t>5181260130055924888
朱丹</t>
  </si>
  <si>
    <t>拟bunjang，暂未产生收款</t>
  </si>
  <si>
    <t>56217512785655</t>
  </si>
  <si>
    <t>FW: French Judicial Request Az: 25259000614</t>
  </si>
  <si>
    <t>DK7389000027876919</t>
  </si>
  <si>
    <t>FW: Anfrage zu dänischer IBAN DK8989000027876631 BC#2374019
关联：c</t>
  </si>
  <si>
    <t>FW: Réquisition PV 15440/251/2026 BC#2374262</t>
  </si>
  <si>
    <t>Fraud Case_56217398130868</t>
  </si>
  <si>
    <t>5181251101050752178
莆田市荔城区尼蓝百货商行</t>
  </si>
  <si>
    <t>2512231042726130675</t>
  </si>
  <si>
    <t>56217398130868</t>
  </si>
  <si>
    <t>售假</t>
  </si>
  <si>
    <t>P.P. 9415/2025 RG Mod.44 Public Prosecutor’s Office at the Ordinary Court of Padua – Request for data and information from Italian Police.</t>
  </si>
  <si>
    <t>Auskunftsersuchen SH/746035/2025</t>
  </si>
  <si>
    <t>Fraud Case_56216880111478</t>
  </si>
  <si>
    <t>5181220813002265488
陈伟锋</t>
  </si>
  <si>
    <t>alwayz</t>
  </si>
  <si>
    <t>56216880111478 </t>
  </si>
  <si>
    <t>FW: Law Enforcement Enquiry BC#2378895</t>
  </si>
  <si>
    <t>5181250819046456548
Cendtred Limited</t>
  </si>
  <si>
    <t>LU764080000026566575</t>
  </si>
  <si>
    <t>Re: [Internet] Re: request standard</t>
  </si>
  <si>
    <t>French Judicial Request</t>
  </si>
  <si>
    <t>FW: Requisition judiciaire - GCP 118-1807-2025 BC#2391676</t>
  </si>
  <si>
    <t>APPLICATION FOR COLLABORATION IN A CRIMINAL RESEARCH. DPPA 216/26</t>
  </si>
  <si>
    <t>[Fraud Case] GLOBAL E-PAYMENT LIMITED Customer Notice</t>
  </si>
  <si>
    <t>police request, case ST/1166313/2025
关联：Automatische Antwort: 跨境合规 Auto Reply police request, case ST/1166313/2025</t>
  </si>
  <si>
    <t>5181250912047957668
LUNKO LIMITED</t>
  </si>
  <si>
    <t>DE71202208000027876304</t>
  </si>
  <si>
    <t>5181250915048113178
DWDWDD LIMITED</t>
  </si>
  <si>
    <t>DE49202208000027876700</t>
  </si>
  <si>
    <t>Re: [Fraud Case] GLOBAL E-PAYMENT LIMITED Customer Notice</t>
  </si>
  <si>
    <t>5181260331059259998
何波</t>
  </si>
  <si>
    <t>2604071913800936067</t>
  </si>
  <si>
    <t>56217512754459</t>
  </si>
  <si>
    <t>11street</t>
  </si>
  <si>
    <t>2602111339757771571</t>
  </si>
  <si>
    <t>56217398163966</t>
  </si>
  <si>
    <t>5181260406059725038
杨少伟</t>
  </si>
  <si>
    <t>2604280915811137153</t>
  </si>
  <si>
    <t>56217512795896</t>
  </si>
  <si>
    <t>梁紫薇/郭沅坤</t>
  </si>
  <si>
    <t>FW: FORMAL NOTICE - AML Failures, Facilitation of Fraudulent Transactions, and Potential Liability Exposure BC(2434360)</t>
  </si>
  <si>
    <t>LU874080000026566571</t>
  </si>
  <si>
    <t>5181251226054296908
邓显周</t>
  </si>
  <si>
    <t>2603051316768820119</t>
  </si>
  <si>
    <t>56217512757442</t>
  </si>
  <si>
    <t>Formal Requirement, Spanish National Police. Case 2122/26</t>
  </si>
  <si>
    <t>5181240401002908348
福建子鲸网络有限公司</t>
  </si>
  <si>
    <t>MT23CFTE28004000000000006115883</t>
  </si>
  <si>
    <t>MT61CFTE28004000000000006115878</t>
  </si>
  <si>
    <t>MT62CFTE28004000000000006055041</t>
  </si>
  <si>
    <t>FW: Solicitud información # LR 262/26 BC(2442359)</t>
  </si>
  <si>
    <t>5181251124052189528
HANNOVER GLOBAL TRADING CO., LIMITED</t>
  </si>
  <si>
    <t>Request for KYC Information and Account Review - account: DK4789000054383316 [BL CASE: 2442276]</t>
  </si>
  <si>
    <t>5181240528003523878
朱斌雄</t>
  </si>
  <si>
    <t>DK4789000054383316</t>
  </si>
  <si>
    <t>5181260429062145868
武汉市栖浔商贸有限公司</t>
  </si>
  <si>
    <t>56217512809962</t>
  </si>
  <si>
    <t>身份被盗用注册</t>
  </si>
  <si>
    <t>历史该VA无入账</t>
  </si>
  <si>
    <t>Request for Information and Preservation of Records – vIBAN DE29202208000027877060</t>
  </si>
  <si>
    <t>Police Case 2026-103942</t>
  </si>
  <si>
    <t>5181240729018356118
吴艺强</t>
  </si>
  <si>
    <t>56217398079179</t>
  </si>
  <si>
    <t>黄聪/河北冀盟国际货运代理有限公司</t>
  </si>
  <si>
    <t>Urgent - Suspicious Case Check</t>
  </si>
  <si>
    <t>5181260426061849818
冯燕</t>
  </si>
  <si>
    <t>56217512800563</t>
  </si>
  <si>
    <t>张紫玉</t>
  </si>
  <si>
    <t>56217512800578</t>
  </si>
  <si>
    <t>56217512800670</t>
  </si>
  <si>
    <t>56217512803896</t>
  </si>
  <si>
    <t>56217512803909</t>
  </si>
  <si>
    <t>56217512803913</t>
  </si>
  <si>
    <t>5181260511063405408
高正阳</t>
  </si>
  <si>
    <t>56217512812649</t>
  </si>
  <si>
    <t>56217512812668</t>
  </si>
  <si>
    <t>56217512816033</t>
  </si>
  <si>
    <t>56217512816048</t>
  </si>
  <si>
    <t>56217512812687</t>
  </si>
  <si>
    <t>5181260511063407608
李聃阳</t>
  </si>
  <si>
    <t>56217512812672</t>
  </si>
  <si>
    <t>56217512812690</t>
  </si>
  <si>
    <t>56217512812704</t>
  </si>
  <si>
    <t>56217512816052</t>
  </si>
  <si>
    <t>56217512816067</t>
  </si>
  <si>
    <t>FW: Auskunftsersuchen BY3205-519619-25/4
compliance</t>
  </si>
  <si>
    <t>5181241118035599878
张维城</t>
  </si>
  <si>
    <t>Shopify欧元-EUR</t>
  </si>
  <si>
    <t>DE88202208000055758745</t>
  </si>
  <si>
    <t>DE55202208000055759533</t>
  </si>
  <si>
    <t>Police Case 2026-005200</t>
  </si>
  <si>
    <t>56217512764308</t>
  </si>
  <si>
    <t>Solicitud información # LR 262/26</t>
  </si>
  <si>
    <t>DE09202208000027876159</t>
  </si>
  <si>
    <t xml:space="preserve">Re: [Fraud Case] GLOBAL E-PAYMENT LIMITED Customer Notice
关联：Police Case 2026-104573
</t>
  </si>
  <si>
    <t>5181241006030804818
陈文浩</t>
  </si>
  <si>
    <t>2603061416781135421</t>
  </si>
  <si>
    <t>56217512755555</t>
  </si>
  <si>
    <t>2603061416781154899</t>
  </si>
  <si>
    <t>56217512755589</t>
  </si>
  <si>
    <t>2602041416750386951</t>
  </si>
  <si>
    <t>56217398146253</t>
  </si>
  <si>
    <t>Gendarmerie réquisition (962/2025)</t>
  </si>
  <si>
    <t>Requests for information pursuant to §§ 161, 163 i.V.m. 95 StPO (ST/1354135/2025)</t>
  </si>
  <si>
    <t>DE62202208000027876272</t>
  </si>
  <si>
    <t>Police case 2026-112027</t>
  </si>
  <si>
    <t>5181251204052829258
李逸</t>
  </si>
  <si>
    <t>56217398149290</t>
  </si>
  <si>
    <t>[URGENT] Réquisition Judiciaire BC(2466017</t>
  </si>
  <si>
    <t>FW: Request for immediate action - Red alert AK:2474346</t>
  </si>
  <si>
    <t>5181250418040547708
陈丽英</t>
  </si>
  <si>
    <t>VA归属人（新）</t>
  </si>
  <si>
    <t>PL40102010263992000046294721</t>
  </si>
  <si>
    <t>5181260108054856538
陈恩泽</t>
  </si>
  <si>
    <t>VA实际产生收款（老）</t>
  </si>
  <si>
    <t>店铺死店，已提供其余店铺资料，已冻结100EUR.6.17开通结算</t>
  </si>
  <si>
    <t>5181260126055757108
林志良</t>
  </si>
  <si>
    <t>56217398163398</t>
  </si>
  <si>
    <t>56217398147990</t>
  </si>
  <si>
    <t>REV. OFFICIAL REQUESTING DATA</t>
  </si>
  <si>
    <t>REV. OFFICIAL REQUESTING DATA BC(2482393)</t>
  </si>
  <si>
    <t>POLICE SPAIN (OVIEDO) R-2600128</t>
  </si>
  <si>
    <t>POLICE SPAIN -OVIEDO R-2600128 BC(2482345)</t>
  </si>
  <si>
    <t>Police case 2026-106676</t>
  </si>
  <si>
    <t>56217398163434</t>
  </si>
  <si>
    <t>5181260115055168308
香港福闔康貿易有限公司</t>
  </si>
  <si>
    <t>56217512750119</t>
  </si>
  <si>
    <t>56217512749993</t>
  </si>
  <si>
    <t>56217512803896
56217512800670</t>
  </si>
  <si>
    <t>Coupang</t>
  </si>
  <si>
    <t>Police Case 2026-164345</t>
  </si>
  <si>
    <t>56217398137354</t>
  </si>
  <si>
    <t>Police Case 2026-33259</t>
  </si>
  <si>
    <t>5181260303056905248
缪起翔</t>
  </si>
  <si>
    <t>56217512771625</t>
  </si>
  <si>
    <t>FW: Auskunftsersuchen zum Ermittlungsverfahren - 929/25/149322 BC#2510166</t>
  </si>
  <si>
    <t>[Inquiry] Cyber Crime Investigation Unit, Incheon Metropolitan Police Agency
关联邮件：Case Registered_AliExpress_2026-106858</t>
  </si>
  <si>
    <t>Request of information related to the VIBAN DK7389000027877113</t>
  </si>
  <si>
    <t>5181250731045678858
UUAPA DEVELOP LIMITED</t>
  </si>
  <si>
    <t>56217512749387</t>
  </si>
  <si>
    <t>Police case 2026-167940</t>
  </si>
  <si>
    <t>56217512781301</t>
  </si>
  <si>
    <t>Request for information pursuant to section 161 of the German Code of Criminal Procedure 7590 Js 243730/25</t>
  </si>
  <si>
    <t>DK1589000027876993</t>
  </si>
  <si>
    <t>Request of information related to the VIBAN DK5989000026566701</t>
  </si>
  <si>
    <t>5181251112051476518
广州旭影科技有限公司</t>
  </si>
  <si>
    <t>DE39202208000026566701</t>
  </si>
  <si>
    <t>56217512799045</t>
  </si>
  <si>
    <t>56217512816368</t>
  </si>
  <si>
    <t>Police case 2026-100548</t>
  </si>
  <si>
    <t>5181260317058029688
杨青山</t>
  </si>
  <si>
    <t>56217512813158</t>
  </si>
  <si>
    <r>
      <rPr>
        <b/>
        <sz val="12"/>
        <color rgb="FFDE3C36"/>
        <rFont val="Microsoft YaHei"/>
        <charset val="134"/>
      </rPr>
      <t>涉及DBS的recall需同步登记到【DBS风险事件】，冻结情况+调单记录一起登记。</t>
    </r>
    <r>
      <rPr>
        <b/>
        <sz val="12"/>
        <color rgb="FF267EF0"/>
        <rFont val="Microsoft YaHei"/>
        <charset val="134"/>
      </rPr>
      <t>DBS风险事件</t>
    </r>
  </si>
  <si>
    <t>调单日期</t>
  </si>
  <si>
    <t>来源渠道</t>
  </si>
  <si>
    <t>渠道邮件标题</t>
  </si>
  <si>
    <t>Recall类型</t>
  </si>
  <si>
    <t>原因及风险判定</t>
  </si>
  <si>
    <t>回复状态</t>
  </si>
  <si>
    <t>是否资损</t>
  </si>
  <si>
    <t>商户号</t>
  </si>
  <si>
    <t>渠道流水号</t>
  </si>
  <si>
    <t>汇款人</t>
  </si>
  <si>
    <t>处理结果</t>
  </si>
  <si>
    <t>账户状态</t>
  </si>
  <si>
    <t>进度及情况备注</t>
  </si>
  <si>
    <t>其他补充</t>
  </si>
  <si>
    <t>PINGPONG</t>
  </si>
  <si>
    <t>欺诈召回</t>
  </si>
  <si>
    <t>资损</t>
  </si>
  <si>
    <t>5181230613000262158</t>
  </si>
  <si>
    <t>THYSSENKRUPP STEEL INC.</t>
  </si>
  <si>
    <t>已关户</t>
  </si>
  <si>
    <t>5181230527000158428</t>
  </si>
  <si>
    <t>义乌市米扬贸易有限公司</t>
  </si>
  <si>
    <t>无资损</t>
  </si>
  <si>
    <t>方枭</t>
  </si>
  <si>
    <t>5181230703000387578</t>
  </si>
  <si>
    <t>萍乡木思贸易有限公司</t>
  </si>
  <si>
    <t>5181230526000153718</t>
  </si>
  <si>
    <t>莆田市晟科贸易有限公司</t>
  </si>
  <si>
    <t>5181230602000197238</t>
  </si>
  <si>
    <t>深圳市杰立鸿贸易有限公司</t>
  </si>
  <si>
    <t>徐超</t>
  </si>
  <si>
    <t>CC</t>
  </si>
  <si>
    <t>5181231129001307558</t>
  </si>
  <si>
    <t>佛山市乾的鸿运贸易有限公司</t>
  </si>
  <si>
    <t>CONN ACOUSTICS GENERAL</t>
  </si>
  <si>
    <t>前置有拦截，未入账，本笔未资损</t>
  </si>
  <si>
    <t>可能存在资损</t>
  </si>
  <si>
    <t>EARL E HOSEY JR.</t>
  </si>
  <si>
    <t>MULLIGAN FUNDING LLC OPERATING ACCO</t>
  </si>
  <si>
    <t>5181240116001784618</t>
  </si>
  <si>
    <t>BEIBEI TRADING CO., LIMITED</t>
  </si>
  <si>
    <t>INCHOI TOP ONE TRADING INC.</t>
  </si>
  <si>
    <t>刘勇凯</t>
  </si>
  <si>
    <t>5181240123001868518</t>
  </si>
  <si>
    <t>謙源有限公司</t>
  </si>
  <si>
    <t>RARLON INTL TRADE LIMITED</t>
  </si>
  <si>
    <t>5181230922000857278</t>
  </si>
  <si>
    <t>福建省楚哲贸易有限公司</t>
  </si>
  <si>
    <t>WENDY CLARKE</t>
  </si>
  <si>
    <t>客户充值后退款，无资损</t>
  </si>
  <si>
    <t>5181231107001134518</t>
  </si>
  <si>
    <t>青華貿易有限公司</t>
  </si>
  <si>
    <t>XQ JEWELLERY INC</t>
  </si>
  <si>
    <t>LOMIMO TRADE COMPANY</t>
  </si>
  <si>
    <t>5181240201001968268</t>
  </si>
  <si>
    <t>科麗瑟有限公司</t>
  </si>
  <si>
    <t>CATCHING PRODUCTS LLC</t>
  </si>
  <si>
    <t>裴国忠</t>
  </si>
  <si>
    <t>5181240222002116968</t>
  </si>
  <si>
    <t>WOLD BRIDGE LIMITED</t>
  </si>
  <si>
    <t>FULLMETAL CONSTRUCTION AND</t>
  </si>
  <si>
    <t>未关户</t>
  </si>
  <si>
    <t>朱述淋</t>
  </si>
  <si>
    <t>客户有20w美金需要退款，暂未同意退回，冻结中</t>
  </si>
  <si>
    <t>5181230907000731388</t>
  </si>
  <si>
    <t>天缘贸易有限公司</t>
  </si>
  <si>
    <t>WAIJAU TRADE CO., LIMITED</t>
  </si>
  <si>
    <t>娄正财</t>
  </si>
  <si>
    <t>TOP-U JEWELLERY INC18375 VENTURA BLVD PMB 778</t>
  </si>
  <si>
    <t>5181230918000822718</t>
  </si>
  <si>
    <t>LINYI JIANDUN ALUMINIUM CO., LIMITED</t>
  </si>
  <si>
    <t>BYTEWIZ TECH LTD</t>
  </si>
  <si>
    <t>CW</t>
  </si>
  <si>
    <t>买家取消贸易召回，客户表示货物已发出，拒绝召回。客户关联主体在我司有大概1000美金余额，冻结中</t>
  </si>
  <si>
    <t>5181230918000824468</t>
  </si>
  <si>
    <t>义乌市会灵鞋帽商行</t>
  </si>
  <si>
    <t>FASHION118 INC.</t>
  </si>
  <si>
    <t>recall request [F01429705D9101] - Debit approval required (Global E-Payment Limited/USD 10450/010F3092429700X0)</t>
  </si>
  <si>
    <t>5181231122001256558</t>
  </si>
  <si>
    <t>微風國際贸易有限公司</t>
  </si>
  <si>
    <t>010F3092429700X0</t>
  </si>
  <si>
    <t>Recall request [20240826-501472-001] - Debit approval required (Global E-Payment Limited/EUR 48739.56/010F311242366AC6)</t>
  </si>
  <si>
    <t>5181240812020868558</t>
  </si>
  <si>
    <t>义乌市晟瑞贸易有限公司</t>
  </si>
  <si>
    <t>010F311242366AC6</t>
  </si>
  <si>
    <t>KENTOR S.R.L.</t>
  </si>
  <si>
    <t>已冻结其与其关联主体资金,目前处置方案详见邮件（欺诈召回事件资金与账户处置——代理：义乌市杲杲商贸商行）</t>
  </si>
  <si>
    <t>5181230106003047058</t>
  </si>
  <si>
    <t>青岛厚德信商贸有限公司</t>
  </si>
  <si>
    <t>BIJAN PARHAMI</t>
  </si>
  <si>
    <t>FIREFLY HONG KONG LIMITED</t>
  </si>
  <si>
    <t>取消贸易买家发起召回，款项已退回。</t>
  </si>
  <si>
    <t>TENGZHONG LIMITED</t>
  </si>
  <si>
    <t>货物已完成交割，买方万里汇账户因触碰风控规则被暂停使用，万里汇召回可疑资金，目前商户与万里汇沟通撤销事宜。邮件：REF. 1513II6552384</t>
  </si>
  <si>
    <t>[WARNING : MESSAGE ENCRYPTED] Reporting a scam SHIRA NETZER 189888 BC:022206952</t>
  </si>
  <si>
    <t>贸易纠纷</t>
  </si>
  <si>
    <t>5181240314002518658</t>
  </si>
  <si>
    <t>福建省莆田市静韩凯贸易有限公司</t>
  </si>
  <si>
    <t>010F34624263MAWP</t>
  </si>
  <si>
    <t>同意召回</t>
  </si>
  <si>
    <t>聊单客户，余额充足，客户联系不上买家</t>
  </si>
  <si>
    <t>RE: Customer Error - FPS2047873 BC:071402728</t>
  </si>
  <si>
    <t>付款人打错款</t>
  </si>
  <si>
    <t>010F315243050070</t>
  </si>
  <si>
    <t>Recall request [20241211-800280-001] - Debit approval required (Global E-Payment Limited/EUR 91.23/010F311243451APJ)</t>
  </si>
  <si>
    <t>5181240604003607388</t>
  </si>
  <si>
    <t>深圳市光明区昌吉益运输服务部</t>
  </si>
  <si>
    <t>010F311243451APJ</t>
  </si>
  <si>
    <t>未入账资金</t>
  </si>
  <si>
    <t>Recall request [20241211-800280-001] - Debit approval required (Global E-Payment Limited/EUR 91.23/010F31124344O7MB)</t>
  </si>
  <si>
    <t>010F31124344O7MB</t>
  </si>
  <si>
    <t>Recall request [20241210-700961-001] - Debit approval required (Global E-Payment Limited/EUR 142/010F311243135O7V)</t>
  </si>
  <si>
    <t>买家欺诈</t>
  </si>
  <si>
    <t>5181240810020746478</t>
  </si>
  <si>
    <t>谢鑫坤</t>
  </si>
  <si>
    <t>VestColl(欧元)</t>
  </si>
  <si>
    <t>010F311243135O7V</t>
  </si>
  <si>
    <t>已入账，账户余额不足，可能有资损，销售告知商户后续还会入账</t>
  </si>
  <si>
    <t>Recall request [20241212-600912-001] - Debit approval required (Global E-Payment Limited/EUR 91.23/010F311243451ALS)</t>
  </si>
  <si>
    <t>010F311243451ALS</t>
  </si>
  <si>
    <t>Recall request [20241212-600912-001] - Debit approval required (Global E-Payment Limited/EUR 91.23/010F31124344O7ZW)</t>
  </si>
  <si>
    <t>010F31124344O7ZW</t>
  </si>
  <si>
    <t>Recall request [20241212-600912-001] - Debit approval required (Global E-Payment Limited/EUR 91.23/010F311243451AN0)</t>
  </si>
  <si>
    <t>010F311243451AN0</t>
  </si>
  <si>
    <t>Recall request [20241212-600912-001] - Debit approval required (Global E-Payment Limited/EUR 91.23/010F311243451B6V)</t>
  </si>
  <si>
    <t>010F311243451B6V</t>
  </si>
  <si>
    <t>Recall request [20241212-600912-001] - Debit approval required (Global E-Payment Limited/EUR 91.23/010F311243451B5U)</t>
  </si>
  <si>
    <t>5181240605003629158</t>
  </si>
  <si>
    <t>佛山市物申纯贸易商行（个人独资）</t>
  </si>
  <si>
    <t>010F311243451B5U</t>
  </si>
  <si>
    <t>Recall request [20241213-800960-001] - Debit approval required (Global E-Payment Limited/EUR 91.55/010F3112434765EN)</t>
  </si>
  <si>
    <t>010F3112434765EN</t>
  </si>
  <si>
    <t>未入账</t>
  </si>
  <si>
    <t>Recall request [20241213-800512-001] - Debit approval required (Global E-Payment Limited/EUR 87.08/010F311243451AZ1)</t>
  </si>
  <si>
    <t>010F311243451AZ1</t>
  </si>
  <si>
    <t>Recall request [20241213-800512-001] - Debit approval required (Global E-Payment Limited/EUR 90.47/010F311243452886)</t>
  </si>
  <si>
    <t>010F311243452886</t>
  </si>
  <si>
    <t>Recall request [20241213-800512-001] - Debit approval required (Global E-Payment Limited/EUR 91.55/010F311243470X6T)</t>
  </si>
  <si>
    <t>010F311243470X6T</t>
  </si>
  <si>
    <t>已入账，余额充足</t>
  </si>
  <si>
    <t>Recall request [20241213-800512-001] - Debit approval required (Global E-Payment Limited/EUR 91.23/010F3112434593XI)</t>
  </si>
  <si>
    <t>010F3112434593XI</t>
  </si>
  <si>
    <t>Recall request [20241213-800512-001] - Debit approval required (Global E-Payment Limited/EUR 91.23/010F31124344O81H)</t>
  </si>
  <si>
    <t>010F31124344O81H</t>
  </si>
  <si>
    <t>Recall request [20241216-700575-001] - Debit approval required (Global E-Payment Limited/EUR 43.13/010F311243468PBL)</t>
  </si>
  <si>
    <t>010F311243468PBL</t>
  </si>
  <si>
    <t>Recall request [20241216-700575-001] - Debit approval required (Global E-Payment Limited/EUR 54.93/010F3112434625S9)</t>
  </si>
  <si>
    <t>010F3112434625S9</t>
  </si>
  <si>
    <t>Recall request [20241216-700575-001] - Debit approval required (Global E-Payment Limited/EUR 44.63/010F311243462IPE)</t>
  </si>
  <si>
    <t>010F311243462IPE</t>
  </si>
  <si>
    <t>Recall request [20241216-501637-001] - Debit approval required (Global E-Payment Limited/EUR 0.56/010F311243488B2V)</t>
  </si>
  <si>
    <t>5181240605003630248</t>
  </si>
  <si>
    <t>广州理位贸易有限公司</t>
  </si>
  <si>
    <t>010F311243488B2V</t>
  </si>
  <si>
    <t>Recall request [20241216-501637-001] - Debit approval required (Global E-Payment Limited/EUR 94.41/010F311243488BBX)</t>
  </si>
  <si>
    <t>010F311243488BBX</t>
  </si>
  <si>
    <t>Recall request [20241216-501637-001] - Debit approval required (Global E-Payment Limited/EUR 90.99/010F311243488B44)</t>
  </si>
  <si>
    <t>010F311243488B44</t>
  </si>
  <si>
    <t>CPR request 38668284929061010 HSBC BC:069603922</t>
  </si>
  <si>
    <t>010F3152429000P9</t>
  </si>
  <si>
    <t>ANTALYA HAIR</t>
  </si>
  <si>
    <t>已回复渠道，余额充足</t>
  </si>
  <si>
    <t>Recall request [20250102-800498-001] - Debit approval required (Global E-Payment Limited/EUR 3432/010F31124358PDEJ)</t>
  </si>
  <si>
    <t>010F31124358PDEJ</t>
  </si>
  <si>
    <t>Dirk Holzem</t>
  </si>
  <si>
    <t>拒绝召回</t>
  </si>
  <si>
    <t>已冻结资金</t>
  </si>
  <si>
    <t>5181241201036168678</t>
  </si>
  <si>
    <t>郭富民</t>
  </si>
  <si>
    <t>75a4b336-e0d6-4574-a39b-3d0b9e91b424</t>
  </si>
  <si>
    <t>번개장터</t>
  </si>
  <si>
    <t>[URGENT] - recall request DK5689000050572703</t>
  </si>
  <si>
    <t>5181231118001221928</t>
  </si>
  <si>
    <t>岳阳楼区泰硕网络科技经营部</t>
  </si>
  <si>
    <t>010F3292500201UV</t>
  </si>
  <si>
    <t>Leith ApS</t>
  </si>
  <si>
    <t>已回复渠道</t>
  </si>
  <si>
    <t>APP Fraud Reimbursement Claim Ref. Nr.</t>
  </si>
  <si>
    <t>鎰霖科技有限公司</t>
  </si>
  <si>
    <t>010F34625006M58N</t>
  </si>
  <si>
    <t>R Tiwari</t>
  </si>
  <si>
    <t>Recall request [20250107-501967-001] - Debit approval required (Global E-Payment Limited/EUR 20/010F3112500602TX)</t>
  </si>
  <si>
    <t>010F3112500602TX</t>
  </si>
  <si>
    <t>Andreas Wittenzellner</t>
  </si>
  <si>
    <t>Recall request [3485673294] - Debit approval required (Global E-Payment Limited/USD 2540/010F3092436600BW)</t>
  </si>
  <si>
    <t>5181220608001792718</t>
  </si>
  <si>
    <t>林明龙</t>
  </si>
  <si>
    <t>010F3092436600BW</t>
  </si>
  <si>
    <t>DAVID TROY/</t>
  </si>
  <si>
    <t>URGENT - APP Fraud Reimbursement Claim Ref. Nr. 890432
FW: Claim ID  #890432  #2-22746958082#  HYPERWALLET BC(1645972)</t>
  </si>
  <si>
    <t>VestColl(英镑)</t>
  </si>
  <si>
    <t>010F34625006MJ0H</t>
  </si>
  <si>
    <t>Vestiaire Collective</t>
  </si>
  <si>
    <t>已冻结资金，客户超期未回复，默认同意召回</t>
  </si>
  <si>
    <t>URGENT - APP Fraud Reimbursement Claim Ref. Nr. SV-250114300144</t>
  </si>
  <si>
    <t>010F3152500700S8</t>
  </si>
  <si>
    <t>邮件暂时未收到，是香港办公室的人先收到纸质信件。</t>
  </si>
  <si>
    <t>5181241024033489858</t>
  </si>
  <si>
    <t>广州吉昂电池有限公司</t>
  </si>
  <si>
    <t>1513II6809806</t>
  </si>
  <si>
    <t>GMB COMPANY LIMITED</t>
  </si>
  <si>
    <t>1、反馈是买家误操作，当时以为不到账所以才联系的召回，现已提供申请取消召回资料。
2、商户仅有和该汇款人的交易，多次打款仅召回1月打的最后一笔，不似欺诈。</t>
  </si>
  <si>
    <r>
      <rPr>
        <sz val="11"/>
        <color rgb="FF267EF0"/>
        <rFont val="宋体"/>
        <charset val="134"/>
      </rPr>
      <t>DA letter-1513II6809806.pdf</t>
    </r>
  </si>
  <si>
    <t>Reported Fraud Case - UK Bank - VIBAN DK9389000028419274
FW: Claim ID  #904474   #2-22750647848#  HYPERWALLET BC(1645977)</t>
  </si>
  <si>
    <t>010F34624354M731</t>
  </si>
  <si>
    <t>FW: URGENT FRAUDULENT PAYMENT MADE  HYPERWALLET  #2-22752629735# BC(1591644)</t>
  </si>
  <si>
    <t>渠道重复问询，已回复</t>
  </si>
  <si>
    <t>Customer Error - FPS2210397 BC:069604434</t>
  </si>
  <si>
    <t>010F34625030MDGM</t>
  </si>
  <si>
    <t>D Greatwood</t>
  </si>
  <si>
    <t>未入账资金//春节假期发货延迟，经沟通，买家将撤销召回
入账材料情况：拒绝召回后，要求提供相关沟通记录以入账，材料明显造假，逻辑不合理，退款处理</t>
  </si>
  <si>
    <t>渠道回邮告知可解冻资金</t>
  </si>
  <si>
    <t>Recall request [20250212-600963-001] - Debit approval required (Global E-Payment Limited/EUR 370/010F311250300IKA)</t>
  </si>
  <si>
    <t>010F311250300IKA</t>
  </si>
  <si>
    <t>MARILENA CORVASCE</t>
  </si>
  <si>
    <t>APP Fraud Reimbursement Claim Ref. Nr. 0000Ar9VtO722ZirBoiqpt</t>
  </si>
  <si>
    <t>010F34625048M6H8</t>
  </si>
  <si>
    <t>Afra Bin Hajab</t>
  </si>
  <si>
    <t>Weight loss product</t>
  </si>
  <si>
    <t>FW: Website Customer Support Enquiry BC:065103012</t>
  </si>
  <si>
    <t>5181240415003101048</t>
  </si>
  <si>
    <t>李佳启</t>
  </si>
  <si>
    <t>丹麦本土店(paypal)</t>
  </si>
  <si>
    <t>010F3292502900PZ</t>
  </si>
  <si>
    <t>Simon Hammer</t>
  </si>
  <si>
    <t>Recall request [20250219-500941-001] - Debit approval required (Global E-Payment Limited/EUR 28.72/010F311250492BO2)</t>
  </si>
  <si>
    <t>5181240918027344058</t>
  </si>
  <si>
    <t>胡秀珍</t>
  </si>
  <si>
    <t>010F311250492BO2</t>
  </si>
  <si>
    <t>，KA客户，已冻结资金</t>
  </si>
  <si>
    <t>Reminder: recall request [20250219-500941-001] - Debit approval required (Global E-Payment Limited/EUR 28.72/010F311250492BO2)</t>
  </si>
  <si>
    <t>Fwd: RE: Website Customer Support Enquiry - Fraud Related Complaint [Case id:1591634]</t>
  </si>
  <si>
    <t>010F34525041MKZ1</t>
  </si>
  <si>
    <t>MENGHINI MATTEO</t>
  </si>
  <si>
    <t>付款人直接联系我司请求召回资金</t>
  </si>
  <si>
    <t>Forwarded Complaint [Case id:1591634]</t>
  </si>
  <si>
    <t>买家于2.8付款，由于渠道未放行，导致客户一直没收到款，无法安排发货，因此买家发起召回</t>
  </si>
  <si>
    <t>2025.3.3</t>
  </si>
  <si>
    <t>Recall request [20250220-600761-001] - Debit approval required (Global E-Payment Limited/EUR 27.81/010F311250510OBM)</t>
  </si>
  <si>
    <t>5181241117035594168</t>
  </si>
  <si>
    <t>邓双莲</t>
  </si>
  <si>
    <t>010F311250510OBM</t>
  </si>
  <si>
    <t>Reminder: recall request [20250220-600761-001] - Debit approval required (Global E-Payment Limited/EUR 27.81/010F311250510OBM)</t>
  </si>
  <si>
    <t>Fw: BC: 071403630</t>
  </si>
  <si>
    <t>5181231121001242338</t>
  </si>
  <si>
    <t>谢健</t>
  </si>
  <si>
    <t>Vinted(英镑)</t>
  </si>
  <si>
    <t>010F3152505100LI</t>
  </si>
  <si>
    <t>ACHAAB G</t>
  </si>
  <si>
    <t>Reminder: recall request [20250218-800218-001] - Debit approval required (Global E-Payment Limited/EUR 110/010F31125041MIV5)</t>
  </si>
  <si>
    <t>010F31125041MIV5</t>
  </si>
  <si>
    <t>MME LOU COURCOL</t>
  </si>
  <si>
    <t>买家2.15付款，由于渠道未放行，导致客户一直没收到款，无法安排发货，因此买家发起召回</t>
  </si>
  <si>
    <t>Recall request [20250226-000279-001] - Debit approval required (Global E-Payment Limited/EUR 65/010F31125037113F)</t>
  </si>
  <si>
    <t>5181220630001947368</t>
  </si>
  <si>
    <t>魏长武</t>
  </si>
  <si>
    <t>010F31125037113F</t>
  </si>
  <si>
    <t>未联系上商户，无法提供材料</t>
  </si>
  <si>
    <t>Banking Circle - Debit Authority Request BC:066404444</t>
  </si>
  <si>
    <t>010F3292505200S1</t>
  </si>
  <si>
    <t>NIELS VILLADS HANSEN</t>
  </si>
  <si>
    <t>Recall request [20250312-500333-001] - Debit approval required (Global E-Payment Limited/EUR 750/010F311250247102)</t>
  </si>
  <si>
    <t>5181240316002563458</t>
  </si>
  <si>
    <t>仁方有限公司</t>
  </si>
  <si>
    <t>010F311250515PWX</t>
  </si>
  <si>
    <t>ANASTASIOS ELEFTHERIADIS</t>
  </si>
  <si>
    <t>将联系买家撤销召回</t>
  </si>
  <si>
    <t>Recall request [20250312-500333-001] - Debit approval required (Global E-Payment Limited/EUR 260/010F311250096ID2)</t>
  </si>
  <si>
    <t>010F311250096ID2</t>
  </si>
  <si>
    <t>Recall request [20250312-500333-001] - Debit approval required (Global E-Payment Limited/EUR 760/010F311250515PWX)</t>
  </si>
  <si>
    <t>010F311250247102</t>
  </si>
  <si>
    <t>APP Fraud Reimbursement Claim Ref. Nr. 917828</t>
  </si>
  <si>
    <t>商户与此付款人无交易，已回复渠道</t>
  </si>
  <si>
    <t>未查询到该付款人与商户的交易，但bene va属于商户，渠道披露的告知买家在采购【some tablets that increased energy】过程中被骗</t>
  </si>
  <si>
    <t>APP Fraud Reimbursement Claim Ref. Nr. FRD00079935</t>
  </si>
  <si>
    <t>010F34625007MA6I</t>
  </si>
  <si>
    <t>ALAN CLARKE</t>
  </si>
  <si>
    <t>渠道邮件中披露，付款人多次采购【pills (viagra) medicine】，因近期发现交易频率异常，价格虚高，申请召回，交易可能涉及禁限售</t>
  </si>
  <si>
    <t>APP Fraud Reimbursement Claim Ref. Nr. FRD00079936</t>
  </si>
  <si>
    <t>010F34624359M00Y</t>
  </si>
  <si>
    <t>APP Fraud Reimbursement Claim Ref. Nr. FRD00079937</t>
  </si>
  <si>
    <t>010F34624355MHQ7</t>
  </si>
  <si>
    <t>APP Fraud Reimbursement Claim Ref. Nr. FRD00079938</t>
  </si>
  <si>
    <t>010F3152433800T7</t>
  </si>
  <si>
    <t>APP Fraud Reimbursement Claim Ref. Nr. FRD00079939</t>
  </si>
  <si>
    <t>010F34625056MBJY</t>
  </si>
  <si>
    <t>APP Fraud Reimbursement Claim Ref. Nr. FRD00079940</t>
  </si>
  <si>
    <t>010F3152502200Z3</t>
  </si>
  <si>
    <t>APP Fraud Reimbursement Claim Ref. Nr. FRD00079941</t>
  </si>
  <si>
    <t>010F3152503800BU</t>
  </si>
  <si>
    <t>Recall request [20250325-001830-001] - Debit approval required (Global E-Payment Limited/EUR 68.02/010F311250761T5I)</t>
  </si>
  <si>
    <t>010F311250761T5I</t>
  </si>
  <si>
    <t>ANGELA WALSH</t>
  </si>
  <si>
    <t>汇款人打错币种，导致资金无法到账，因此申请召回</t>
  </si>
  <si>
    <t>RECALL INWARD PAYMENTS OF CUSTOMER: GLOBAL E-PAYMENT LIMITED CIF 5259859 L/Y REF. 1513IT8699381 1513IT8706516
关联调单邮件：
[Action Required] Account update on HONGKONG BOSTON ECOMMERCE LIMITED, VA of GLOBAL E-PAYMENT LIMITED  (CIF NO. 5259859) ref . 1513IT5008699381, 1513IT5008706516</t>
  </si>
  <si>
    <t>1513IT8706516</t>
  </si>
  <si>
    <t>ABE HUNDRED MARKETS INC</t>
  </si>
  <si>
    <t>RECALL INWARD PAYMENTS OF CUSTOMER: GLOBAL E-PAYMENT LIMITED CIF 5259859 L/Y REF. 1513IT8699381 1513IT8706516
关联调单邮件：
[Action Required] Account update on HONGKONG BOSTON ECOMMERCE LIMITED, VA of GLOBAL E-PAYMENT LIMITED  (CIF NO. 5259859) ref . 1513IT5008699381, 1513IT5008706517</t>
  </si>
  <si>
    <t>1513IT8699381</t>
  </si>
  <si>
    <t>Recall request [20250404-600349-001] - Debit approval required (Global E-Payment Limited/EUR 139/010F31125055JLKS)</t>
  </si>
  <si>
    <t>010F31125055JLKS</t>
  </si>
  <si>
    <t>MANFRED SEVEN</t>
  </si>
  <si>
    <t>Recall request [20250422-701237-001] - Debit approval required (Global E-Payment Limited/EUR 4110/010F311250707HSX)</t>
  </si>
  <si>
    <t>5181241022033120058</t>
  </si>
  <si>
    <t>特尼钢铁有限公司</t>
  </si>
  <si>
    <t>010F311250707HSX</t>
  </si>
  <si>
    <t>AQUA NOSTRA FORAGES</t>
  </si>
  <si>
    <t xml:space="preserve"> 娄正才</t>
  </si>
  <si>
    <t>商户大陆暗关联公司-上海辉重钢铁有限公司，股东山东聊城人。疑似有拖延交货期，不愿提供完整谈单核实具体纠纷召回原因，反馈被买家拉黑。账户无余额，也不愿补款。已回复渠道拒绝recall。暂冻结结算，考虑后续入账冻款。</t>
  </si>
  <si>
    <t>Reminder: recall request [20250404-600874-001] - Debit approval required (Global E-Payment Limited/EUR 170/010F311250842LJ3)</t>
  </si>
  <si>
    <t>5181240514003381048</t>
  </si>
  <si>
    <t>鹏遊有限公司</t>
  </si>
  <si>
    <t>010F311250842LJ3</t>
  </si>
  <si>
    <t>Nuur Mohamed Muuse</t>
  </si>
  <si>
    <t>商户已以付款形式将资金退回，拒绝召回</t>
  </si>
  <si>
    <t>INWARD PAYMENTS OF CUSTOMER : GLOBAL E-PAYMENT LIMITED CIF 5259859 L/Y REF. 1513II6749986 / 1513II6802837</t>
  </si>
  <si>
    <t>1513II6749986</t>
  </si>
  <si>
    <t>DN AUTOMOTIVE CORPORATION</t>
  </si>
  <si>
    <t>dispute</t>
  </si>
  <si>
    <t>INWARD PAYMENTS OF CUSTOMER : GLOBAL E-PAYMENT LIMITED CIF 5259859 L/Y REF. 1513II6749986 / 1513II6802838</t>
  </si>
  <si>
    <t>1513II6802837</t>
  </si>
  <si>
    <t>Recall request [20250507-600670-001] - Debit approval required (Global E-Payment Limited/EUR 500/010F31125122EXHM)</t>
  </si>
  <si>
    <t>010F31125122EXHM</t>
  </si>
  <si>
    <t>Alexander Achziger</t>
  </si>
  <si>
    <t>Recall request [20250513-601165-001] - Debit approval required (Global E-Payment Limited/EUR 82.74/010F311251324XRM)</t>
  </si>
  <si>
    <t>5181230905000716628</t>
  </si>
  <si>
    <t>輝銘駿貿易有限公司</t>
  </si>
  <si>
    <t>独立站(欧元)</t>
  </si>
  <si>
    <t>010F311251324XRM</t>
  </si>
  <si>
    <t>APP Fraud Reimbursement Claim Ref. Nr. ZEN3457554</t>
  </si>
  <si>
    <t>010F34625132MF2Z</t>
  </si>
  <si>
    <t>资金到账延迟，导致商户与买家之间存在信息差，因此产生召回</t>
  </si>
  <si>
    <t>APP Fraud Reimbursement Claim Ref. Nr. 991284</t>
  </si>
  <si>
    <t>010F34625132N49F</t>
  </si>
  <si>
    <t>Recall request [20250515-001932-001] - Debit approval required (Global E-Payment Limited/EUR 83.36/010F311251351KDT)</t>
  </si>
  <si>
    <t>010F311251351KDT</t>
  </si>
  <si>
    <t>1513IT8940791</t>
  </si>
  <si>
    <t>FIRST PRINTING INC</t>
  </si>
  <si>
    <t>APP Fraud Reimbursement Claim Ref. Nr. 00012038966</t>
  </si>
  <si>
    <t>010F3152512500ZL</t>
  </si>
  <si>
    <t>Lazarus Agu</t>
  </si>
  <si>
    <t>CPR Customer Error Claim - Danske Bank - Ref: DB8655 BC:069605520</t>
  </si>
  <si>
    <t>5181230623000329838</t>
  </si>
  <si>
    <t>林益鹏</t>
  </si>
  <si>
    <t>Tiktok</t>
  </si>
  <si>
    <t>010F3152512700NB</t>
  </si>
  <si>
    <t>CHARLES MCALINDEN</t>
  </si>
  <si>
    <t>INWARD PAYMENTS OF CUSTOMER :   GLOBAL E-PAYMENT LIMITED  CIF 5259859  L/Y   REF. 1513II6943389</t>
  </si>
  <si>
    <t>1513II6943389</t>
  </si>
  <si>
    <t>REBERMO INTERSERVICE UND HANDEL GMBH</t>
  </si>
  <si>
    <r>
      <rPr>
        <sz val="10"/>
        <color rgb="FF267EF0"/>
        <rFont val="宋体"/>
        <charset val="134"/>
      </rPr>
      <t>Signed DA letter-1513II6803267、1513II6943389.pdf</t>
    </r>
  </si>
  <si>
    <t>INWARD PAYMENTS OF CUSTOMER :  GLOBAL E-PAYMENT LIMITED  CIF 5259859 L/Y  REF. 1513II6803267</t>
  </si>
  <si>
    <t>1513II6803267</t>
  </si>
  <si>
    <t>PLEASE CONFIRM WITH CLIENT  Mis-Transfer &gt;&gt;Recall Fund under Customer : GLOBAL E-PAYMENT LIMITED (CIF: 5259859   L/Y )  REF. FRN20240927PAYC0101938826272 / 2409270902391RKCI229 HKD 50000.00</t>
  </si>
  <si>
    <t>5181230613000261988</t>
  </si>
  <si>
    <t>愛客商貿有限公司</t>
  </si>
  <si>
    <t xml:space="preserve">50000 HKD/1BI </t>
  </si>
  <si>
    <t>WU DONGDONG</t>
  </si>
  <si>
    <t>商户已清退，提供物流和关户时间拒绝召回</t>
  </si>
  <si>
    <r>
      <rPr>
        <sz val="10"/>
        <color rgb="FF267EF0"/>
        <rFont val="宋体"/>
        <charset val="134"/>
      </rPr>
      <t>Signed DA letter-2409270902391RKCI229.pdf</t>
    </r>
  </si>
  <si>
    <t>Recall request [IBCSE2I25436201] - Debit approval required (Global E-Payment Limited/USD 9983.43/010F3092514300X9)</t>
  </si>
  <si>
    <t>暂无风险</t>
  </si>
  <si>
    <t>010F3092514300X9</t>
  </si>
  <si>
    <t>VALERII KRAVTSENKO</t>
  </si>
  <si>
    <t>币种错误，资金未入账</t>
  </si>
  <si>
    <t>[Action Required] Account update on SHANDONG DINGSHENG TRADING CO.,LTD, VA of GLOBAL E-PAYMENT LIMITED (CIF NO. 5259859) ref . [TT REF: 1513IT8419979]</t>
  </si>
  <si>
    <t>1513IT8419979</t>
  </si>
  <si>
    <r>
      <rPr>
        <sz val="10"/>
        <color rgb="FF267EF0"/>
        <rFont val="宋体"/>
        <charset val="134"/>
      </rPr>
      <t>Signed DA 1513IT8419979.pdf</t>
    </r>
  </si>
  <si>
    <t>李凯,戈燕,李源,陈一涵</t>
  </si>
  <si>
    <t>RE: Fraud on high amount of VIBANS.</t>
  </si>
  <si>
    <t>Recall request [20250623-600695-001] - Debit approval required (Global E-Payment Limited/EUR 59.14/010F3112517074KG)</t>
  </si>
  <si>
    <t>5181241206036351758</t>
  </si>
  <si>
    <t>李路</t>
  </si>
  <si>
    <t>欧洲本土店</t>
  </si>
  <si>
    <t>010F3112517074KG</t>
  </si>
  <si>
    <t>Recall request [20250520-500140-001] - Debit approval required (Global E-Payment Limited/EUR 32560/010F3112516163ZR)</t>
  </si>
  <si>
    <t>010F3112516163ZR</t>
  </si>
  <si>
    <t>汇款人在途资金因误命中DJ被渠道调单，以为未到账而召回。现已提供取消召回资料。</t>
  </si>
  <si>
    <t>Recall request [20250610-800372-001] - Debit approval required (Global E-Payment Limited/EUR 99190/010F311251476QOA)</t>
  </si>
  <si>
    <t>5181250226038284018</t>
  </si>
  <si>
    <t>SHINNING LIMITED</t>
  </si>
  <si>
    <t>010F311251476QOA</t>
  </si>
  <si>
    <t>AME770 GmbH</t>
  </si>
  <si>
    <t>Recall request [20250610-800372-001] - Debit approval required (Global E-Payment Limited/EUR 99930/010F311251476QQT)</t>
  </si>
  <si>
    <t>010F311251476QQT</t>
  </si>
  <si>
    <t>Recall request [20250617-500655-001] - Debit approval required (Global E-Payment Limited/EUR 30/010F3112516426ZK)</t>
  </si>
  <si>
    <t>5181250515041549888</t>
  </si>
  <si>
    <t>莆田市极致贸易有限公司</t>
  </si>
  <si>
    <t>010F3112516426ZK</t>
  </si>
  <si>
    <t>Mario Tebar Sanchez</t>
  </si>
  <si>
    <t>入账状态：退款中，审核拒绝；手续费问题，客户联系买家取消recall</t>
  </si>
  <si>
    <t>Recall request [20250610-600932-001] - Debit approval required (Global E-Payment Limited/EUR 99666/010F311251531KEB)</t>
  </si>
  <si>
    <t>010F311251531KEB</t>
  </si>
  <si>
    <t>Recall request [20250610-800372-001] - Debit approval required (Global E-Payment Limited/EUR 95260/010F311251531K6Q)</t>
  </si>
  <si>
    <t>010F311251531K6Q</t>
  </si>
  <si>
    <t>退款成功，审核拒绝</t>
  </si>
  <si>
    <t>Recall request [20250610-800372-001] - Debit approval required (Global E-Payment Limited/EUR 99550/010F311251476QNO)</t>
  </si>
  <si>
    <t>010F311251476QNO</t>
  </si>
  <si>
    <t>Recall request [20250627-500885-001] - Debit approval required (Global E-Payment Limited/EUR 304.29/010F31125176640P)</t>
  </si>
  <si>
    <t>5181240325002787528</t>
  </si>
  <si>
    <t>刘娟</t>
  </si>
  <si>
    <t>eBay(欧元)</t>
  </si>
  <si>
    <t>010F31125176640P</t>
  </si>
  <si>
    <t>已冻结对应资金/联系不上客户</t>
  </si>
  <si>
    <t>Recall request [20250701-700502-001] - Debit approval required (Global E-Payment Limited/EUR 19998/010F3112517501KN)</t>
  </si>
  <si>
    <t>010F3112517501KN</t>
  </si>
  <si>
    <t>ARASH NAWABI</t>
  </si>
  <si>
    <t>Recall request [20250701-801587-001] - Debit approval required (Global E-Payment Limited/EUR 13000/010F311251821KJS)</t>
  </si>
  <si>
    <t>5181250226038291638</t>
  </si>
  <si>
    <t>DEALG LIMITED</t>
  </si>
  <si>
    <t>010F311251821KJS</t>
  </si>
  <si>
    <t>GIOVANI SRLS</t>
  </si>
  <si>
    <t>渠道未扣款，已解冻</t>
  </si>
  <si>
    <t>Recall Fund under Customer : GLOBAL E-PAYMENT LIMITED (CIF: 5259859 L/Y ) REF. 1513II7331486 USD 1,400.00</t>
  </si>
  <si>
    <t>5181240520003432778</t>
  </si>
  <si>
    <t>张宏炜</t>
  </si>
  <si>
    <t>1513II7331486</t>
  </si>
  <si>
    <t>WORLD FIRST ASIA LTD</t>
  </si>
  <si>
    <t>冻结1400USD（目前已解冻）</t>
  </si>
  <si>
    <t>Recall request [20250707-700241-001] - Debit approval required (Global E-Payment Limited/EUR 15000/010F311251841WEC)</t>
  </si>
  <si>
    <t>5181250507041290358</t>
  </si>
  <si>
    <t>深圳市庚照科技有限公司</t>
  </si>
  <si>
    <t>010F311251841WEC</t>
  </si>
  <si>
    <t>MORELLI WALTER</t>
  </si>
  <si>
    <t>已冻结对应金额并接受召回</t>
  </si>
  <si>
    <t>Recall request [20250715-800977-001] - Debit approval required (Global E-Payment Limited/EUR 8.28/010F311251952X8R)</t>
  </si>
  <si>
    <t>010F311251952X8R</t>
  </si>
  <si>
    <t>Recall request [20250715-800977-001] - Debit approval required (Global E-Payment Limited/EUR 4500/010F311251756IPB)</t>
  </si>
  <si>
    <t>010F311251756IPB</t>
  </si>
  <si>
    <t>Kavun, Natalia und Sergej</t>
  </si>
  <si>
    <t>商户已发货，拒绝召回</t>
  </si>
  <si>
    <t>Recall request [20250715-800977-001] - Debit approval required (Global E-Payment Limited/EUR 4.33/010F311251952X8Q)</t>
  </si>
  <si>
    <t>010F311251952X8Q</t>
  </si>
  <si>
    <t>INWARD PAYMENTS OF CUSTOMER : GLOBAL E-PAYMENT LIMITED CIF 5259859 L/Y ref.1513II7213284</t>
  </si>
  <si>
    <t>1513II7213284</t>
  </si>
  <si>
    <t>JUAN MANUEL GONZALEZ HINOJOSA</t>
  </si>
  <si>
    <t>已退款</t>
  </si>
  <si>
    <r>
      <rPr>
        <sz val="10"/>
        <color rgb="FF267EF0"/>
        <rFont val="宋体"/>
        <charset val="134"/>
      </rPr>
      <t>Signed DA-1513II7213284.pdf</t>
    </r>
  </si>
  <si>
    <t>APP Fraud Reimbursement Claim Ref. Nr. FRA-68535</t>
  </si>
  <si>
    <t>010F3152519502G8</t>
  </si>
  <si>
    <t>M Ashraf</t>
  </si>
  <si>
    <t>Recall request [126B43726CF6] - Debit approval required (Global E-Payment Limited/EUR 500/010F34525190MG6A)</t>
  </si>
  <si>
    <t>5181250622043942998</t>
  </si>
  <si>
    <t>东莞市云栖麓酒店管理有限公司</t>
  </si>
  <si>
    <t>010F34525190MG6A</t>
  </si>
  <si>
    <t>ANTONIO DE LA FUENTE GONZALEZ</t>
  </si>
  <si>
    <t>审核拒绝，已退款</t>
  </si>
  <si>
    <t>陈一涵,李源</t>
  </si>
  <si>
    <t>Recall request [20250722-501305-001] - Debit approval required (Global E-Payment Limited/EUR 3000/010F3112517500OW)</t>
  </si>
  <si>
    <t>010F3112517500OW</t>
  </si>
  <si>
    <t>Carsten Kruger</t>
  </si>
  <si>
    <t>Recall request [20250724-600156-001] - Debit approval required (Global E-Payment Limited/EUR 10000/010F311251837HRT)</t>
  </si>
  <si>
    <t>5181250616043558608</t>
  </si>
  <si>
    <t>平定翔源商贸有限公司</t>
  </si>
  <si>
    <t>010F311251837HRT</t>
  </si>
  <si>
    <t>MORINI ALESSANDRO</t>
  </si>
  <si>
    <t>解冻，回复渠道汇款人撤销召回</t>
  </si>
  <si>
    <t>Recall request [20250724-600156-001] - Debit approval required (Global E-Payment Limited/EUR 19998/010F311251827ZZI)</t>
  </si>
  <si>
    <t>010F311251827ZZI</t>
  </si>
  <si>
    <t>Recall request [20250724-600156-001] - Debit approval required (Global E-Payment Limited/EUR 19880/010F3112518280IT)</t>
  </si>
  <si>
    <t>010F3112518280IT</t>
  </si>
  <si>
    <t>Recall request [20250731-800727-001] - Debit approval required (Global E-Payment Limited/EUR 500/010F3112521111RW)</t>
  </si>
  <si>
    <t>5181240425003225228</t>
  </si>
  <si>
    <t>王邦</t>
  </si>
  <si>
    <t>010F3112521111RW</t>
  </si>
  <si>
    <t>URGENT - APP Fraud Reimbursement Claim Ref. Nr. 1070430</t>
  </si>
  <si>
    <t>010F3152520202M8</t>
  </si>
  <si>
    <t>Md Ansarus Sharif</t>
  </si>
  <si>
    <t>1、汇款人反馈通过facebook采购家居用品，但没收到货物，且商户不回应，对应店铺网页已无法打开；
2、聊单商户，现累计3笔欺诈召回，和5181250515041517618-福摩爾香港實業有限公司 似暗关联，绑定店铺一致；
3、商户绑定店铺谈单造假，提供的拒绝召回谈单也造假。</t>
  </si>
  <si>
    <t>URGENT - APP Fraud Reimbursement Claim Ref. Nr. 1070545</t>
  </si>
  <si>
    <t>010F3152521602NF</t>
  </si>
  <si>
    <t>MOHAMMAD NAZARI</t>
  </si>
  <si>
    <t>1、通过facebook购买强壮药，但付款后没收到货物，且商户不回应，对应店铺网页显示关闭；
2、聊单商户，和5181250121037431578-YUMA LOGISTICS LIMITED 似暗关联，绑定店铺一致；
3、商户绑定店铺谈单似造假</t>
  </si>
  <si>
    <t>Recall request [20250805-600777-001] - Debit approval required (Global E-Payment Limited/EUR 320/010F311252194XV4)</t>
  </si>
  <si>
    <t>010F311252194XV4</t>
  </si>
  <si>
    <t>1、聊单商户，现累计4笔欺诈召回，和5181250515041517618-福摩爾香港實業有限公司 似暗关联，绑定店铺一致；
2、商户绑定店铺谈单造假，本笔关联店铺网页显示关闭；</t>
  </si>
  <si>
    <t>Recall request [970xqt00ta1tp6he4xijssvrc2hab9r] - Debit approval required (Global E-Payment Limited/DKK 3025/010F3472520400BM)</t>
  </si>
  <si>
    <t>错币种入账</t>
  </si>
  <si>
    <t>5181240919027689268</t>
  </si>
  <si>
    <t>杨海猛</t>
  </si>
  <si>
    <t>010F3472520400BM</t>
  </si>
  <si>
    <t>DALOS BAZAR</t>
  </si>
  <si>
    <t>Invalid Creditor Account Number，错币种入账，对应资金已冻结</t>
  </si>
  <si>
    <t>Recall request [20250814-700226-001] - Debit approval required (Global E-Payment Limited/EUR 22/010F311252165ZHN)</t>
  </si>
  <si>
    <t>5181230822000643528</t>
  </si>
  <si>
    <t>潘龙</t>
  </si>
  <si>
    <t>010F311252165YO0</t>
  </si>
  <si>
    <t>Recall request [20250814-700226-001] - Debit approval required (Global E-Payment Limited/EUR 23/010F311252165YO0)</t>
  </si>
  <si>
    <t>010F311252165ZHN</t>
  </si>
  <si>
    <t>INWARD PAYMENTS OF CUSTOMER : GLOBAL E-PAYMENT LIMITED CIF 5259859 L/Y ref. 1513IT9374752</t>
  </si>
  <si>
    <t>1513IT9374752</t>
  </si>
  <si>
    <t>1/VIVIN OU</t>
  </si>
  <si>
    <t>商户不愿提供任何资料，结合产品价格和商户经营异常等情况来看可能是商户欺诈，MSO report先定性贸易纠纷</t>
  </si>
  <si>
    <r>
      <rPr>
        <sz val="10"/>
        <color rgb="FF267EF0"/>
        <rFont val="宋体"/>
        <charset val="134"/>
      </rPr>
      <t>Signed DA-1513IT9374752.pdf</t>
    </r>
  </si>
  <si>
    <t>Recall request [20250821-500207-001] - Debit approval required (Global E-Payment Limited/EUR 157.6/010F3112522416WY)</t>
  </si>
  <si>
    <t>5181220906002413118</t>
  </si>
  <si>
    <t>黄思哲</t>
  </si>
  <si>
    <t>010F3112522416WY</t>
  </si>
  <si>
    <t>Recall request [20250821-700911-001] - Debit approval required (Global E-Payment Limited/EUR 120/010F311252321OW7)</t>
  </si>
  <si>
    <t>010F311252321OW7</t>
  </si>
  <si>
    <t>M.OU MME ROMDHANE SALEM</t>
  </si>
  <si>
    <t>付款方前期已与客户确认退款，因退款进度较慢发起了召回，已提供客户提交退款的沟通记录</t>
  </si>
  <si>
    <t>FW: 81067586 indemnity request letter chaser 2 BC#1853949</t>
  </si>
  <si>
    <t>2505182226580573266
2505052305575443915（已退款）</t>
  </si>
  <si>
    <t>Recall request [6775256370903268ZL2230039810IT] - Debit approval required (Global E-Payment Limited/EUR 10000/010F33325237020I)</t>
  </si>
  <si>
    <t>010F33325237020I</t>
  </si>
  <si>
    <t>CASAEDIL S R L SEMPLIFICATA</t>
  </si>
  <si>
    <t>BC此前似接到协查，同步商户和交易对手都涉嫌欺诈，要求block。已+监控标签管控实时交易，并关闭结算</t>
  </si>
  <si>
    <t>Recall request [3068586340403268ZL2230039810IT] - Debit approval required (Global E-Payment Limited/EUR 9850/010F333252340122)</t>
  </si>
  <si>
    <t>010F333252340122</t>
  </si>
  <si>
    <t>Recall Fund under Customer : GLOBAL E-PAYMENT LIMITED (CIF: 5259859 L/Y ) REF. 1513II7601485</t>
  </si>
  <si>
    <t>5181250728045347398</t>
  </si>
  <si>
    <t>海口龙华维好泰百货商行</t>
  </si>
  <si>
    <t>1513II7601485</t>
  </si>
  <si>
    <t>商户法人个人账户关联划转，声称未召回</t>
  </si>
  <si>
    <r>
      <rPr>
        <sz val="10"/>
        <color rgb="FF267EF0"/>
        <rFont val="宋体"/>
        <charset val="134"/>
      </rPr>
      <t>Signed DA-1513II7601485.pdf</t>
    </r>
  </si>
  <si>
    <t>Recall request [20250829-500023-001] - Debit approval required (Global E-Payment Limited/EUR 20000/010F3112523724UQ)</t>
  </si>
  <si>
    <t>010F3112523724UQ</t>
  </si>
  <si>
    <t>Recall request [20250829-500023-001] - Debit approval required (Global E-Payment Limited/EUR 19400/010F3112523724N4)</t>
  </si>
  <si>
    <t>010F3112523724N4</t>
  </si>
  <si>
    <t>INWARD PAYMENTS OF CUSTOMER : GLOBAL E-PAYMENT LIMITED CIF 5259859 L/Y ref 1513IT9468312</t>
  </si>
  <si>
    <t>1513IT9468312</t>
  </si>
  <si>
    <t>GUILLERMINA TECLA VELAZQUEZ</t>
  </si>
  <si>
    <r>
      <rPr>
        <sz val="10"/>
        <color rgb="FF267EF0"/>
        <rFont val="宋体"/>
        <charset val="134"/>
      </rPr>
      <t>Signed DA-15131T9468312.pdf</t>
    </r>
  </si>
  <si>
    <t>INWARD PAYMENTS OF CUSTOMER : GLOBAL E-PAYMENT LIMITED CIF 5259859 L/Y ref 1513IT9282732</t>
  </si>
  <si>
    <t>1513IT9282732</t>
  </si>
  <si>
    <t>MGWAX TRANSFORMACAO CERAS LDA</t>
  </si>
  <si>
    <t>商户因有历史召回，且企业已注销而清退，现无法获取联系</t>
  </si>
  <si>
    <r>
      <rPr>
        <sz val="10"/>
        <color rgb="FF267EF0"/>
        <rFont val="宋体"/>
        <charset val="134"/>
      </rPr>
      <t>Signed DA-1513IT9282732.pdf</t>
    </r>
  </si>
  <si>
    <t>Recall request [20250905-002278-001] - Debit approval required (Global E-Payment Limited/EUR 9.05/010F311252470N5S)</t>
  </si>
  <si>
    <t>010F311252470N5S</t>
  </si>
  <si>
    <t>审核拒绝走了原路退回，金额过小手续费无法覆盖尚未成功退款，清算会在大账户扣款时同步操作</t>
  </si>
  <si>
    <t>Recall request [20250908-600078-001] - Debit approval required (Global E-Payment Limited/EUR 8.3/010F311252470NIP)</t>
  </si>
  <si>
    <t>010F311252470NIP</t>
  </si>
  <si>
    <t>Recall request [20250910-002011-001] - Debit approval required (Global E-Payment Limited/EUR 12.51/010F31125251ILHI)</t>
  </si>
  <si>
    <t>010F31125251ILHI</t>
  </si>
  <si>
    <t>Recall request [20250915-000813-001] - Debit approval required (Global E-Payment Limited/EUR 9.3/010F311252582D2O)</t>
  </si>
  <si>
    <t>5181250729045506648</t>
  </si>
  <si>
    <t>蒋子成</t>
  </si>
  <si>
    <t>欧洲本土店(WordPress)</t>
  </si>
  <si>
    <t>010F311252582D2O</t>
  </si>
  <si>
    <t>Recall request [INNDNL2U2025091800260807900000001] - Debit approval required (Global E-Payment Limited/EUR 10050/010F3452526115SH)</t>
  </si>
  <si>
    <t>5181250731045678858</t>
  </si>
  <si>
    <t>UUAPA DEVELOP LIMITED</t>
  </si>
  <si>
    <t>010F3452526115SH</t>
  </si>
  <si>
    <t>Shark 2024</t>
  </si>
  <si>
    <t>Recall – Payment reference: 010F3472527500TW</t>
  </si>
  <si>
    <t>无定位商户</t>
  </si>
  <si>
    <t>010F3472527500TW</t>
  </si>
  <si>
    <t>Recall request [20251006-601109-001] - Debit approval required (Global E-Payment Limited/EUR 400/010F311252237NPO)</t>
  </si>
  <si>
    <t>010F311252237NPO</t>
  </si>
  <si>
    <t>Kokou Nicolas Gagba</t>
  </si>
  <si>
    <t>Recall request [20251006-601109-001] - Debit approval required (Global E-Payment Limited/EUR 400/010F31125223F8PB)</t>
  </si>
  <si>
    <t>010F31125223F8PB</t>
  </si>
  <si>
    <t>Customer Request for Fund Hold/Return</t>
  </si>
  <si>
    <t>5181250923048661708</t>
  </si>
  <si>
    <t>成都鑫鸿灿贸易有限公司</t>
  </si>
  <si>
    <t>韩国本土店-KRW(aliexpress)</t>
  </si>
  <si>
    <t>8a98ab5d-103b-4512-844c-698592b89d80</t>
  </si>
  <si>
    <t>AliExpr</t>
  </si>
  <si>
    <t>陈欢妮/</t>
  </si>
  <si>
    <t>速卖通退款给韩国公司 无需GEP再处理召回</t>
  </si>
  <si>
    <t>Recall request [20251020-800164-001] - Debit approval required (Global E-Payment Limited/EUR 140/010F311252900ICS)</t>
  </si>
  <si>
    <t>5181250711044792968</t>
  </si>
  <si>
    <t>海口龙华宜嘉轩贸易商行（个体工商户）</t>
  </si>
  <si>
    <t>010F311252900ICS</t>
  </si>
  <si>
    <t>DI COSMO NICOLA</t>
  </si>
  <si>
    <t>未入账，已冻结对应金额</t>
  </si>
  <si>
    <t>Recall request [20251021-500271-001] - Debit approval required (Global E-Payment Limited/EUR 220/010F311252256VWW)</t>
  </si>
  <si>
    <t>010F311252256VWW</t>
  </si>
  <si>
    <t>M ROGER BENONIT</t>
  </si>
  <si>
    <t>店铺绑定时提供的谈单造假</t>
  </si>
  <si>
    <t>Recall request [20251029-600391-001] - Debit approval required (Global E-Payment Limited/EUR 55/010F311252810UXE)</t>
  </si>
  <si>
    <t>5181241005030667818</t>
  </si>
  <si>
    <t>李宁</t>
  </si>
  <si>
    <t>010F311252810UXE</t>
  </si>
  <si>
    <t>RE: Fraud Recall Request (010F209252950SHK) BC:004900675
关联邮件：Fraud Recall Request (010F209252950SHK) BC:004900675</t>
  </si>
  <si>
    <t>5181250912047951448</t>
  </si>
  <si>
    <t>BOCAU LIMITED</t>
  </si>
  <si>
    <t>010F209252950SHK</t>
  </si>
  <si>
    <t>EURODECOR AND COMPLEMENT INTERNATIO</t>
  </si>
  <si>
    <t>入账交易010F3312529300RX，通过付款形式退给汇款人</t>
  </si>
  <si>
    <t>Fraud Recall Request (010F209252971F9B) BC:004900677</t>
  </si>
  <si>
    <t>010F209252971F9B</t>
  </si>
  <si>
    <t>EURODECOR AND COMPLEMENT</t>
  </si>
  <si>
    <t>入账交易010F311252956GCM，通过付款形式退给汇款人</t>
  </si>
  <si>
    <t>Recall request [20251110-500122-001] - Debit approval required (Global E-Payment Limited/EUR 330/010F311253080DOZ)</t>
  </si>
  <si>
    <t>5181251028050512558</t>
  </si>
  <si>
    <t>李闯</t>
  </si>
  <si>
    <t>010F311253080DOZ</t>
  </si>
  <si>
    <t>Recall request [20251110-500122-001] - Debit approval required (Global E-Payment Limited/EUR 140/010F311253046NZO)</t>
  </si>
  <si>
    <t>5181250730045587508</t>
  </si>
  <si>
    <t>邹明霞</t>
  </si>
  <si>
    <t>010F311253046NZO</t>
  </si>
  <si>
    <t>1513IT9568739</t>
  </si>
  <si>
    <t>AL KIDWA TRADING LLC</t>
  </si>
  <si>
    <t>Recall request [20251111-500153-001] - Debit approval required (Global E-Payment Limited/EUR 60/010F3112527411QI)</t>
  </si>
  <si>
    <t>010F3112527411QI</t>
  </si>
  <si>
    <t>Recall request [20251111-500153-001] - Debit approval required (Global E-Payment Limited/EUR 55.56/010F3112527411R4)</t>
  </si>
  <si>
    <t>010F3112527411R4</t>
  </si>
  <si>
    <t>Recall request [IP20251001081906878TUJIMLFGGLDNRVRJ] - Debit approval required (Global E-Payment Limited/EUR 80/010F345252740QOZ)</t>
  </si>
  <si>
    <t>5181250613043306938</t>
  </si>
  <si>
    <t>海口秀英畅伊途电子商务行</t>
  </si>
  <si>
    <t>010F345252740QOZ</t>
  </si>
  <si>
    <t>M. ALVES FERREIRA FLAVIO JOSE</t>
  </si>
  <si>
    <t>[For Your Action] Mis-Transfer &gt;&gt;Recall Fund under Customer : (CIF: 5259859 L/Y ) 1st DA_ MISTRANSFER - GLOBAL E-PAYMENT LIMITED/ REF.1513II7904447 1513II7904480 1513II7905049/ USD98,760</t>
  </si>
  <si>
    <t>5181250506041235468</t>
  </si>
  <si>
    <t>JIANBO TRADING CO., LIMITED</t>
  </si>
  <si>
    <t>1513II7904447</t>
  </si>
  <si>
    <t>JIAHUI TRADING STORE LIMITED</t>
  </si>
  <si>
    <t>1513II7904480</t>
  </si>
  <si>
    <t>1513II7905049</t>
  </si>
  <si>
    <t>(For Your Action) IDW GLOBAL E-PAYMENT LIMITED</t>
  </si>
  <si>
    <t>1513II7904455</t>
  </si>
  <si>
    <t>INWARD PAYMENTS OF CUSTOMER : GLOBAL E-PAYMENT LIMITED CIF 5259859 L/Y REF. 1513IT8874470
关联邮件：Recall Fund under Customer : GLOBAL E-PAYMENT LIMITED (CIF: 5259859 L/Y ) REF. 1513IT8874470</t>
  </si>
  <si>
    <t>1513IT8874470</t>
  </si>
  <si>
    <t>1/ZAGORSKA MARIA ZOFIA</t>
  </si>
  <si>
    <t>Recall request [20251126-500228-001] - Debit approval required (Global E-Payment Limited/EUR 55.99/010F311253226OKT)</t>
  </si>
  <si>
    <t>5181250927048905758</t>
  </si>
  <si>
    <t>林建勇</t>
  </si>
  <si>
    <t>010F311253226OKT</t>
  </si>
  <si>
    <t>Recall request [20251126-500228-001] - Debit approval required (Global E-Payment Limited/EUR 59.99/010F311253226OIT)</t>
  </si>
  <si>
    <t>010F311253226OIT</t>
  </si>
  <si>
    <t>Recall request [20251126-500228-001] - Debit approval required (Global E-Payment Limited/EUR 45/010F311253226NTG)</t>
  </si>
  <si>
    <t>010F311253226NTG</t>
  </si>
  <si>
    <t>Recall request [20251202-800198-001] - Debit approval required (Global E-Payment Limited/EUR 150/010F3112530801I2)</t>
  </si>
  <si>
    <t>010F3112530801I2</t>
  </si>
  <si>
    <t>EDUARD MELLEM</t>
  </si>
  <si>
    <t>FW: 081181574</t>
  </si>
  <si>
    <t>资金未到达PAYFUL</t>
  </si>
  <si>
    <t>Michael Smith</t>
  </si>
  <si>
    <t>资金未到达GEP</t>
  </si>
  <si>
    <t>Recall request [20251204-000417-001] - Debit approval required (Global E-Payment Limited/EUR 129000/010F311253284QT3)</t>
  </si>
  <si>
    <t>010F311253284QT3</t>
  </si>
  <si>
    <t>AMBTOINE</t>
  </si>
  <si>
    <t>Recall request [20251204-000417-001] - Debit approval required (Global E-Payment Limited/EUR 40998/010F31125328LKLF)</t>
  </si>
  <si>
    <t>010F31125328LKLF</t>
  </si>
  <si>
    <t>Recall request [25120115017444778] - Debit approval required (Global E-Payment Limited/EUR 92.34/010F345253355QTS)</t>
  </si>
  <si>
    <t>丹麦本土店-DKK(paypal)</t>
  </si>
  <si>
    <t>010F345253355QTS</t>
  </si>
  <si>
    <t>Recall request [20251205-500694-001] - Debit approval required (Global E-Payment Limited/EUR 1100/010F3112533808MO)</t>
  </si>
  <si>
    <t>010F3112533808MO</t>
  </si>
  <si>
    <t>Recall – payment ref: (010F32925028014O, 010F329250210099, 010F3292502900PZ, 010F32925030006U, 010F3292502900U1, 010F32925028016P)</t>
  </si>
  <si>
    <t>010F32925028014O</t>
  </si>
  <si>
    <t>CHARLOTTE NIELSEN</t>
  </si>
  <si>
    <t>入账拒绝改为入账后接受召回</t>
  </si>
  <si>
    <t>010F329250210099</t>
  </si>
  <si>
    <t>Sarah Kindt Nielsen</t>
  </si>
  <si>
    <t>010F32925030006U</t>
  </si>
  <si>
    <t>AFDELINGSLEDER</t>
  </si>
  <si>
    <t>010F3292502900U1</t>
  </si>
  <si>
    <t>Direktor Anders Hojmose Pedersen</t>
  </si>
  <si>
    <t>010F32925028016P</t>
  </si>
  <si>
    <t>VICE PRESIDENT</t>
  </si>
  <si>
    <t>Recall request [20251208-500357-001] - Debit approval required (Global E-Payment Limited/EUR 546.31/010F311253361V5N)</t>
  </si>
  <si>
    <t>010F311253361V5N</t>
  </si>
  <si>
    <t>Marton Laszlo Czenek</t>
  </si>
  <si>
    <t>Recall request [20251208-002099-001] - Debit approval required (Global E-Payment Limited/EUR 79995/010F31125342J5H0)</t>
  </si>
  <si>
    <t>5181251112051447718</t>
  </si>
  <si>
    <t>PromoLab Limited</t>
  </si>
  <si>
    <t>010F31125342J5H0</t>
  </si>
  <si>
    <t>ABC RENOVATION</t>
  </si>
  <si>
    <t>Fraud Recall Request 010F3452533910IO BC:005000793</t>
  </si>
  <si>
    <t>5181250819046456548</t>
  </si>
  <si>
    <t>Cendtred Limited</t>
  </si>
  <si>
    <t>010F3452533910IO</t>
  </si>
  <si>
    <t>DEYVISON PIRES-SOC CONSTR,UNIPESSOAL,LA</t>
  </si>
  <si>
    <t>INWARD PAYMENTS OF CUSTOMER : GLOBAL E-PAYMENT LIMITED CIF 5259859 L/Y REF. 1513IT0023818</t>
  </si>
  <si>
    <t>1513IT0023818</t>
  </si>
  <si>
    <t>KUN-HAO LIAO</t>
  </si>
  <si>
    <t>Fraud Recall Request 010F345253291HDW, 010F345253291HDO, 010F345253291HE1 BC:005000843</t>
  </si>
  <si>
    <t>5181250731045697358</t>
  </si>
  <si>
    <t>晶雨設備有限公司</t>
  </si>
  <si>
    <t>010F345253291HDW</t>
  </si>
  <si>
    <t>MONTANHALIDER UNIPESSOAL LDA</t>
  </si>
  <si>
    <t>010F345253291HDO</t>
  </si>
  <si>
    <t>010F345253291HE1</t>
  </si>
  <si>
    <t>Fraud Recall Request 010F345253391JYU, 010F345253391JYM, 010F345253391JY9 BC:005000850</t>
  </si>
  <si>
    <t>5181250904047237088</t>
  </si>
  <si>
    <t>Makehund Limited</t>
  </si>
  <si>
    <t>010F345253391JYU</t>
  </si>
  <si>
    <t>ERRATICDAWN - UNIPESSOAL LDA</t>
  </si>
  <si>
    <t>5181250821046567098</t>
  </si>
  <si>
    <t>Maxtutd Limited</t>
  </si>
  <si>
    <t>010F345253391JYM</t>
  </si>
  <si>
    <t>CWTA Limited</t>
  </si>
  <si>
    <t>010F345253391JY9</t>
  </si>
  <si>
    <t>Fraud Recall Request 010F345253391JYS BC:005000852</t>
  </si>
  <si>
    <t>5181250821046575028</t>
  </si>
  <si>
    <t>Mmnn Limited</t>
  </si>
  <si>
    <t>010F345253391JYS</t>
  </si>
  <si>
    <t>Recall request [REVITR25121455358001616] - Debit approval required (Global E-Payment Limited/EUR 163/010F3452534930DV)</t>
  </si>
  <si>
    <t>菏泽旭翔商贸有限公司</t>
  </si>
  <si>
    <t>010F3452534930DV</t>
  </si>
  <si>
    <t>Suleyman Kaya</t>
  </si>
  <si>
    <t>(For Your Action) IDW GLOBAL E-PAYMENT LIMITED
2026-04-02关联邮件：INWARD PAYMENTS OF CUSTOMER : GLOBAL E-PAYMENT LIMITED REF. 1513IT0128951</t>
  </si>
  <si>
    <t>1513IT0128951</t>
  </si>
  <si>
    <t>COLE O GIBSON</t>
  </si>
  <si>
    <t>汇款方取消召回，退款流程终止</t>
  </si>
  <si>
    <t>Recall request [20251222-001900-001] - Debit approval required (Global E-Payment Limited/EUR 23317/010F311253515GNP)</t>
  </si>
  <si>
    <t>010F311253515GNP</t>
  </si>
  <si>
    <t>ALM MODENESE SOCIETA. COOPERATIVA</t>
  </si>
  <si>
    <t>Recall request [20251223-001478-001] - Debit approval required (Global E-Payment Limited/EUR 23350/010F311253145QOC)</t>
  </si>
  <si>
    <t>010F311253145QOC</t>
  </si>
  <si>
    <t>PIAZZA GRANDE S.N.C. DI MASTROTOTARO ANTONIO</t>
  </si>
  <si>
    <t>Recall request [20251223-001478-001] - Debit approval required (Global E-Payment Limited/EUR 7106/010F311253110SIP)</t>
  </si>
  <si>
    <t>010F311253110SIP</t>
  </si>
  <si>
    <t>Recall request [20251223-001478-001] - Debit approval required (Global E-Payment Limited/EUR 29860/010F311253110SJ9)</t>
  </si>
  <si>
    <t>010F311253110SJ9</t>
  </si>
  <si>
    <t>Recall request [20251223-001478-001] - Debit approval required (Global E-Payment Limited/EUR 44680/010F311253110S3Y)</t>
  </si>
  <si>
    <t>010F311253110S3Y</t>
  </si>
  <si>
    <t>FW: Claim 1206704 - APP Scam Transaction has been raised against your PSP</t>
  </si>
  <si>
    <t>010F3462534901UC</t>
  </si>
  <si>
    <t>M Alashghr</t>
  </si>
  <si>
    <t>FW: Claim 1208619 - APP Scam Transaction has been raised against your PSP</t>
  </si>
  <si>
    <t>义乌市竹密贸易商行</t>
  </si>
  <si>
    <t>未定位到交易</t>
  </si>
  <si>
    <t>交易未到payful就被召回</t>
  </si>
  <si>
    <t>FW: APP PSR Claim ZEN5191166</t>
  </si>
  <si>
    <t>010F346253390RW3</t>
  </si>
  <si>
    <t>Mark Omolade</t>
  </si>
  <si>
    <t>买家恶意召回</t>
  </si>
  <si>
    <t>FW: Claim 1208767 - APP Scam Transaction has been raised against your PSP</t>
  </si>
  <si>
    <t>010F3462533602OL</t>
  </si>
  <si>
    <t>F ADAMS T/A ADAMS</t>
  </si>
  <si>
    <t>(For Your Action) INWARD PAYMENTS OF CUSTOMER : GLOBAL E-PAYMENT LIMITED CIF 5259859 L/Y REF. 1513IT0116824</t>
  </si>
  <si>
    <t>1513IT0116824</t>
  </si>
  <si>
    <t>FATIMAH IBRAHIM S AL TALIB</t>
  </si>
  <si>
    <t>(For Your Action) MIS-TRANSFER &gt;&gt; Recall Fund under Customer : GLOBAL E-PAYMENT LIMITED (CIF: 5259859 L/Y ) REF.1513II8093882</t>
  </si>
  <si>
    <t>5181250905047358548</t>
  </si>
  <si>
    <t>NEURASYS PTE. LTD</t>
  </si>
  <si>
    <t>1513II8093882</t>
  </si>
  <si>
    <t>Recall request [20260102-600264-001] - Debit approval required (Global E-Payment Limited/EUR 62/010F31125353602M)</t>
  </si>
  <si>
    <t>5181250303038483868</t>
  </si>
  <si>
    <t>杨妹玉</t>
  </si>
  <si>
    <t>010F31125353602M</t>
  </si>
  <si>
    <t>Recall request [20260102-600264-001] - Debit approval required (Global E-Payment Limited/EUR 65/010F311253581D94)</t>
  </si>
  <si>
    <t>5181220830002377788</t>
  </si>
  <si>
    <t>陈春光</t>
  </si>
  <si>
    <t>010F311253581D94</t>
  </si>
  <si>
    <t>Recall request [99dc4bcb62e74463819816c7e26c9fa9] - Debit approval required (Global E-Payment Limited/EUR 4980/010F345260081DMW)</t>
  </si>
  <si>
    <t>010F345260081DMW</t>
  </si>
  <si>
    <t>PIETRO GRIMALDI</t>
  </si>
  <si>
    <t>Recall request [20260109-001559-001] - Debit approval required (Global E-Payment Limited/EUR 15000/010F311253510POW)</t>
  </si>
  <si>
    <t>5181250924048719868</t>
  </si>
  <si>
    <t>成都亚铭永集信息科技有限公司</t>
  </si>
  <si>
    <t>010F311253510POW</t>
  </si>
  <si>
    <t>SUNDY CONFEZIONE DI LIU ZIYI</t>
  </si>
  <si>
    <t>Recall request [9191b89d45b5465b80a44ae63e6e9ce6] - Debit approval required (Global E-Payment Limited/EUR 185/010F3452601240YY)</t>
  </si>
  <si>
    <t>5181251022050105448</t>
  </si>
  <si>
    <t>郑丽娟</t>
  </si>
  <si>
    <t>010F3452601240YY</t>
  </si>
  <si>
    <t>LINA ELBAY</t>
  </si>
  <si>
    <t>商户提供了关于召回的沟通记录，原因为汇款人向银行传递错误信息，导致银行发起召回，无风险</t>
  </si>
  <si>
    <t>FW: Website Customer Support Enquiry - Suspected Fraud BC#2200172</t>
  </si>
  <si>
    <t>5181240601003584378</t>
  </si>
  <si>
    <t>吴佳雄</t>
  </si>
  <si>
    <t>010F345260070LSS</t>
  </si>
  <si>
    <t>Ilias Badda</t>
  </si>
  <si>
    <t>Recall request [20260120-801172-001] - Debit approval required (Global E-Payment Limited/EUR 35000/010F3112535209K5)</t>
  </si>
  <si>
    <t>010F3112535209K5</t>
  </si>
  <si>
    <t>CONFEZIONE DI FAN HUYING</t>
  </si>
  <si>
    <t>Recall request [20260121-500265-001] - Debit approval required (Global E-Payment Limited/EUR 35680/010F311253510G1T)</t>
  </si>
  <si>
    <t>010F311253510G1T</t>
  </si>
  <si>
    <t>Recall request [20260121-500265-001] - Debit approval required (Global E-Payment Limited/EUR 2000/010F311260198B03)
关联邮件：FW: Appui RECALL -M BAILLS Jean marc - BCIRLULLXXX / LU324080000052211257 BC#2200277</t>
  </si>
  <si>
    <t>010F311260198B03</t>
  </si>
  <si>
    <t>MR BAILLS JEAN MARC</t>
  </si>
  <si>
    <t>Recall request [20260122-800618-001] - Debit approval required (Global E-Payment Limited/EUR 4000/010F31126013604Y)</t>
  </si>
  <si>
    <t>010F31126013604Y</t>
  </si>
  <si>
    <t>Thorsten Harenberg</t>
  </si>
  <si>
    <t>Recall request [20260126-500227-001] - Debit approval required (Global E-Payment Limited/EUR 38/010F311260230LTK)</t>
  </si>
  <si>
    <t>5181260107054754408</t>
  </si>
  <si>
    <t>陈思含</t>
  </si>
  <si>
    <t>010F311260230LTK</t>
  </si>
  <si>
    <t>郑鸿志</t>
  </si>
  <si>
    <t>Recall request [20260126-500227-001] - Debit approval required (Global E-Payment Limited/EUR 68/010F311260230M0X)</t>
  </si>
  <si>
    <t>010F311260230M0X</t>
  </si>
  <si>
    <t>Recall request [20260126-500227-001] - Debit approval required (Global E-Payment Limited/EUR 30/010F311260230LXC)</t>
  </si>
  <si>
    <t>010F311260230LXC</t>
  </si>
  <si>
    <t>Recall request [20260126-500227-001] - Debit approval required (Global E-Payment Limited/EUR 163/010F311260230M8E)</t>
  </si>
  <si>
    <t>010F311260230M8E</t>
  </si>
  <si>
    <t>Recall request [20260126-500227-001] - Debit approval required (Global E-Payment Limited/EUR 155/010F311260230D47)</t>
  </si>
  <si>
    <t>010F311260230D47</t>
  </si>
  <si>
    <t>Recall request [20260126-500227-001] - Debit approval required (Global E-Payment Limited/EUR 97/010F311260230LZC)</t>
  </si>
  <si>
    <t>010F311260230LZC</t>
  </si>
  <si>
    <t>Recall request [20260126-500227-001] - Debit approval required (Global E-Payment Limited/EUR 55/010F311260230D45)</t>
  </si>
  <si>
    <t>010F311260230D45</t>
  </si>
  <si>
    <t>Recall request [20260126-500227-001] - Debit approval required (Global E-Payment Limited/EUR 63/010F311260230LZY)</t>
  </si>
  <si>
    <t>010F311260230LZY</t>
  </si>
  <si>
    <t>Recall request [20260126-500227-001] - Debit approval required (Global E-Payment Limited/EUR 85/010F311260230CDB)</t>
  </si>
  <si>
    <t>010F311260230CDB</t>
  </si>
  <si>
    <t>Recall request [20260126-500227-001] - Debit approval required (Global E-Payment Limited/EUR 153/010F311260230CX6)</t>
  </si>
  <si>
    <t>010F311260230CX6</t>
  </si>
  <si>
    <t>Recall request [20260126-500227-001] - Debit approval required (Global E-Payment Limited/EUR 45/010F311260230LUV)</t>
  </si>
  <si>
    <t>010F311260230LUV</t>
  </si>
  <si>
    <t>Recall request [20260126-500227-001] - Debit approval required (Global E-Payment Limited/EUR 105/010F311260230M3F)</t>
  </si>
  <si>
    <t>010F311260230M3F</t>
  </si>
  <si>
    <t>Recall request [20260126-500227-001] - Debit approval required (Global E-Payment Limited/EUR 35/010F311260230M5Y)</t>
  </si>
  <si>
    <t>010F311260230M5Y</t>
  </si>
  <si>
    <t>Recall request [20260126-500227-001] - Debit approval required (Global E-Payment Limited/EUR 57/010F311260230M0L)</t>
  </si>
  <si>
    <t>010F311260230M0L</t>
  </si>
  <si>
    <t>Recall request [20260126-500227-001] - Debit approval required (Global E-Payment Limited/EUR 60/010F311260230M15)</t>
  </si>
  <si>
    <t>010F311260230M15</t>
  </si>
  <si>
    <t>Recall request [20260126-500227-001] - Debit approval required (Global E-Payment Limited/EUR 30/010F311260230LVS)</t>
  </si>
  <si>
    <t>010F311260230LVS</t>
  </si>
  <si>
    <t>Recall request [20260126-500227-001] - Debit approval required (Global E-Payment Limited/EUR 40/010F311260230LYS)</t>
  </si>
  <si>
    <t>010F311260230LYS</t>
  </si>
  <si>
    <t>Recall request [20260126-500227-001] - Debit approval required (Global E-Payment Limited/EUR 110/010F311260230LRF)</t>
  </si>
  <si>
    <t>010F311260230LRF</t>
  </si>
  <si>
    <t>Recall request [20260126-500227-001] - Debit approval required (Global E-Payment Limited/EUR 60/010F311260230M5C)</t>
  </si>
  <si>
    <t>010F311260230M5C</t>
  </si>
  <si>
    <t>Recall request [20260126-500227-001] - Debit approval required (Global E-Payment Limited/EUR 68/010F311260230M9U)</t>
  </si>
  <si>
    <t>010F311260230M9U</t>
  </si>
  <si>
    <t>Recall request [20260126-500227-001] - Debit approval required (Global E-Payment Limited/EUR 107/010F311260230CLG)</t>
  </si>
  <si>
    <t>010F311260230CLG</t>
  </si>
  <si>
    <t>Recall request [REVITR26012294202999892] - Debit approval required (Global E-Payment Limited/EUR 50/010F345260220V7H)</t>
  </si>
  <si>
    <t>010F345260220V7H</t>
  </si>
  <si>
    <t>Rehaan Saleem</t>
  </si>
  <si>
    <t>商户已发货，与买家沟通撤销召回，因此拒绝</t>
  </si>
  <si>
    <t>Recall request [IS21AGENODEFF30D656F3009F865C] - Debit approval required (Global E-Payment Limited/EUR 40000/010F345260160T9S)</t>
  </si>
  <si>
    <t>010F345260160T9S</t>
  </si>
  <si>
    <t>Hans-Peter u. Siglinde Steinberg</t>
  </si>
  <si>
    <t>商户已发货，买家不回消息，已货物签收证明，拒绝召回</t>
  </si>
  <si>
    <t>Recall request [20260128-000409-001] - Debit approval required (Global E-Payment Limited/EUR 49560/010F311253520S5A)</t>
  </si>
  <si>
    <t>5181250818046415418</t>
  </si>
  <si>
    <t>阳泉皓清电子商务有限公司</t>
  </si>
  <si>
    <t>010F311253520S5A</t>
  </si>
  <si>
    <t>L W IMPORT EXPORT SRL</t>
  </si>
  <si>
    <t>Recall request [20260128-000409-001] - Debit approval required (Global E-Payment Limited/EUR 49800/010F311253520S26)</t>
  </si>
  <si>
    <t>010F311253520S26</t>
  </si>
  <si>
    <t>Recall request [20260128-500509-001] - Debit approval required (Global E-Payment Limited/EUR 38000/010F311253390ZRG)</t>
  </si>
  <si>
    <t>010F311253390ZRG</t>
  </si>
  <si>
    <t>Recall request [20260130-500638-001] - Debit approval required (Global E-Payment Limited/EUR 150000/010F3112602378C5)</t>
  </si>
  <si>
    <t>010F3112602378C5</t>
  </si>
  <si>
    <t>ARTURO SANCHEZ GONZALEZ</t>
  </si>
  <si>
    <t>本笔交易已发起退款</t>
  </si>
  <si>
    <t>Recall request [20260130-500776-001] - Debit approval required (Global E-Payment Limited/EUR 32067.5/010F311253571W05)</t>
  </si>
  <si>
    <t>010F311253571W05</t>
  </si>
  <si>
    <t>TECK SERVICE SOCIETA. A</t>
  </si>
  <si>
    <t>Recall request [20260130-002469-001] - Debit approval required (Global E-Payment Limited/EUR 26807.4/010F3112535112A9)</t>
  </si>
  <si>
    <t>010F3112535112A9</t>
  </si>
  <si>
    <t>A ZETA SERVICE SOCIETA' A RESPONSABILITA' LIMITATA</t>
  </si>
  <si>
    <t>客户通过付款退回</t>
  </si>
  <si>
    <t>Recall request [20260130-002469-001] - Debit approval required (Global E-Payment Limited/EUR 33755.9/010F311253501EG1)</t>
  </si>
  <si>
    <t>010F311253501EG1</t>
  </si>
  <si>
    <t>Recall request [20260130-002469-001] - Debit approval required (Global E-Payment Limited/EUR 28660.5/010F311253576QZQ)</t>
  </si>
  <si>
    <t>5181250723045197958</t>
  </si>
  <si>
    <t>永济市聪匠电子商务有限公司</t>
  </si>
  <si>
    <t>010F311253576QZQ</t>
  </si>
  <si>
    <t>A ZETA SERVICE SOCIETA. A</t>
  </si>
  <si>
    <t>Recall request [20260202-700139-001] - Debit approval required (Global E-Payment Limited/EUR 38/010F311260267GGE)</t>
  </si>
  <si>
    <t>5181260114055115468</t>
  </si>
  <si>
    <t>张凯琳</t>
  </si>
  <si>
    <t>010F311260267GGE</t>
  </si>
  <si>
    <t>Recall request [REVITR26012920998854193] - Debit approval required (Global E-Payment Limited/EUR 120/010F345260291Q29)</t>
  </si>
  <si>
    <t>010F345260291Q29</t>
  </si>
  <si>
    <t>David Corbett</t>
  </si>
  <si>
    <t>Recall request [REVITR26013023386961034] - Debit approval required (Global E-Payment Limited/EUR 10/010F3452603012QV)</t>
  </si>
  <si>
    <t>010F3452603012QV</t>
  </si>
  <si>
    <t>Recall request [C6A28PGEU29LPU0J] - Debit approval required (Global E-Payment Limited/EUR 300/010F345260281MNU)</t>
  </si>
  <si>
    <t>010F345260281MNU</t>
  </si>
  <si>
    <t>JOANNES DE WILDE</t>
  </si>
  <si>
    <t>Recall request [20260203-700126-001] - Debit approval required (Global E-Payment Limited/EUR 29765.45/010F311253422GOS)</t>
  </si>
  <si>
    <t>010F311253422GOS</t>
  </si>
  <si>
    <t>VISION SRL SEMPLIFICATA</t>
  </si>
  <si>
    <t>Recall request [20260203-700126-001] - Debit approval required (Global E-Payment Limited/EUR 29589.96/010F311253422FRI)</t>
  </si>
  <si>
    <t>010F311253422FRI</t>
  </si>
  <si>
    <t>Recall request [20260203-700126-001] - Debit approval required (Global E-Payment Limited/EUR 29485.38/010F311253422G4P)</t>
  </si>
  <si>
    <t>010F311253422G4P</t>
  </si>
  <si>
    <t>Recall request [20260203-700126-001] - Debit approval required (Global E-Payment Limited/EUR 29865.45/010F311253422HO8)</t>
  </si>
  <si>
    <t>010F311253422HO8</t>
  </si>
  <si>
    <t>Recall request [20260203-700126-001] - Debit approval required (Global E-Payment Limited/EUR 29987.65/010F311253422F1G)</t>
  </si>
  <si>
    <t>5181251112051476518</t>
  </si>
  <si>
    <t>广州旭影科技有限公司</t>
  </si>
  <si>
    <t>010F311253422F1G</t>
  </si>
  <si>
    <t>Recall request [20260203-700126-001] - Debit approval required (Global E-Payment Limited/EUR 29485.36/010F311253422FVI)</t>
  </si>
  <si>
    <t>010F311253422FVI</t>
  </si>
  <si>
    <t>Recall request [20260203-700126-001] - Debit approval required (Global E-Payment Limited/EUR 29398.85/010F311253422G9C)</t>
  </si>
  <si>
    <t>010F311253422G9C</t>
  </si>
  <si>
    <t>Recall request [1849937510703625ZL0160003200IT] - Debit approval required (Global E-Payment Limited/EUR 19830/010F331253510070)</t>
  </si>
  <si>
    <t>回复超时</t>
  </si>
  <si>
    <t>010F331253510070</t>
  </si>
  <si>
    <t>TI.GI. S.R.L.</t>
  </si>
  <si>
    <t>Recall request [20260205-500828-001] - Debit approval required (Global E-Payment Limited/EUR 23600/010F3112535110SC)</t>
  </si>
  <si>
    <t>010F3112535110SC</t>
  </si>
  <si>
    <t>FIORE GIANLUCA</t>
  </si>
  <si>
    <t>Recall Request 010F3292530700PD BC:063711178</t>
  </si>
  <si>
    <t>010F3292530700PD</t>
  </si>
  <si>
    <t>LIGHTLABEL ELECTRICITY APS</t>
  </si>
  <si>
    <t>Recall request [20260209-500512-001] - Debit approval required (Global E-Payment Limited/EUR 105.38/010F311260350X30)</t>
  </si>
  <si>
    <t>5181260130055926228</t>
  </si>
  <si>
    <t>林炜鑫</t>
  </si>
  <si>
    <t>010F311260350X30</t>
  </si>
  <si>
    <t>Recall request [20260209-500512-001] - Debit approval required (Global E-Payment Limited/EUR 169.96/010F311260350RSQ)</t>
  </si>
  <si>
    <t>010F311260350RSQ</t>
  </si>
  <si>
    <t>Recall request [20260209-500512-001] - Debit approval required (Global E-Payment Limited/EUR 157.03/010F311260350X5U)</t>
  </si>
  <si>
    <t>010F311260350X5U</t>
  </si>
  <si>
    <t>销售已确认，允许从关联账户中退款</t>
  </si>
  <si>
    <t>Recall request [20260209-500512-001] - Debit approval required (Global E-Payment Limited/EUR 154.46/010F311260350S5O)</t>
  </si>
  <si>
    <t>010F311260350S5O</t>
  </si>
  <si>
    <t>Recall request [20260209-500512-001] - Debit approval required (Global E-Payment Limited/EUR 147.99/010F311260350WXH)</t>
  </si>
  <si>
    <t>010F311260350WXH</t>
  </si>
  <si>
    <t>Recall request [20260209-500512-001] - Debit approval required (Global E-Payment Limited/EUR 146.99/010F311260350WZD)</t>
  </si>
  <si>
    <t>010F311260350WZD</t>
  </si>
  <si>
    <t>Recall request [20260209-500512-001] - Debit approval required (Global E-Payment Limited/EUR 153.09/010F311260350RTY)</t>
  </si>
  <si>
    <t>010F311260350RTY</t>
  </si>
  <si>
    <t>Recall request [0101805360201030] - Debit approval required (Global E-Payment Limited/EUR 49800.83/010F3312535000AF)</t>
  </si>
  <si>
    <t>010F3312535000AF</t>
  </si>
  <si>
    <t>FIESSO MODA DI JI HAIFEN</t>
  </si>
  <si>
    <t>Recall request [0101808400701030] - Debit approval required (Global E-Payment Limited/EUR 30000/010F3312535000FO)</t>
  </si>
  <si>
    <t>010F3312535000FO</t>
  </si>
  <si>
    <t>Recall request [0101790381201030] - Debit approval required (Global E-Payment Limited/EUR 45000/010F3312534600BC)</t>
  </si>
  <si>
    <t>010F3312534600BC</t>
  </si>
  <si>
    <t>Recall request [0101802110201030] - Debit approval required (Global E-Payment Limited/EUR 49250/010F3312534900G5)</t>
  </si>
  <si>
    <t>010F3312534900G5</t>
  </si>
  <si>
    <t>Recall request [0101806231101030] - Debit approval required (Global E-Payment Limited/EUR 43500/010F3312535000C2)</t>
  </si>
  <si>
    <t>010F3312535000C2</t>
  </si>
  <si>
    <t>Recall request [0101811181201030] - Debit approval required (Global E-Payment Limited/EUR 48500/010F33125351006S)</t>
  </si>
  <si>
    <t>010F33125351006S</t>
  </si>
  <si>
    <t>Recall request [0101813960401030] - Debit approval required (Global E-Payment Limited/EUR 49708/010F3312535100A7)</t>
  </si>
  <si>
    <t>010F3312535100A7</t>
  </si>
  <si>
    <t>Recall request [0101814161101030] - Debit approval required (Global E-Payment Limited/EUR 50000/010F3312535100AH)</t>
  </si>
  <si>
    <t>010F3312535100AH</t>
  </si>
  <si>
    <t>M.R.I. S.R.L. UNIPERSONALE</t>
  </si>
  <si>
    <t>Recall request [0101814561201030] - Debit approval required (Global E-Payment Limited/EUR 31000/010F3312535100AW)</t>
  </si>
  <si>
    <t>010F3312535100AW</t>
  </si>
  <si>
    <t>Recall request [0101813610801030] - Debit approval required (Global E-Payment Limited/EUR 50000/010F331253510098)</t>
  </si>
  <si>
    <t>010F331253510098</t>
  </si>
  <si>
    <t>F.A. RENT SOCIETA' A</t>
  </si>
  <si>
    <t>Recall request [20260210-600287-001] - Debit approval required (Global E-Payment Limited/EUR 15000/010F3332535100ZJ)</t>
  </si>
  <si>
    <t>010F3332535100ZJ</t>
  </si>
  <si>
    <t>F.A. RENT SOCIETA. A</t>
  </si>
  <si>
    <t>Recall request [20260210-600287-001] - Debit approval required (Global E-Payment Limited/EUR 15000/010F3332535100ZS)</t>
  </si>
  <si>
    <t>010F3332535100ZS</t>
  </si>
  <si>
    <t>Recall request [20260210-600731-001] - Debit approval required (Global E-Payment Limited/EUR 19999/010F311260156DF8)</t>
  </si>
  <si>
    <t>010F311260156DF8</t>
  </si>
  <si>
    <t>Dipl.-Ing. Gerhard Diedrich</t>
  </si>
  <si>
    <t>Fw: APP Fraud Reimbursement Claim Ref. Nr. 58171083</t>
  </si>
  <si>
    <t>010F346260021B9T</t>
  </si>
  <si>
    <t>Christopher Thomas Christian</t>
  </si>
  <si>
    <t>Recall request [20260216-600852-001] - Debit approval required (Global E-Payment Limited/EUR 12000/010F31126019I1UC)</t>
  </si>
  <si>
    <t>010F31126019I1UC</t>
  </si>
  <si>
    <t>Simon Aaron</t>
  </si>
  <si>
    <t>Recall request [20260217-500263-001] - Debit approval required (Global E-Payment Limited/EUR 50/010F311260410Z5R)</t>
  </si>
  <si>
    <t>5181251206052933858</t>
  </si>
  <si>
    <t>黄辉</t>
  </si>
  <si>
    <t>010F311260410Z5R</t>
  </si>
  <si>
    <t>Recall request [20260217-500263-001] - Debit approval required (Global E-Payment Limited/EUR 50/010F311260410Z8S)</t>
  </si>
  <si>
    <t>010F311260410Z8S</t>
  </si>
  <si>
    <t>Recall request [20260217-500263-001] - Debit approval required (Global E-Payment Limited/EUR 48/010F311260410ZF3)</t>
  </si>
  <si>
    <t>010F311260410ZF3</t>
  </si>
  <si>
    <t>Recall request [20260217-500263-001] - Debit approval required (Global E-Payment Limited/EUR 50/010F311260410X2W)</t>
  </si>
  <si>
    <t>010F311260410X2W</t>
  </si>
  <si>
    <t>Recall request [6CP3683129221602] - Debit approval required (Global E-Payment Limited/EUR 1471.25/010F31126040L826)
关联邮件：Recall request [20260226-600920-001] - Debit approval required (Global E-Payment Limited/EUR 1471.25/010F31126040L826)</t>
  </si>
  <si>
    <t>5181260129055888838</t>
  </si>
  <si>
    <t>厦门德莱诺包袋有限公司</t>
  </si>
  <si>
    <t>010F31126040L826</t>
  </si>
  <si>
    <t>SEVEN SPORT S.R.O.</t>
  </si>
  <si>
    <t>FW: 081159111 - indemnity request letter - banking circle BC(2266101)
其他关联邮件：FW: 081159111 - indemnity request letter - banking circle - chaser 2 BC(2336467)</t>
  </si>
  <si>
    <t>010F3152529600MI</t>
  </si>
  <si>
    <t>付款退</t>
  </si>
  <si>
    <t>Recall request [IS21AGENODEFF30D656F3009C47ED] - Debit approval required (Global E-Payment Limited/EUR 49970/010F345260151GXV)</t>
  </si>
  <si>
    <t>010F345260151GXV</t>
  </si>
  <si>
    <t>Lucia Forro</t>
  </si>
  <si>
    <t>Fw: APP Fraud Reimbursement Claim Ref. Nr. 0000B3gboBhIL3SPiEvgEV</t>
  </si>
  <si>
    <t>5181251208053169328</t>
  </si>
  <si>
    <t>莆田市振逸顺贸易有限公司</t>
  </si>
  <si>
    <t>010F346260370YON</t>
  </si>
  <si>
    <t>O Awosan</t>
  </si>
  <si>
    <t>APP Fraud Reimbursement Claim Ref. Nr. 7712349503
关联邮件：APP Fraud Reimbursement Claim Ref. Nr. 1282340</t>
  </si>
  <si>
    <t>5181260116055240388</t>
  </si>
  <si>
    <t>林金地</t>
  </si>
  <si>
    <t>010F346260340NG2</t>
  </si>
  <si>
    <t>Daro Omar</t>
  </si>
  <si>
    <t>INWARD PAYMENTS OF CUSTOMER : GLOBAL E-PAYMENT LIMITED REF. 1513IT0489924</t>
  </si>
  <si>
    <t>1513IT0489924</t>
  </si>
  <si>
    <t>ET LLC</t>
  </si>
  <si>
    <t>trade dispute，战争原因空运换海运</t>
  </si>
  <si>
    <t>recall request [20260317-001487-001] - Debit approval required (Global E-Payment Limited/EUR 2000/010F3112602221OD)</t>
  </si>
  <si>
    <t>010F3112602221OD</t>
  </si>
  <si>
    <t>Hr R Swam</t>
  </si>
  <si>
    <t>RE: INWARD PAYMENTS OF CUSTOMER : GLOBAL E-PAYMENT LIMITED</t>
  </si>
  <si>
    <t>1513IT0540828</t>
  </si>
  <si>
    <t>DINTUN INDUSTRIAL CO., LIMITED</t>
  </si>
  <si>
    <t>1513IT0541244</t>
  </si>
  <si>
    <t>1513IT0542165</t>
  </si>
  <si>
    <t>1513IT0542694</t>
  </si>
  <si>
    <t>1513IT0555070</t>
  </si>
  <si>
    <t>1513IT0556073</t>
  </si>
  <si>
    <t>1513IT0556505</t>
  </si>
  <si>
    <t>1513IT0556548</t>
  </si>
  <si>
    <t>1513IT0556900</t>
  </si>
  <si>
    <t>1513IT0556951</t>
  </si>
  <si>
    <t>1513IT0557771</t>
  </si>
  <si>
    <t>1513IT0557814</t>
  </si>
  <si>
    <t>1513IT0578998</t>
  </si>
  <si>
    <t>1513IT0579513</t>
  </si>
  <si>
    <t>1513IT0579906</t>
  </si>
  <si>
    <t>1513IT0612118</t>
  </si>
  <si>
    <t>1513IT0612318</t>
  </si>
  <si>
    <t>1513IT0579465</t>
  </si>
  <si>
    <t>Recall request [7464018005190326] - Debit approval required (Global E-Payment Limited/DKK 4550.06/010F33526078001W)</t>
  </si>
  <si>
    <t>5181260313057775748</t>
  </si>
  <si>
    <t>FUTEY TECHNOLOGY LIMITED</t>
  </si>
  <si>
    <t>010F33526078001W</t>
  </si>
  <si>
    <t>RAMIREZ DOMINGUEZ JOSE CARLOS</t>
  </si>
  <si>
    <t>Recall Fund under Customer : GLOBAL E-PAYMENT LIMITED REF. 1513II8552734</t>
  </si>
  <si>
    <t>5181240625011367628</t>
  </si>
  <si>
    <t>Little Pig Tech Limited</t>
  </si>
  <si>
    <t>1513II8552734</t>
  </si>
  <si>
    <t>CLOUDKEY TECHNOLOGY HK LIMITED</t>
  </si>
  <si>
    <t>林劲/Honor Global Markets Limited</t>
  </si>
  <si>
    <t>Recall request [20260422-700815-001] - Debit approval required (Global E-Payment Limited/EUR 147.76/010F311260861TB4)</t>
  </si>
  <si>
    <t>5181240331002889788</t>
  </si>
  <si>
    <t>广州柳哩电子有限公司</t>
  </si>
  <si>
    <t>010F311260861TB4</t>
  </si>
  <si>
    <t>Recall request [20260422-700815-001] - Debit approval required (Global E-Payment Limited/EUR 55.71/010F31126089684N)</t>
  </si>
  <si>
    <t>010F31126089684N</t>
  </si>
  <si>
    <t>Fraud DIVI-8922504605 Wire $9,980 wire date 3.9.26</t>
  </si>
  <si>
    <t>5181251127052353308</t>
  </si>
  <si>
    <t>玄洲科技有限公司</t>
  </si>
  <si>
    <t>20260309MMQFMP2U010260</t>
  </si>
  <si>
    <t>ASHLEY VERTEX LLC</t>
  </si>
  <si>
    <t>同付款人的第三笔款项，事中已审核拒绝并退款</t>
  </si>
  <si>
    <t>Reminder: recall request [20260422-800656-001] - Debit approval required (Global E-Payment Limited/EUR 72.63/010F3112608968JE)</t>
  </si>
  <si>
    <t>010F3112608968JE</t>
  </si>
  <si>
    <t>Reminder: recall request [20260422-800656-001] - Debit approval required (Global E-Payment Limited/EUR 68.69/010F311261060HSA)</t>
  </si>
  <si>
    <t>5181240604003611398</t>
  </si>
  <si>
    <t>莆田市格瑞途贸易有限公司</t>
  </si>
  <si>
    <t>010F311261060HSA</t>
  </si>
  <si>
    <t>Reminder: recall request [20260422-800656-001] - Debit approval required (Global E-Payment Limited/EUR 215.85/010F311260976O2F)</t>
  </si>
  <si>
    <t>010F311260976O2F</t>
  </si>
  <si>
    <t>Reminder: recall request [20260422-800656-001] - Debit approval required (Global E-Payment Limited/EUR 65/010F311260990QQ8)</t>
  </si>
  <si>
    <t>010F311260990QQ8</t>
  </si>
  <si>
    <t>Reminder: recall request [20260422-800656-001] - Debit approval required (Global E-Payment Limited/EUR 61.8/010F311260920PT8)</t>
  </si>
  <si>
    <t>5181250520041697248</t>
  </si>
  <si>
    <t>天津崇胜辉科技有限公司</t>
  </si>
  <si>
    <t>010F311260920PT8</t>
  </si>
  <si>
    <t>Reminder: recall request [20260422-800656-001] - Debit approval required (Global E-Payment Limited/EUR 1.08/010F311261035FEL)</t>
  </si>
  <si>
    <t>010F311261035FEL</t>
  </si>
  <si>
    <t>Reminder: recall request [20260422-800656-001] - Debit approval required (Global E-Payment Limited/EUR 56.04/010F311261034U0I)</t>
  </si>
  <si>
    <t>010F311261034U0I</t>
  </si>
  <si>
    <t>Reminder: recall request [20260422-800656-001] - Debit approval required (Global E-Payment Limited/EUR 216.8/010F311260975S4B)</t>
  </si>
  <si>
    <t>010F311260975S4B</t>
  </si>
  <si>
    <t>Reminder: recall request [20260422-800656-001] - Debit approval required (Global E-Payment Limited/EUR 66.31/010F311261050RKU)</t>
  </si>
  <si>
    <t>010F311261050RKU</t>
  </si>
  <si>
    <t>Reminder: recall request [20260422-800656-001] - Debit approval required (Global E-Payment Limited/EUR 7.82/010F311261035EQ0)</t>
  </si>
  <si>
    <t>010F311261035EQ0</t>
  </si>
  <si>
    <t>Fwd: Re: FRAUD Debit Authorization Request - JPM -TELEWARE TRADING LIMITED - tr. ID 20273194 - USD 435.00[#69730][#69770][#69831]</t>
  </si>
  <si>
    <t>独立站-美元</t>
  </si>
  <si>
    <t>ELNAZ ANJOM</t>
  </si>
  <si>
    <t>2603250022788380623</t>
  </si>
  <si>
    <t>Fwd: Re: FRAUD Debit Authorization Request - JPM -TELEWARE TRADING LIMITED - tr. ID 20269314- USD 205.00[#69729][#69767][#69830]</t>
  </si>
  <si>
    <t>2603242157788188758</t>
  </si>
  <si>
    <t>Fwd: Re: FRAUD Debit Authorization Request - JPM -TELEWARE TRADING LIMITED - tr. ID 20271097- USD 341.00[#69726][#69764][#69829]</t>
  </si>
  <si>
    <t>2603242247788350515</t>
  </si>
  <si>
    <t>[BULK Email] 跨境合规 Auto Reply Fwd: Re: FRAUD Debit Authorization Request - JPM - client name -TELEWARE TRADING LIMITED tr. ID 20272330 - amount 155.00 - currency USD - case number 69725[#69736][#69828]</t>
  </si>
  <si>
    <t>2603242337788380601</t>
  </si>
  <si>
    <t>Recall request [20260504-800339-001] - Debit approval required (Global E-Payment Limited/EUR 217.99/010F311261181S18)</t>
  </si>
  <si>
    <t>5181240809020539748</t>
  </si>
  <si>
    <t>魏智伟</t>
  </si>
  <si>
    <t>Wallapop欧洲站-EUR</t>
  </si>
  <si>
    <t>010F311261181S18</t>
  </si>
  <si>
    <t>Recall request [20260504-800339-001] - Debit approval required (Global E-Payment Limited/EUR 134/010F311261181SL0)</t>
  </si>
  <si>
    <t>010F311261181SL0</t>
  </si>
  <si>
    <t>Recall request [20260504-800339-001] - Debit approval required (Global E-Payment Limited/EUR 150/010F311261181SNP)</t>
  </si>
  <si>
    <t>010F311261181SNP</t>
  </si>
  <si>
    <t>Recall request [20260504-800339-001] - Debit approval required (Global E-Payment Limited/EUR 185/010F311261181T2F)</t>
  </si>
  <si>
    <t>010F311261181T2F</t>
  </si>
  <si>
    <t>Recall request [20260504-800339-001] - Debit approval required (Global E-Payment Limited/EUR 139.99/010F311261181SN2)</t>
  </si>
  <si>
    <t>010F311261181SN2</t>
  </si>
  <si>
    <t>Recall request [20260504-800339-001] - Debit approval required (Global E-Payment Limited/EUR 150/010F311261181T45)</t>
  </si>
  <si>
    <t>010F311261181T45</t>
  </si>
  <si>
    <t>Recall request [20260504-800339-001] - Debit approval required (Global E-Payment Limited/EUR 209.26/010F311261181SG0)</t>
  </si>
  <si>
    <t>010F311261181SG0</t>
  </si>
  <si>
    <t>Recall request [20260504-800339-001] - Debit approval required (Global E-Payment Limited/EUR 135.96/010F311261181S4N)</t>
  </si>
  <si>
    <t>010F311261181S4N</t>
  </si>
  <si>
    <t>Recall request [20260512-700123-001] - Debit approval required (Global E-Payment Limited/EUR 227.18/010F31126124VFVU)</t>
  </si>
  <si>
    <t>wallapop</t>
  </si>
  <si>
    <t>010F31126124VFVU</t>
  </si>
  <si>
    <t>Recall request [20260512-700123-001] - Debit approval required (Global E-Payment Limited/EUR 227.18/010F31126124VFZS)</t>
  </si>
  <si>
    <t>010F31126124VFZS</t>
  </si>
  <si>
    <t>Recall request [20260512-700123-001] - Debit approval required (Global E-Payment Limited/EUR 225.99/010F31126124VFFR)</t>
  </si>
  <si>
    <t>010F31126124VFFR</t>
  </si>
  <si>
    <t>Recall request [20260512-700123-001] - Debit approval required (Global E-Payment Limited/EUR 225.99/010F31126124VGC1)</t>
  </si>
  <si>
    <t>010F31126124VGC1</t>
  </si>
  <si>
    <t>Recall request [20260512-700123-001] - Debit approval required (Global E-Payment Limited/EUR 228.62/010F31126124VFV0)</t>
  </si>
  <si>
    <t>010F31126124VFPQ</t>
  </si>
  <si>
    <t>010F31126124VFV0</t>
  </si>
  <si>
    <t>Recall request [20260512-700123-001] - Debit approval required (Global E-Payment Limited/EUR 227.18/010F31126124VFZU)</t>
  </si>
  <si>
    <t>010F31126124VFZU</t>
  </si>
  <si>
    <t>Recall request [20260512-700123-001] - Debit approval required (Global E-Payment Limited/EUR 230.28/010F31126124VFNW)</t>
  </si>
  <si>
    <t>010F31126124VFNW</t>
  </si>
  <si>
    <t>Recall request [20260512-700123-001] - Debit approval required (Global E-Payment Limited/EUR 226.98/010F31126124VG33)</t>
  </si>
  <si>
    <t>010F31126124VG33</t>
  </si>
  <si>
    <t>Recall request [20260512-700123-001] - Debit approval required (Global E-Payment Limited/EUR 196.48/010F31126124VFNU)</t>
  </si>
  <si>
    <t>010F31126124VFNU</t>
  </si>
  <si>
    <t>Recall request [20260512-700123-001] - Debit approval required (Global E-Payment Limited/EUR 229.02/010F31126124VFRK)</t>
  </si>
  <si>
    <t>010F31126124VFRK</t>
  </si>
  <si>
    <t>Recall request [20260512-700123-001] - Debit approval required (Global E-Payment Limited/EUR 205.37/010F31126124VG9E)</t>
  </si>
  <si>
    <t>010F31126124VG9E</t>
  </si>
  <si>
    <t>Recall request [20260512-700123-001] - Debit approval required (Global E-Payment Limited/EUR 231.49/010F31126124VFSK)</t>
  </si>
  <si>
    <t>010F31126124VFSK</t>
  </si>
  <si>
    <t>Recall request [20260512-700123-001] - Debit approval required (Global E-Payment Limited/EUR 228.98/010F31126124VG3K)</t>
  </si>
  <si>
    <t>010F31126124VG3K</t>
  </si>
  <si>
    <t>Recall request [20260512-700123-001] - Debit approval required (Global E-Payment Limited/EUR 232.32/010F31126124VFYJ)</t>
  </si>
  <si>
    <t>010F31126124VFYJ</t>
  </si>
  <si>
    <t>FW: APP Fraud Reimbursement Claim Ref. Nr. 1334005
关联：FW: New Report of a Scam</t>
  </si>
  <si>
    <t>010F3152608300WZ</t>
  </si>
  <si>
    <t>Bashir Yasir</t>
  </si>
  <si>
    <t>Recall request [20260513-600979-001] - Debit approval required (Global E-Payment Limited/EUR 1000/010F311260690UXQ)</t>
  </si>
  <si>
    <t xml:space="preserve">榮焰有限公司 </t>
  </si>
  <si>
    <t>010F311260690UXQ</t>
  </si>
  <si>
    <t>HULS ERIC</t>
  </si>
  <si>
    <t>Recall request [20260519-500483-001] - Debit approval required (Global E-Payment Limited/EUR 406.19/010F311261322ET3)</t>
  </si>
  <si>
    <t>5181250926048902008</t>
  </si>
  <si>
    <t>洪铭徽</t>
  </si>
  <si>
    <t>010F311261322ET3</t>
  </si>
  <si>
    <t>入账已审核拒绝</t>
  </si>
  <si>
    <t>Recall request [20260519-500483-001] - Debit approval required (Global E-Payment Limited/EUR 374.62/010F311261346HHX)</t>
  </si>
  <si>
    <t>010F311261346HHX</t>
  </si>
  <si>
    <t>Recall request [20260519-500483-001] - Debit approval required (Global E-Payment Limited/EUR 547.94/010F31126132703M)</t>
  </si>
  <si>
    <t>010F31126132703M</t>
  </si>
  <si>
    <t>Recall request [20260520-700368-001] - Debit approval required (Global E-Payment Limited/EUR 39.42/010F311261401IN9)</t>
  </si>
  <si>
    <t>5181260407059773858</t>
  </si>
  <si>
    <t>深圳市麦钫科技有限公司</t>
  </si>
  <si>
    <t>010F311261401IN9</t>
  </si>
  <si>
    <t>Roy Hunninghaus</t>
  </si>
  <si>
    <t>Recall request [20260521-600243-001] - Debit approval required (Global E-Payment Limited/EUR 450/010F311261186RLZ)</t>
  </si>
  <si>
    <t>5181220823002322238</t>
  </si>
  <si>
    <t>张光道</t>
  </si>
  <si>
    <t>Subito欧洲站-EUR</t>
  </si>
  <si>
    <t>010F311261186RLZ</t>
  </si>
  <si>
    <t>Recall request [20260521-001207-001] - Debit approval required (Global E-Payment Limited/EUR 50/010F31126131JNWI)</t>
  </si>
  <si>
    <t>010F31126131JNWI</t>
  </si>
  <si>
    <t>Recall request [20260522-800712-001] - Debit approval required (Global E-Payment Limited/EUR 402.21/010F31126139630H)</t>
  </si>
  <si>
    <t>010F31126139630H</t>
  </si>
  <si>
    <t xml:space="preserve">Mangopay </t>
  </si>
  <si>
    <t>FW: New Report of a Scam</t>
  </si>
  <si>
    <t>英国本土店-GBP</t>
  </si>
  <si>
    <t>010F3152608500NT</t>
  </si>
  <si>
    <t>Recall request [20260505460010I46078] - Debit approval required (Global E-Payment Limited/EUR 288/010F345261251TLJ)</t>
  </si>
  <si>
    <t>5181260323058543358</t>
  </si>
  <si>
    <t>瑞格林有限公司</t>
  </si>
  <si>
    <t>欧洲本土店-EUR(regalion)</t>
  </si>
  <si>
    <t>010F345261251TLJ</t>
  </si>
  <si>
    <t>MANNINEN ANTTI OLAVI</t>
  </si>
  <si>
    <t>Recall request [20260604-800827-001] - Debit approval required (Global E-Payment Limited/EUR 788/010F31126152QGSS)</t>
  </si>
  <si>
    <t>010F31126152QGSS</t>
  </si>
  <si>
    <t>PAUL GUNNAR STAFF</t>
  </si>
  <si>
    <t>Recall Fund under Customer : GLOBAL E-PAYMENT LIMITED REF. 1513II8884955</t>
  </si>
  <si>
    <t>5181251110051279818</t>
  </si>
  <si>
    <t>富汀機械（香港）有限公司</t>
  </si>
  <si>
    <t>同名充值</t>
  </si>
  <si>
    <t>1513II8884955</t>
  </si>
  <si>
    <t>FOLDING MACHINERY (HK) CO., LIMITED</t>
  </si>
  <si>
    <t>汇款司误点“取消付款”按钮，已向银行发出取消请求。
6.12 DBS通知忽略该recall邮件</t>
  </si>
  <si>
    <t>OpenPayd</t>
  </si>
  <si>
    <t>Fraud Notification(s) - 20260428-TRIY2P - QUNLAI YIN - Case 00414538</t>
  </si>
  <si>
    <t>f6fdefb8-7231-4a37-a302-dca21ce8d2c9</t>
  </si>
  <si>
    <t>Fraud Notification(s) - 20260428-DUMS6T - LAN HUA - Case 00414543</t>
  </si>
  <si>
    <t>7db038a8-74e1-45e8-b57e-bcdd64ff245c</t>
  </si>
  <si>
    <t>Fraud Notification(s) - 20260428-LY07IP - ZHANGZHANG QI - Case 00414545</t>
  </si>
  <si>
    <t>22ce977c-d836-4aad-8ce8-ba30ce7e0154</t>
  </si>
  <si>
    <t>Fraud Notification(s) - SHIYI KANG - Case 00414555</t>
  </si>
  <si>
    <t>1da2cf2d-3051-4d29-96de-1a4c849168ef</t>
  </si>
  <si>
    <t>7e9764bd-4451-4572-b2af-c0ccf597685c</t>
  </si>
  <si>
    <t>8a42196a-8d42-4877-b0a7-6ed3d6eeea4e</t>
  </si>
  <si>
    <t>Fraud Notification(s) - PALACE BIANHE - Case 00414559</t>
  </si>
  <si>
    <t>1c166dde-9444-4fbb-bb49-f52d5878d18e</t>
  </si>
  <si>
    <t>491c5994-82d2-453c-9663-7242382ca80e</t>
  </si>
  <si>
    <t>Recall request [09054754632972026] - Debit approval required (Global E-Payment Limited/EUR 68/010F345261541IDC)</t>
  </si>
  <si>
    <t>5181260302056849228</t>
  </si>
  <si>
    <t>柯建生</t>
  </si>
  <si>
    <t>独立站欧元-EUR</t>
  </si>
  <si>
    <t>010F345261541IDC</t>
  </si>
  <si>
    <t xml:space="preserve">Hadi Otman </t>
  </si>
  <si>
    <t>事前已退款（商户要求）</t>
  </si>
  <si>
    <t>Recall request [REVITR26060161273107969] - Debit approval required (Global E-Payment Limited/EUR 55/010F3332615900Q1)</t>
  </si>
  <si>
    <t>010F3332615900Q1</t>
  </si>
  <si>
    <t>Mohammad Hashmi</t>
  </si>
  <si>
    <t>Recall request [REVITR26060900667681048] - Debit approval required (Global E-Payment Limited/EUR 44/010F345261600K8Z)</t>
  </si>
  <si>
    <t>5181251105051021808</t>
  </si>
  <si>
    <t>广州市白云区栖乐互联网销售店（个体工商户</t>
  </si>
  <si>
    <t>010F345261600K8Z</t>
  </si>
  <si>
    <t>Thomas Cheded</t>
  </si>
  <si>
    <t>资金先入账并冻结10个工作日</t>
  </si>
  <si>
    <t>Fraud Notification(s) - 20260428-O9EW5N - LIYI QI - Case 00414628</t>
  </si>
  <si>
    <t>61d2c835-3ca1-43b7-8fd9-ec5c56e9272a</t>
  </si>
  <si>
    <t>Fraud Notification(s) - 20260428-BDPI2O - LAOLI WU - Case 00414632</t>
  </si>
  <si>
    <t>92f3792b-0f0a-45d9-b694-adbbc9c4d22d</t>
  </si>
  <si>
    <t>Fraud Notification(s) - 20260428-YMKM6I - QUANHAO WU - Case 00414652</t>
  </si>
  <si>
    <t>54a131b4-ef55-4dfa-a016-715b51fbcaab</t>
  </si>
  <si>
    <t>Fraud Notification(s) - 20260428-OQ4C43 - LICHI BU - Case 00414653</t>
  </si>
  <si>
    <t>63bce365-a556-4d2b-937e-745c4696dc83</t>
  </si>
  <si>
    <t>HKP260609-000012//HK5IL2606030048P//18,600.00/USD// RECALL FUND REQUEST</t>
  </si>
  <si>
    <t>5181231026001038638</t>
  </si>
  <si>
    <t>JJCK TRADING LIMITED</t>
  </si>
  <si>
    <t>渣打召回letter邮寄</t>
  </si>
  <si>
    <t>N60365945352</t>
  </si>
  <si>
    <t xml:space="preserve">MAXWAY RUBBER TRACK (HANGZHOU) LIMITED </t>
  </si>
  <si>
    <t>姜俊锋/HummingbirdIntercomsPtyLtd2</t>
  </si>
  <si>
    <t>Recall request [20260611-500907-001] - Debit approval required (Global E-Payment Limited/EUR 700/010F311261623ZQ7)</t>
  </si>
  <si>
    <t>5181260518065020068</t>
  </si>
  <si>
    <t>明德时代（山东）机械有限公司</t>
  </si>
  <si>
    <t>010F311261623ZQ7</t>
  </si>
  <si>
    <t>PAULO JORGE GONCALVES PEDROSA</t>
  </si>
  <si>
    <t>陈壮壮</t>
  </si>
  <si>
    <t>Fraud Notification(s) - 20260508-J3LFXJ - LiaoTing Liao - Case 00416000</t>
  </si>
  <si>
    <t>5181240426003244558</t>
  </si>
  <si>
    <t>吴春妹</t>
  </si>
  <si>
    <t>c0c0cca6-cee9-4c44-847a-23ddc2d27069</t>
  </si>
  <si>
    <t>客户同意召回 但账户无余额</t>
  </si>
  <si>
    <t>Fraud Notification(s) - 20260526-W5BGAB - ZHI BIN YAN - Case 00417807</t>
  </si>
  <si>
    <t>5181231001000886318</t>
  </si>
  <si>
    <t>严志滨</t>
  </si>
  <si>
    <t>c8ddb1b9-9668-4673-94b5-14bc302d5fb1</t>
  </si>
  <si>
    <t>账户无余额</t>
  </si>
  <si>
    <t>Recall request [REVITR26061532610371410] - Debit approval required (Global E-Payment Limited/EUR 685.89/010F3452616654K0)</t>
  </si>
  <si>
    <t>5181260526067413168</t>
  </si>
  <si>
    <t>允升科技有限公司</t>
  </si>
  <si>
    <t>010F3452616654K0</t>
  </si>
  <si>
    <t>Skirmantas Smailys</t>
  </si>
  <si>
    <t>资金未至风控，已原路退回</t>
  </si>
  <si>
    <t>Recall request [20260626-700351-001] - Debit approval required (Global E-Payment Limited/EUR 4200/010F31126117NRZL)</t>
  </si>
  <si>
    <t>010F31126117NRZL</t>
  </si>
  <si>
    <t>DHR. THIERRY GELDHOF</t>
  </si>
  <si>
    <t>Recall request [20260626-700351-001] - Debit approval required (Global E-Payment Limited/EUR 10/010F31126167947T)</t>
  </si>
  <si>
    <t>010F31126167947T</t>
  </si>
  <si>
    <t>HKP260623-000182//HK5IL26061800022//15,046.00/USD// RECALL FUND REQUEST</t>
  </si>
  <si>
    <t>5181250929049026708</t>
  </si>
  <si>
    <t>萬鼎泰有限公司</t>
  </si>
  <si>
    <t>1513OI1585941</t>
  </si>
  <si>
    <t>GLOBAL PAYMENT E-COMMERCE LIMITED</t>
  </si>
  <si>
    <t>姜俊锋/恒通香港通訊有限公司</t>
  </si>
  <si>
    <t>资金未至风控</t>
  </si>
  <si>
    <t>SCBHK - Global E-Payment Limited "Payful" - HKP260626-000231 // HK5IT260624003DD // 49,300.00/USD // RECALL FUND REQUEST</t>
  </si>
  <si>
    <t>OREO02512615645</t>
  </si>
  <si>
    <t>LONGCHEM INTERNATIONAL TRADING COMPANY LIMITED</t>
  </si>
  <si>
    <t>已提供汇款司发起取消召回的文件。与渠道确认 是否同样需要回寄letter 以及收款方电话是？</t>
  </si>
  <si>
    <t>INWARD PAYMENTS OF CUSTOMER : GLOBAL E-PAYMENT LIMITED REF. 1513IT1230975</t>
  </si>
  <si>
    <t>1513IT1230975</t>
  </si>
  <si>
    <t>SEOL SANGMIN(TRUSTEK)</t>
  </si>
  <si>
    <t>李坤严</t>
  </si>
  <si>
    <t>Create Time</t>
  </si>
  <si>
    <t>RFI标题</t>
  </si>
  <si>
    <t>调单结果/Action</t>
  </si>
  <si>
    <t>风控内部分析材料</t>
  </si>
  <si>
    <t>5181241009031312328</t>
  </si>
  <si>
    <t>榮迪國際贸易有限公司</t>
  </si>
  <si>
    <t>RFI-5181241009031312328-榮迪國際贸易有限公司</t>
  </si>
  <si>
    <t>收款人疑似命中制裁</t>
  </si>
  <si>
    <t>杨桂琴</t>
  </si>
  <si>
    <t>5181241103034583638</t>
  </si>
  <si>
    <t>义乌市杜杜妈饰品商行</t>
  </si>
  <si>
    <t>RFI-5181241103034583638-义乌市杜杜妈饰品商行</t>
  </si>
  <si>
    <t>张美珍</t>
  </si>
  <si>
    <t>5181240628012014748</t>
  </si>
  <si>
    <t>TOP BRIDAL PTE. LTD.</t>
  </si>
  <si>
    <t>【内部调单】5181240628012014748/TOP BRIDAL PTE. LTD.</t>
  </si>
  <si>
    <t>账户调查-洗钱风险</t>
  </si>
  <si>
    <t>同名充值，散钱给不同个人，CNY inbound</t>
  </si>
  <si>
    <t>5181231226001558718</t>
  </si>
  <si>
    <t>RENHE LIMITED</t>
  </si>
  <si>
    <t>【内部调单】5181231226001558718 - RENHE LIMITED</t>
  </si>
  <si>
    <t>rongding；材料可以；能提供sof的发票和物流，广告后台账户信息截图也能提供</t>
  </si>
  <si>
    <t>5181221102002742008</t>
  </si>
  <si>
    <t>香港佳煒航貿易有限公司</t>
  </si>
  <si>
    <t>【内部调单】5181221102002742008/香港佳煒航貿易有限公司</t>
  </si>
  <si>
    <t>贸易模式存疑</t>
  </si>
  <si>
    <t>高诗颖</t>
  </si>
  <si>
    <t>【内部调单】——5181240306002304098 香港威诺仕电子科技有限公司</t>
  </si>
  <si>
    <t>内部调单不通过，空运单，谈单材料造假，背后交易疑似涉俄。账户已经关户。</t>
  </si>
  <si>
    <t>5181230609000234538</t>
  </si>
  <si>
    <t>LPHADS, INC.</t>
  </si>
  <si>
    <t>【内部调单】5181230609000234538-LPHADS, INC.</t>
  </si>
  <si>
    <t>似服贸款通过wise同名划转至GEP，无法提供内部调单资料，已关户。</t>
  </si>
  <si>
    <t>5181240902024458678</t>
  </si>
  <si>
    <t>禹翔国际贸易有限公司</t>
  </si>
  <si>
    <t>【内部调单】—— 5181240902024458678 禹翔国际贸易有限公司</t>
  </si>
  <si>
    <t xml:space="preserve">交易对手方WELFULL GROUP CO.,LIMITED大额交易被触发，商户多标记为未发货，且到期后未及时补充物流文件。待事后调单。
商户提交了2412041509059365416结汇材料的物流文件，WELFULL INDUSTRIAL (HK) CO., LIMITED的公司注册文件。显示其董事为邵龙河。确认WELFULL INDUSTRIAL (HK) CO., LIMITED与 汇孚集团有限公司为关联公司。天眼查搜索汇孚集团有限公司，显示其是一家国有资本的进出口代理商。买家的背景可靠。
物流方面，商户提交了海运提单，报关单。后面又补充了报关单上发货人沈阳电祥进出口贸易有限公司与禹翔国际贸易有限公司之间的国际货运代理协议。鉴于买家的背景可靠，抽调交易中有一笔已经能够提供材料。综合评估后，本次调单通过。
</t>
  </si>
  <si>
    <t>5181240125001899798</t>
  </si>
  <si>
    <t>YEWEN INC</t>
  </si>
  <si>
    <t>【内部调单】5181240125001899798/YEWEN INC</t>
  </si>
  <si>
    <t>5181240418003143698</t>
  </si>
  <si>
    <t>香港瑞壹有限公司</t>
  </si>
  <si>
    <t>【内部调单】5181240418003143698 香港瑞壹有限公司</t>
  </si>
  <si>
    <t>5181241231036980208</t>
  </si>
  <si>
    <t>Massgom Pte. Ltd.</t>
  </si>
  <si>
    <t>【内部调单】5181241231036980208/Massgom Pte. Ltd.</t>
  </si>
  <si>
    <t>5181230224003206098</t>
  </si>
  <si>
    <t>UQPAY PTE.LTD.</t>
  </si>
  <si>
    <t>【内部调单】5181230224003206098 UQPAY PTE.LTD.</t>
  </si>
  <si>
    <r>
      <rPr>
        <sz val="10"/>
        <color rgb="FF267EF0"/>
        <rFont val="微软雅黑"/>
        <charset val="134"/>
      </rPr>
      <t>UQPAY结汇订单内部调单</t>
    </r>
  </si>
  <si>
    <t>【内部调单】5181231010000930808 刘佳翱</t>
  </si>
  <si>
    <t>隆升科技有限公司</t>
  </si>
  <si>
    <t>【内部调单】5181240307002338678 隆升科技有限公司</t>
  </si>
  <si>
    <t xml:space="preserve">【内部调单】5181250418040570078 DONGGUA TRADING CO., LIMITED &amp; 5181250418040561258 DALANG TRADING CO., LIMITED
</t>
  </si>
  <si>
    <t>【内部调单】5181250109037176228 ADF Media Limited</t>
  </si>
  <si>
    <t>疑似涉及虚拟货币</t>
  </si>
  <si>
    <r>
      <rPr>
        <sz val="10"/>
        <color rgb="FF267EF0"/>
        <rFont val="微软雅黑"/>
        <charset val="134"/>
      </rPr>
      <t>BYTECHIP LLC内部调单</t>
    </r>
  </si>
  <si>
    <t>【内部调单】5181230915000806438 纵展科技有限公司</t>
  </si>
  <si>
    <t xml:space="preserve">【内部调单】5181241014032026828 Flyingcard inc
</t>
  </si>
  <si>
    <t>【内部调单】5181250416040393978/Glacier Trade Limited</t>
  </si>
  <si>
    <t>汇兑</t>
  </si>
  <si>
    <t xml:space="preserve">【内部调单 2025-06-09】5181230224003206098 UQPAY PTE.LTD. </t>
  </si>
  <si>
    <t>RCPAY LIMITED代理商相关客户</t>
  </si>
  <si>
    <t>【内部调单 2025-06-10】RCPAY LIMITED代理商相关客户</t>
  </si>
  <si>
    <r>
      <rPr>
        <sz val="10"/>
        <color rgb="FF267EF0"/>
        <rFont val="微软雅黑"/>
        <charset val="134"/>
      </rPr>
      <t>RCPAY内部调单</t>
    </r>
  </si>
  <si>
    <t>【内部调单 2025-06-11】5181240520003431058 衢州市云端智能科技有限公司</t>
  </si>
  <si>
    <t>义乌市禾田机械商行（个体工商户）</t>
  </si>
  <si>
    <t>【内部调单】5181250325039427188-义乌市禾田机械商行（个体工商户）</t>
  </si>
  <si>
    <t>似间接涉俄</t>
  </si>
  <si>
    <t>内部要求，疑似间接涉俄，不配合调单已关停</t>
  </si>
  <si>
    <t>按月</t>
  </si>
  <si>
    <t>按双周</t>
  </si>
  <si>
    <t>邮件标题</t>
  </si>
  <si>
    <t>总表类型</t>
  </si>
  <si>
    <t>11月下</t>
  </si>
  <si>
    <t>KYC调单</t>
  </si>
  <si>
    <t>12月上</t>
  </si>
  <si>
    <t>12月下</t>
  </si>
  <si>
    <t>1月上</t>
  </si>
  <si>
    <t>1月下</t>
  </si>
  <si>
    <t>2月上</t>
  </si>
  <si>
    <t>2月下</t>
  </si>
  <si>
    <t>3月上</t>
  </si>
  <si>
    <t>3月下</t>
  </si>
  <si>
    <t>4月上</t>
  </si>
  <si>
    <t>4月下</t>
  </si>
  <si>
    <t>5月上</t>
  </si>
  <si>
    <t>5月下</t>
  </si>
  <si>
    <r>
      <t>[Revert by 22 May] RFI on VA name screening -ZHANG LEI</t>
    </r>
    <r>
      <rPr>
        <sz val="10"/>
        <color rgb="FF000000"/>
        <rFont val="等线"/>
        <charset val="134"/>
      </rPr>
      <t xml:space="preserve">  </t>
    </r>
    <r>
      <rPr>
        <sz val="10"/>
        <color rgb="FF000000"/>
        <rFont val="等线"/>
        <charset val="134"/>
      </rPr>
      <t>(GLOBAL E-PAYMENT LIMITED)</t>
    </r>
  </si>
  <si>
    <t>6月上</t>
  </si>
  <si>
    <r>
      <t xml:space="preserve">Case ID 3232159 RFI Inquiry 04.06.2025 for Wei Li Merchant name </t>
    </r>
    <r>
      <rPr>
        <sz val="10"/>
        <color rgb="FF000000"/>
        <rFont val="等线"/>
        <charset val="134"/>
      </rPr>
      <t xml:space="preserve">
</t>
    </r>
    <r>
      <rPr>
        <sz val="10"/>
        <color rgb="FF000000"/>
        <rFont val="等线"/>
        <charset val="134"/>
      </rPr>
      <t>Chengdu Penglv Trading Co Ltd assigned to VIBAN VIR0027876535</t>
    </r>
  </si>
  <si>
    <t>6月下</t>
  </si>
  <si>
    <r>
      <t>Temporary User Account: fileexchange.bankingcircle.com</t>
    </r>
    <r>
      <rPr>
        <sz val="10"/>
        <color rgb="FF000000"/>
        <rFont val="等线"/>
        <charset val="134"/>
      </rPr>
      <t xml:space="preserve">
</t>
    </r>
    <r>
      <rPr>
        <sz val="10"/>
        <color rgb="FF000000"/>
        <rFont val="等线"/>
        <charset val="134"/>
      </rPr>
      <t>Secure Subject: Global E-Payment Limited - BAFIN - 21.06.25</t>
    </r>
  </si>
  <si>
    <t>7月上</t>
  </si>
  <si>
    <t>7月下</t>
  </si>
  <si>
    <t>8月上</t>
  </si>
  <si>
    <r>
      <t>[Revert by 06-Aug]</t>
    </r>
    <r>
      <rPr>
        <sz val="10"/>
        <color rgb="FF000000"/>
        <rFont val="等线"/>
        <charset val="134"/>
      </rPr>
      <t xml:space="preserve">  </t>
    </r>
    <r>
      <rPr>
        <sz val="10"/>
        <color rgb="FF000000"/>
        <rFont val="等线"/>
        <charset val="134"/>
      </rPr>
      <t>RFI on VA name screening - CHEN WEI (GLOBAL E-PAYMENT LIMITED)</t>
    </r>
  </si>
  <si>
    <t>8月下</t>
  </si>
  <si>
    <r>
      <t>[Revert by 27-Aug] RFI on VA name screening - CHEN JIANG (GLOBAL E-PAYMENT LIMITED)</t>
    </r>
    <r>
      <rPr>
        <sz val="10"/>
        <color rgb="FF000000"/>
        <rFont val="等线"/>
        <charset val="134"/>
      </rPr>
      <t xml:space="preserve">
</t>
    </r>
  </si>
  <si>
    <t>9月上</t>
  </si>
  <si>
    <r>
      <t>[Revert by 3-Sep] RFI on VA name screening - xu tao (GLOBAL E-PAYMENT LIMITED)</t>
    </r>
    <r>
      <rPr>
        <sz val="10"/>
        <color rgb="FF000000"/>
        <rFont val="等线"/>
        <charset val="134"/>
      </rPr>
      <t xml:space="preserve">
</t>
    </r>
  </si>
  <si>
    <t>9月下</t>
  </si>
  <si>
    <t>10月上</t>
  </si>
  <si>
    <t>10月下</t>
  </si>
  <si>
    <t>11月上</t>
  </si>
  <si>
    <r>
      <t>5181260126055708948</t>
    </r>
    <r>
      <rPr>
        <sz val="10"/>
        <color rgb="FF000000"/>
        <rFont val="等线"/>
        <charset val="134"/>
      </rPr>
      <t xml:space="preserve">
</t>
    </r>
    <r>
      <rPr>
        <sz val="10"/>
        <color rgb="FF000000"/>
        <rFont val="等线"/>
        <charset val="134"/>
      </rPr>
      <t>5181260122055514808</t>
    </r>
  </si>
  <si>
    <r>
      <t>陈侨羽</t>
    </r>
    <r>
      <rPr>
        <sz val="10"/>
        <color rgb="FF000000"/>
        <rFont val="等线"/>
        <charset val="134"/>
      </rPr>
      <t xml:space="preserve">
</t>
    </r>
    <r>
      <rPr>
        <sz val="10"/>
        <color rgb="FF000000"/>
        <rFont val="等线"/>
        <charset val="134"/>
      </rPr>
      <t>香港米客貿易有限公司</t>
    </r>
  </si>
  <si>
    <r>
      <t>5181221011002601968</t>
    </r>
    <r>
      <rPr>
        <sz val="10"/>
        <color rgb="FF000000"/>
        <rFont val="等线"/>
        <charset val="134"/>
      </rPr>
      <t xml:space="preserve">
</t>
    </r>
    <r>
      <rPr>
        <sz val="10"/>
        <color rgb="FF000000"/>
        <rFont val="等线"/>
        <charset val="134"/>
      </rPr>
      <t>5181260211056334358</t>
    </r>
  </si>
  <si>
    <r>
      <t>周培鑫</t>
    </r>
    <r>
      <rPr>
        <sz val="10"/>
        <color rgb="FF000000"/>
        <rFont val="等线"/>
        <charset val="134"/>
      </rPr>
      <t xml:space="preserve">
</t>
    </r>
    <r>
      <rPr>
        <sz val="10"/>
        <color rgb="FF000000"/>
        <rFont val="等线"/>
        <charset val="134"/>
      </rPr>
      <t>IMPORTR.XYZ COMPANY LIMITED</t>
    </r>
  </si>
  <si>
    <t>[Revert by 17-Apr] RFI on VA name screening - Wu Jie (GLOBAL E-PAYMENT LIMITED)</t>
  </si>
  <si>
    <t>[Revert by 30-Apr] RFI on VA name screening - LI YANG (GLOBAL E-PAYMENT LIMITED)</t>
  </si>
  <si>
    <t>[Revert by 11-May] RFI on VA name screening - Liu Jie (GLOBAL E-PAYMENT LIMITED)</t>
  </si>
  <si>
    <t>柯珊龙</t>
  </si>
  <si>
    <t>单笔交易</t>
  </si>
  <si>
    <r>
      <t>PAYMENT ENQUIRY</t>
    </r>
    <r>
      <rPr>
        <sz val="10"/>
        <color rgb="FF000000"/>
        <rFont val="等线"/>
        <charset val="134"/>
      </rPr>
      <t xml:space="preserve">  </t>
    </r>
    <r>
      <rPr>
        <sz val="10"/>
        <color rgb="FF000000"/>
        <rFont val="等线"/>
        <charset val="134"/>
      </rPr>
      <t>REF 1513OT8767142</t>
    </r>
    <r>
      <rPr>
        <sz val="10"/>
        <color rgb="FF000000"/>
        <rFont val="等线"/>
        <charset val="134"/>
      </rPr>
      <t xml:space="preserve">  </t>
    </r>
    <r>
      <rPr>
        <sz val="10"/>
        <color rgb="FF000000"/>
        <rFont val="等线"/>
        <charset val="134"/>
      </rPr>
      <t>REMITTER: GLOBAL E-PAYMENT LIMITED</t>
    </r>
  </si>
  <si>
    <r>
      <t>For your action - GLOBAL E-PAYMENT LIMITED</t>
    </r>
    <r>
      <rPr>
        <sz val="10"/>
        <color rgb="FF000000"/>
        <rFont val="等线"/>
        <charset val="134"/>
      </rPr>
      <t xml:space="preserve">  </t>
    </r>
    <r>
      <rPr>
        <sz val="10"/>
        <color rgb="FF000000"/>
        <rFont val="等线"/>
        <charset val="134"/>
      </rPr>
      <t>73980.73 USD</t>
    </r>
  </si>
  <si>
    <r>
      <t>For your action - GLOBAL E-PAYMENT LIMITED 64875.98 USD</t>
    </r>
    <r>
      <rPr>
        <sz val="10"/>
        <color rgb="FF000000"/>
        <rFont val="等线"/>
        <charset val="134"/>
      </rPr>
      <t xml:space="preserve">
</t>
    </r>
  </si>
  <si>
    <r>
      <t>(For Your Action)</t>
    </r>
    <r>
      <rPr>
        <sz val="10"/>
        <color rgb="FF000000"/>
        <rFont val="等线"/>
        <charset val="134"/>
      </rPr>
      <t xml:space="preserve">  </t>
    </r>
    <r>
      <rPr>
        <sz val="10"/>
        <color rgb="FF000000"/>
        <rFont val="等线"/>
        <charset val="134"/>
      </rPr>
      <t>IDW - GLOBAL E-PAYMENT LIMITED USD 122,142.62</t>
    </r>
  </si>
  <si>
    <r>
      <t>[HKL In Ref]</t>
    </r>
    <r>
      <rPr>
        <sz val="10"/>
        <color rgb="FF000000"/>
        <rFont val="等线"/>
        <charset val="134"/>
      </rPr>
      <t xml:space="preserve">       </t>
    </r>
    <r>
      <rPr>
        <sz val="10"/>
        <color rgb="FF000000"/>
        <rFont val="等线"/>
        <charset val="134"/>
      </rPr>
      <t>CONFIRM CREDIT CURRENCY --</t>
    </r>
    <r>
      <rPr>
        <sz val="10"/>
        <color rgb="FF000000"/>
        <rFont val="等线"/>
        <charset val="134"/>
      </rPr>
      <t xml:space="preserve">   </t>
    </r>
    <r>
      <rPr>
        <sz val="10"/>
        <color rgb="FF000000"/>
        <rFont val="等线"/>
        <charset val="134"/>
      </rPr>
      <t>inward payment</t>
    </r>
    <r>
      <rPr>
        <sz val="10"/>
        <color rgb="FF000000"/>
        <rFont val="等线"/>
        <charset val="134"/>
      </rPr>
      <t xml:space="preserve">   </t>
    </r>
    <r>
      <rPr>
        <sz val="10"/>
        <color rgb="FF000000"/>
        <rFont val="等线"/>
        <charset val="134"/>
      </rPr>
      <t>-- GLOBAL E-PAYMENT LIMITED</t>
    </r>
    <r>
      <rPr>
        <sz val="10"/>
        <color rgb="FF000000"/>
        <rFont val="等线"/>
        <charset val="134"/>
      </rPr>
      <t xml:space="preserve">  </t>
    </r>
    <r>
      <rPr>
        <sz val="10"/>
        <color rgb="FF000000"/>
        <rFont val="等线"/>
        <charset val="134"/>
      </rPr>
      <t>-- 1513IT5008830008</t>
    </r>
  </si>
  <si>
    <r>
      <t>PAYMENT ENQUIRY</t>
    </r>
    <r>
      <rPr>
        <sz val="10"/>
        <color rgb="FF000000"/>
        <rFont val="等线"/>
        <charset val="134"/>
      </rPr>
      <t xml:space="preserve">  </t>
    </r>
    <r>
      <rPr>
        <sz val="10"/>
        <color rgb="FF000000"/>
        <rFont val="等线"/>
        <charset val="134"/>
      </rPr>
      <t>REF 1513OI9563715 REMITTER: GLOBAL E-PAYMENT LIMITED</t>
    </r>
  </si>
  <si>
    <r>
      <t>PAYMENT ENQUIRY</t>
    </r>
    <r>
      <rPr>
        <sz val="10"/>
        <color rgb="FF000000"/>
        <rFont val="等线"/>
        <charset val="134"/>
      </rPr>
      <t xml:space="preserve">  </t>
    </r>
    <r>
      <rPr>
        <sz val="10"/>
        <color rgb="FF000000"/>
        <rFont val="等线"/>
        <charset val="134"/>
      </rPr>
      <t>REF 1513OI9661113 REMITTER: GLOBAL E-PAYMENT LIMITED</t>
    </r>
  </si>
  <si>
    <r>
      <t>RFI Inquiry 11/06/2025 for Victor Felix</t>
    </r>
    <r>
      <rPr>
        <sz val="10"/>
        <color rgb="FF000000"/>
        <rFont val="等线"/>
        <charset val="134"/>
      </rPr>
      <t xml:space="preserve">  </t>
    </r>
    <r>
      <rPr>
        <sz val="10"/>
        <color rgb="FF000000"/>
        <rFont val="等线"/>
        <charset val="134"/>
      </rPr>
      <t>6601066600002810</t>
    </r>
  </si>
  <si>
    <r>
      <t>Returned Payment Under Ref:</t>
    </r>
    <r>
      <rPr>
        <sz val="10"/>
        <color rgb="FF000000"/>
        <rFont val="等线"/>
        <charset val="134"/>
      </rPr>
      <t xml:space="preserve">   </t>
    </r>
    <r>
      <rPr>
        <sz val="10"/>
        <color rgb="FF000000"/>
        <rFont val="等线"/>
        <charset val="134"/>
      </rPr>
      <t>1513OI9709477</t>
    </r>
    <r>
      <rPr>
        <sz val="10"/>
        <color rgb="FF000000"/>
        <rFont val="等线"/>
        <charset val="134"/>
      </rPr>
      <t xml:space="preserve">    </t>
    </r>
    <r>
      <rPr>
        <sz val="10"/>
        <color rgb="FF000000"/>
        <rFont val="等线"/>
        <charset val="134"/>
      </rPr>
      <t>GLOBAL E-PAYMENT LIMITED</t>
    </r>
  </si>
  <si>
    <r>
      <t>Returned Payment Under Ref:</t>
    </r>
    <r>
      <rPr>
        <sz val="10"/>
        <color rgb="FF000000"/>
        <rFont val="等线"/>
        <charset val="134"/>
      </rPr>
      <t xml:space="preserve">   </t>
    </r>
    <r>
      <rPr>
        <sz val="10"/>
        <color rgb="FF000000"/>
        <rFont val="等线"/>
        <charset val="134"/>
      </rPr>
      <t>1513OI9709471</t>
    </r>
    <r>
      <rPr>
        <sz val="10"/>
        <color rgb="FF000000"/>
        <rFont val="等线"/>
        <charset val="134"/>
      </rPr>
      <t xml:space="preserve">     </t>
    </r>
    <r>
      <rPr>
        <sz val="10"/>
        <color rgb="FF000000"/>
        <rFont val="等线"/>
        <charset val="134"/>
      </rPr>
      <t>GLOBAL E-PAYMENT LIMITED</t>
    </r>
  </si>
  <si>
    <r>
      <t>Returned Payment Under Ref:</t>
    </r>
    <r>
      <rPr>
        <sz val="10"/>
        <color rgb="FF000000"/>
        <rFont val="等线"/>
        <charset val="134"/>
      </rPr>
      <t xml:space="preserve">   </t>
    </r>
    <r>
      <rPr>
        <sz val="10"/>
        <color rgb="FF000000"/>
        <rFont val="等线"/>
        <charset val="134"/>
      </rPr>
      <t>1513OI9725135</t>
    </r>
    <r>
      <rPr>
        <sz val="10"/>
        <color rgb="FF000000"/>
        <rFont val="等线"/>
        <charset val="134"/>
      </rPr>
      <t xml:space="preserve">   </t>
    </r>
    <r>
      <rPr>
        <sz val="10"/>
        <color rgb="FF000000"/>
        <rFont val="等线"/>
        <charset val="134"/>
      </rPr>
      <t>GLOBAL E-PAYMENT LIMITED</t>
    </r>
  </si>
  <si>
    <r>
      <t>Re:</t>
    </r>
    <r>
      <rPr>
        <sz val="10"/>
        <color rgb="FF000000"/>
        <rFont val="等线"/>
        <charset val="134"/>
      </rPr>
      <t xml:space="preserve">  </t>
    </r>
    <r>
      <rPr>
        <sz val="10"/>
        <color rgb="FF000000"/>
        <rFont val="等线"/>
        <charset val="134"/>
      </rPr>
      <t>GEP-FX request -2507041646086423544</t>
    </r>
  </si>
  <si>
    <r>
      <t>SR-HK-20250814-P00043</t>
    </r>
    <r>
      <rPr>
        <sz val="10"/>
        <color rgb="FF000000"/>
        <rFont val="等线"/>
        <charset val="134"/>
      </rPr>
      <t xml:space="preserve">  </t>
    </r>
    <r>
      <rPr>
        <sz val="10"/>
        <color rgb="FF000000"/>
        <rFont val="等线"/>
        <charset val="134"/>
      </rPr>
      <t>SCB RFI--STS—eOTT-- HK6OL250814005ZJ - GLOBAL E-PAYMENT LIMITED - TS250814-HK00054</t>
    </r>
  </si>
  <si>
    <r>
      <t>(For Your Action) IDW GLOBAL E-PAYMENT LIMITED 1513OI0157164 USD398391.43</t>
    </r>
    <r>
      <rPr>
        <sz val="10"/>
        <color rgb="FF000000"/>
        <rFont val="等线"/>
        <charset val="134"/>
      </rPr>
      <t xml:space="preserve">
</t>
    </r>
    <r>
      <rPr>
        <sz val="10"/>
        <color rgb="FF000000"/>
        <rFont val="等线"/>
        <charset val="134"/>
      </rPr>
      <t>关联邮件：(For Your Action) IDW GLOBAL E-PAYMENT LIMITED 100462632 USD398391.43</t>
    </r>
  </si>
  <si>
    <r>
      <t>(For Your Action) IDW GLOBAL E-PAYMENT LIMITED 1513OI0157162 USD298789.84</t>
    </r>
    <r>
      <rPr>
        <sz val="10"/>
        <color rgb="FF000000"/>
        <rFont val="等线"/>
        <charset val="134"/>
      </rPr>
      <t xml:space="preserve">
</t>
    </r>
    <r>
      <rPr>
        <sz val="10"/>
        <color rgb="FF000000"/>
        <rFont val="等线"/>
        <charset val="134"/>
      </rPr>
      <t>关联邮件：(For Your Action) IDW GLOBAL E-PAYMENT LIMITED 100462627 USD298789.84</t>
    </r>
  </si>
  <si>
    <r>
      <t>SR-HK-20250923-P00048</t>
    </r>
    <r>
      <rPr>
        <sz val="10"/>
        <color rgb="FF000000"/>
        <rFont val="等线"/>
        <charset val="134"/>
      </rPr>
      <t xml:space="preserve">  </t>
    </r>
    <r>
      <rPr>
        <sz val="10"/>
        <color rgb="FF000000"/>
        <rFont val="等线"/>
        <charset val="134"/>
      </rPr>
      <t>SCB RFI--STS—eOTT-- HK6OT2509230264V - Global E-Payment Limited</t>
    </r>
    <r>
      <rPr>
        <sz val="10"/>
        <color rgb="FF000000"/>
        <rFont val="等线"/>
        <charset val="134"/>
      </rPr>
      <t xml:space="preserve">  </t>
    </r>
    <r>
      <rPr>
        <sz val="10"/>
        <color rgb="FF000000"/>
        <rFont val="等线"/>
        <charset val="134"/>
      </rPr>
      <t>- TS250923-HK00018</t>
    </r>
  </si>
  <si>
    <r>
      <t>(For Your Action) IDW GLOBAL E-PAYMENT LIMITED 100494122 USD1200</t>
    </r>
    <r>
      <rPr>
        <sz val="10"/>
        <color rgb="FF000000"/>
        <rFont val="等线"/>
        <charset val="134"/>
      </rPr>
      <t xml:space="preserve">
</t>
    </r>
    <r>
      <rPr>
        <sz val="10"/>
        <color rgb="FF000000"/>
        <rFont val="等线"/>
        <charset val="134"/>
      </rPr>
      <t>关联邮件：(For Your Action) IDW GLOBAL E-PAYMENT LIMITED 100491142 USD1200</t>
    </r>
  </si>
  <si>
    <r>
      <t>[URGENT]Query on VND Collection Originator's details-251103-COL-9F3847EF</t>
    </r>
    <r>
      <rPr>
        <sz val="10"/>
        <color rgb="FF000000"/>
        <rFont val="等线"/>
        <charset val="134"/>
      </rPr>
      <t xml:space="preserve">
</t>
    </r>
    <r>
      <rPr>
        <sz val="10"/>
        <color rgb="FF000000"/>
        <rFont val="等线"/>
        <charset val="134"/>
      </rPr>
      <t>关联邮件：Refund 251103-COL-9F3847EF Completed - Refund Receipt</t>
    </r>
  </si>
  <si>
    <t>eur</t>
  </si>
  <si>
    <t>cnh</t>
  </si>
  <si>
    <r>
      <t>Action Request _RFI request-OTT—HK6OL251211028O2 – HKP251212-000075 Password Email</t>
    </r>
    <r>
      <rPr>
        <sz val="10"/>
        <color rgb="FF000000"/>
        <rFont val="等线"/>
        <charset val="134"/>
      </rPr>
      <t xml:space="preserve">
</t>
    </r>
    <r>
      <rPr>
        <sz val="10"/>
        <color rgb="FF000000"/>
        <rFont val="等线"/>
        <charset val="134"/>
      </rPr>
      <t>其他邮件：Fw:RE : SR-HK-20251215-E00118 [External] 借记订单报文信息查询</t>
    </r>
  </si>
  <si>
    <r>
      <t>3142793 - [Thunes - Global E-Payment Limited] [1416393485] Partner Request for Information - [Thunes Outbound]</t>
    </r>
    <r>
      <rPr>
        <sz val="10"/>
        <color rgb="FF000000"/>
        <rFont val="等线"/>
        <charset val="134"/>
      </rPr>
      <t xml:space="preserve">
</t>
    </r>
    <r>
      <rPr>
        <sz val="10"/>
        <color rgb="FF000000"/>
        <rFont val="等线"/>
        <charset val="134"/>
      </rPr>
      <t>一样内容：3142794 - [Thunes - Global E-Payment Limited] [1416393485] Partner Request for Information - [Thunes Outbound]</t>
    </r>
  </si>
  <si>
    <r>
      <t>Additional Information Request – Post Transaction Monitoring - RT5419040548 | 831131</t>
    </r>
    <r>
      <rPr>
        <sz val="10"/>
        <color rgb="FF000000"/>
        <rFont val="等线"/>
        <charset val="134"/>
      </rPr>
      <t xml:space="preserve">
</t>
    </r>
    <r>
      <rPr>
        <sz val="10"/>
        <color rgb="FF000000"/>
        <rFont val="等线"/>
        <charset val="134"/>
      </rPr>
      <t>其他邮件：Additional Information Request – Post Transaction Monitoring - RT5419040548 | (Request ID : 831131)</t>
    </r>
  </si>
  <si>
    <r>
      <t>Fw:RE : SR-HK-20251231-E00141 [External] 借记订单报文信息查询</t>
    </r>
    <r>
      <rPr>
        <sz val="10"/>
        <color rgb="FF000000"/>
        <rFont val="等线"/>
        <charset val="134"/>
      </rPr>
      <t xml:space="preserve">
</t>
    </r>
    <r>
      <rPr>
        <sz val="10"/>
        <color rgb="FF000000"/>
        <rFont val="等线"/>
        <charset val="134"/>
      </rPr>
      <t>其他邮件：Action Request - RFI request- HK6OL251229029VM - HKP251230-000221</t>
    </r>
  </si>
  <si>
    <r>
      <t>Re: RfiClient from BBRUBEBB010 - Ref.: COR9AHW4N01P2101/SEPA PAYMENT BC:071406969</t>
    </r>
    <r>
      <rPr>
        <sz val="10"/>
        <color rgb="FF000000"/>
        <rFont val="等线"/>
        <charset val="134"/>
      </rPr>
      <t xml:space="preserve">
</t>
    </r>
    <r>
      <rPr>
        <sz val="10"/>
        <color rgb="FF000000"/>
        <rFont val="等线"/>
        <charset val="134"/>
      </rPr>
      <t>关联邮件：Fw: RfiClient from RABONL2UXXX - Ref.: RBG260121-000173/OO9T005450453054 BC:071406932</t>
    </r>
  </si>
  <si>
    <r>
      <t>HKP260212-000011 // HK6OT260211026Z0 // USD 114,620.00</t>
    </r>
    <r>
      <rPr>
        <sz val="10"/>
        <color rgb="FF000000"/>
        <rFont val="等线"/>
        <charset val="134"/>
      </rPr>
      <t xml:space="preserve">
</t>
    </r>
    <r>
      <rPr>
        <sz val="10"/>
        <color rgb="FF000000"/>
        <rFont val="等线"/>
        <charset val="134"/>
      </rPr>
      <t>其他邮件：[External] Re: HKP260212-000011 // HK6OT260211026Z0 // USD 114,620.00</t>
    </r>
  </si>
  <si>
    <r>
      <t>Additional Information Request – Post Transaction Monitoring- RT7398987641 / RT7398987641 | A Ticket #887496 has been created</t>
    </r>
    <r>
      <rPr>
        <sz val="10"/>
        <color rgb="FF000000"/>
        <rFont val="等线"/>
        <charset val="134"/>
      </rPr>
      <t xml:space="preserve">
</t>
    </r>
    <r>
      <rPr>
        <sz val="10"/>
        <color rgb="FF000000"/>
        <rFont val="等线"/>
        <charset val="134"/>
      </rPr>
      <t>其他邮件：Additional Information Request – Post Transaction Monitoring- RT7398987641 / RT7398987641 | 887496</t>
    </r>
  </si>
  <si>
    <r>
      <t>5181250511041390448</t>
    </r>
    <r>
      <rPr>
        <sz val="10"/>
        <color rgb="FF000000"/>
        <rFont val="等线"/>
        <charset val="134"/>
      </rPr>
      <t xml:space="preserve">
</t>
    </r>
    <r>
      <rPr>
        <sz val="10"/>
        <color rgb="FF000000"/>
        <rFont val="等线"/>
        <charset val="134"/>
      </rPr>
      <t>5181250111037212798</t>
    </r>
  </si>
  <si>
    <r>
      <t>(For Your Action) IDW GLOBAL E-PAYMENT LIMITED 100595766 USD 50,000.00</t>
    </r>
    <r>
      <rPr>
        <sz val="10"/>
        <color rgb="FF000000"/>
        <rFont val="等线"/>
        <charset val="134"/>
      </rPr>
      <t xml:space="preserve">
</t>
    </r>
    <r>
      <rPr>
        <sz val="10"/>
        <color rgb="FF000000"/>
        <rFont val="等线"/>
        <charset val="134"/>
      </rPr>
      <t>关联：Returned Payment Under Ref. 1513OI1197165 GLOBAL E-PAYMENT LIMITED</t>
    </r>
  </si>
  <si>
    <r>
      <t>(For Your Action) IDW GLOBAL E-PAYMENT LIMITED 100592269 USD 210,000.00</t>
    </r>
    <r>
      <rPr>
        <sz val="10"/>
        <color rgb="FF000000"/>
        <rFont val="等线"/>
        <charset val="134"/>
      </rPr>
      <t xml:space="preserve">
</t>
    </r>
    <r>
      <rPr>
        <sz val="10"/>
        <color rgb="FF000000"/>
        <rFont val="等线"/>
        <charset val="134"/>
      </rPr>
      <t>关联：Returned Payment Under Ref. 1513OI1170164 GLOBAL E-PAYMENT LIMITED</t>
    </r>
  </si>
  <si>
    <r>
      <t>REQUEST KYC &amp; SUPPORTING DOCUMETNS FOR ACCOUNT #8530005848 - 04/06/2026</t>
    </r>
    <r>
      <rPr>
        <sz val="10"/>
        <color rgb="FF000000"/>
        <rFont val="等线"/>
        <charset val="134"/>
      </rPr>
      <t xml:space="preserve">
</t>
    </r>
    <r>
      <rPr>
        <sz val="10"/>
        <color rgb="FF000000"/>
        <rFont val="等线"/>
        <charset val="134"/>
      </rPr>
      <t>关联：MSA3-8530005848-$15.00 has been held on 04/13/2026</t>
    </r>
  </si>
  <si>
    <r>
      <t>REQUEST KYCs &amp; SUPPORTING DOCUMETNS FOR ACCOUNTs # 8530007154- 04/13/2026</t>
    </r>
    <r>
      <rPr>
        <sz val="10"/>
        <color rgb="FF000000"/>
        <rFont val="等线"/>
        <charset val="134"/>
      </rPr>
      <t xml:space="preserve">
</t>
    </r>
    <r>
      <rPr>
        <sz val="10"/>
        <color rgb="FF000000"/>
        <rFont val="等线"/>
        <charset val="134"/>
      </rPr>
      <t>关联：MSA3 – 8530007154 - $10.00 &amp; $27.00 has been held on 04/14/2026</t>
    </r>
  </si>
  <si>
    <r>
      <t>REQUEST KYC &amp; SUPPORTING DOCUMETNS FOR ACCOUNT #8530002226- 04/14/2026</t>
    </r>
    <r>
      <rPr>
        <sz val="10"/>
        <color rgb="FF000000"/>
        <rFont val="等线"/>
        <charset val="134"/>
      </rPr>
      <t xml:space="preserve">
</t>
    </r>
    <r>
      <rPr>
        <sz val="10"/>
        <color rgb="FF000000"/>
        <rFont val="等线"/>
        <charset val="134"/>
      </rPr>
      <t>关联：MSA3 – 8530002226 - $12.80 &amp; $25.00 has been held on 04/14/2026</t>
    </r>
  </si>
  <si>
    <r>
      <t>RFI - Liu Xiaoyang/ 81199558 / Payers KAYLA HOGUE and THOMAS RACE</t>
    </r>
    <r>
      <rPr>
        <sz val="10"/>
        <color rgb="FF000000"/>
        <rFont val="等线"/>
        <charset val="134"/>
      </rPr>
      <t xml:space="preserve">
</t>
    </r>
    <r>
      <rPr>
        <sz val="10"/>
        <color rgb="FF000000"/>
        <rFont val="等线"/>
        <charset val="134"/>
      </rPr>
      <t>关联：RFI - Liu Xiaoyang (ID: 81199558) - Global E-Payments Limited Referral[#102924]</t>
    </r>
  </si>
  <si>
    <r>
      <t>MSA3 – 8530009834 - $130.44 has been held on 04/30/2026</t>
    </r>
    <r>
      <rPr>
        <sz val="10"/>
        <color rgb="FF000000"/>
        <rFont val="等线"/>
        <charset val="134"/>
      </rPr>
      <t xml:space="preserve">
</t>
    </r>
    <r>
      <rPr>
        <sz val="10"/>
        <color rgb="FF000000"/>
        <rFont val="等线"/>
        <charset val="134"/>
      </rPr>
      <t>关联： REQUEST KYC &amp; SUPPORTING DOCUMETNS FOR ACCOUNT #8530009834- 04/30/2026</t>
    </r>
  </si>
  <si>
    <r>
      <t>On hold - RFI - Incoming transfers to GA of Huang Yuejiao from multiple payers</t>
    </r>
    <r>
      <rPr>
        <sz val="10"/>
        <color rgb="FF000000"/>
        <rFont val="等线"/>
        <charset val="134"/>
      </rPr>
      <t xml:space="preserve">
</t>
    </r>
    <r>
      <rPr>
        <sz val="10"/>
        <color rgb="FF000000"/>
        <rFont val="等线"/>
        <charset val="134"/>
      </rPr>
      <t>关联：RFI - Huang Yuejiao (ID: 81198195) - Global E-Payments partner referral[#102933]</t>
    </r>
  </si>
  <si>
    <t>[AML-RFI-Request] MSA3-8530008879-WU HAIQUAN -needs supporting documents and explanation</t>
  </si>
  <si>
    <r>
      <t>MSA3-#8530000824 *Transaction Needs Supporting Documents - 05/21/2026</t>
    </r>
    <r>
      <rPr>
        <sz val="10"/>
        <color rgb="FF000000"/>
        <rFont val="等线"/>
        <charset val="134"/>
      </rPr>
      <t xml:space="preserve">
</t>
    </r>
    <r>
      <rPr>
        <sz val="10"/>
        <color rgb="FF000000"/>
        <rFont val="等线"/>
        <charset val="134"/>
      </rPr>
      <t>关联：MSA3 – 8530000824 - $161.35 has been held on 05/21/2026</t>
    </r>
  </si>
  <si>
    <t>(For Your Action) IDW GLOBAL E-PAYMENT LIMITED 2026061000508307-019 USD 36,735.00</t>
  </si>
  <si>
    <r>
      <t>MSA3-#8530006209 *Transaction Needs Supporting Documents - 06/12/2026</t>
    </r>
    <r>
      <rPr>
        <sz val="10"/>
        <color rgb="FF000000"/>
        <rFont val="等线"/>
        <charset val="134"/>
      </rPr>
      <t xml:space="preserve">
</t>
    </r>
    <r>
      <rPr>
        <sz val="10"/>
        <color rgb="FF000000"/>
        <rFont val="等线"/>
        <charset val="134"/>
      </rPr>
      <t>关联：MSA3 – 8530006209 - $0.01 &amp; $0.09 has been held on 06/15/2026</t>
    </r>
  </si>
  <si>
    <r>
      <t>(For Your Action) IDW GLOBAL E-PAYMENT LIMITED 100647120 USD 19,870.00</t>
    </r>
    <r>
      <rPr>
        <sz val="10"/>
        <color rgb="FF000000"/>
        <rFont val="等线"/>
        <charset val="134"/>
      </rPr>
      <t xml:space="preserve">
</t>
    </r>
    <r>
      <rPr>
        <sz val="10"/>
        <color rgb="FF000000"/>
        <rFont val="等线"/>
        <charset val="134"/>
      </rPr>
      <t>关联：Returned Payment Under Ref. 1513OT0827780 GLOBAL E-PAYMENT LIMITED</t>
    </r>
  </si>
  <si>
    <t>3505361 - [Thunes - Global E-Payment Limited] Partner Request for Information for AML/CTF - [Thunes Outbound]</t>
  </si>
  <si>
    <t>账户调查</t>
  </si>
  <si>
    <t>菲律宾+肯尼亚+payso调单整理</t>
  </si>
  <si>
    <r>
      <t>[Please respond by 28 Mar 2025 Friday]</t>
    </r>
    <r>
      <rPr>
        <sz val="10"/>
        <color rgb="FF000000"/>
        <rFont val="等线"/>
        <charset val="134"/>
      </rPr>
      <t xml:space="preserve">  </t>
    </r>
    <r>
      <rPr>
        <sz val="10"/>
        <color rgb="FF000000"/>
        <rFont val="等线"/>
        <charset val="134"/>
      </rPr>
      <t>Query on entities dealing with TW suppliers assisting with exporting of CHPL goods to Russia (GLOBAL E-PAYMENT LIMITED)</t>
    </r>
  </si>
  <si>
    <r>
      <t>5181220915002455318</t>
    </r>
    <r>
      <rPr>
        <sz val="10"/>
        <color rgb="FF000000"/>
        <rFont val="等线"/>
        <charset val="134"/>
      </rPr>
      <t xml:space="preserve">
</t>
    </r>
    <r>
      <rPr>
        <sz val="10"/>
        <color rgb="FF000000"/>
        <rFont val="等线"/>
        <charset val="134"/>
      </rPr>
      <t>5181231028001053918</t>
    </r>
  </si>
  <si>
    <r>
      <t>Hummingbird Intercoms Pty Ltd 2</t>
    </r>
    <r>
      <rPr>
        <sz val="10"/>
        <color rgb="FF000000"/>
        <rFont val="等线"/>
        <charset val="134"/>
      </rPr>
      <t xml:space="preserve">
</t>
    </r>
    <r>
      <rPr>
        <sz val="10"/>
        <color rgb="FF000000"/>
        <rFont val="等线"/>
        <charset val="134"/>
      </rPr>
      <t>凱豐（香港）電子商務有限公司</t>
    </r>
  </si>
  <si>
    <r>
      <t>[Please respond by 28 Mar 2025 Friday]</t>
    </r>
    <r>
      <rPr>
        <sz val="10"/>
        <color rgb="FF000000"/>
        <rFont val="等线"/>
        <charset val="134"/>
      </rPr>
      <t xml:space="preserve">  </t>
    </r>
    <r>
      <rPr>
        <sz val="10"/>
        <color rgb="FF000000"/>
        <rFont val="等线"/>
        <charset val="134"/>
      </rPr>
      <t>SDN Lookback Exercise - OFAC Designation on Russia EO14024 Secondary Sanctions Risk (15 Jan 2025) - GLOBAL E-PAYMENT LIMITED</t>
    </r>
  </si>
  <si>
    <r>
      <t>Post-RFI</t>
    </r>
    <r>
      <rPr>
        <sz val="10"/>
        <color rgb="FF000000"/>
        <rFont val="等线"/>
        <charset val="134"/>
      </rPr>
      <t xml:space="preserve">  </t>
    </r>
    <r>
      <rPr>
        <sz val="10"/>
        <color rgb="FF000000"/>
        <rFont val="等线"/>
        <charset val="134"/>
      </rPr>
      <t>Payment Ref 1513SW0000018820</t>
    </r>
    <r>
      <rPr>
        <sz val="10"/>
        <color rgb="FF000000"/>
        <rFont val="等线"/>
        <charset val="134"/>
      </rPr>
      <t xml:space="preserve">    </t>
    </r>
    <r>
      <rPr>
        <sz val="10"/>
        <color rgb="FF000000"/>
        <rFont val="等线"/>
        <charset val="134"/>
      </rPr>
      <t>[ CIF Number</t>
    </r>
    <r>
      <rPr>
        <sz val="10"/>
        <color rgb="FF000000"/>
        <rFont val="等线"/>
        <charset val="134"/>
      </rPr>
      <t xml:space="preserve">  </t>
    </r>
    <r>
      <rPr>
        <sz val="10"/>
        <color rgb="FF000000"/>
        <rFont val="等线"/>
        <charset val="134"/>
      </rPr>
      <t>5259859 GLOBAL E-PAYMENT LIMITED</t>
    </r>
    <r>
      <rPr>
        <sz val="10"/>
        <color rgb="FF000000"/>
        <rFont val="等线"/>
        <charset val="134"/>
      </rPr>
      <t xml:space="preserve">  </t>
    </r>
    <r>
      <rPr>
        <sz val="10"/>
        <color rgb="FF000000"/>
        <rFont val="等线"/>
        <charset val="134"/>
      </rPr>
      <t>]</t>
    </r>
    <r>
      <rPr>
        <sz val="10"/>
        <color rgb="FF000000"/>
        <rFont val="等线"/>
        <charset val="134"/>
      </rPr>
      <t xml:space="preserve">   </t>
    </r>
    <r>
      <rPr>
        <sz val="10"/>
        <color rgb="FF000000"/>
        <rFont val="等线"/>
        <charset val="134"/>
      </rPr>
      <t>EMAIL REF</t>
    </r>
    <r>
      <rPr>
        <sz val="10"/>
        <color rgb="FF000000"/>
        <rFont val="等线"/>
        <charset val="134"/>
      </rPr>
      <t xml:space="preserve">  </t>
    </r>
    <r>
      <rPr>
        <sz val="10"/>
        <color rgb="FF000000"/>
        <rFont val="等线"/>
        <charset val="134"/>
      </rPr>
      <t>HK100383024</t>
    </r>
  </si>
  <si>
    <r>
      <t>Cruise -RFI-GLOBAL E-PAYMENT LIMITED (pls reply on or before 27 May 2025)</t>
    </r>
    <r>
      <rPr>
        <sz val="10"/>
        <color rgb="FF000000"/>
        <rFont val="等线"/>
        <charset val="134"/>
      </rPr>
      <t xml:space="preserve">
</t>
    </r>
    <r>
      <rPr>
        <sz val="10"/>
        <color rgb="FF000000"/>
        <rFont val="等线"/>
        <charset val="134"/>
      </rPr>
      <t>追问邮件：Cruise -RFI-GLOBAL E-PAYMENT LIMITED (pls reply on or before 27 May 2025)-Follow up DONGGUA TRADING CO., LIMITED</t>
    </r>
  </si>
  <si>
    <r>
      <t>[Action Required] Account update on SHAN DONG LAI HUA JIN CHU KOU CO., LTD , VA of GLOBAL E-PAYMENT LIMITED</t>
    </r>
    <r>
      <rPr>
        <sz val="10"/>
        <color rgb="FF000000"/>
        <rFont val="等线"/>
        <charset val="134"/>
      </rPr>
      <t xml:space="preserve">  </t>
    </r>
    <r>
      <rPr>
        <sz val="10"/>
        <color rgb="FF000000"/>
        <rFont val="等线"/>
        <charset val="134"/>
      </rPr>
      <t>(CIF NO. 5259859) ref: UAE202507180616595761</t>
    </r>
  </si>
  <si>
    <r>
      <t>Request for Information - #1870946 BC:017002798</t>
    </r>
    <r>
      <rPr>
        <sz val="10"/>
        <color rgb="FF000000"/>
        <rFont val="等线"/>
        <charset val="134"/>
      </rPr>
      <t xml:space="preserve">
</t>
    </r>
    <r>
      <rPr>
        <sz val="10"/>
        <color rgb="FF000000"/>
        <rFont val="等线"/>
        <charset val="134"/>
      </rPr>
      <t>关联邮件：Request for Information - #1870946 BC:017002497、Request for Information - #1870946 BC:017002637</t>
    </r>
  </si>
  <si>
    <r>
      <t>RE: SCBHK - GEP - RFI - CA43073010 - US - TM260209-US00068 - by 25 Feb 2026</t>
    </r>
    <r>
      <rPr>
        <sz val="10"/>
        <color rgb="FF000000"/>
        <rFont val="等线"/>
        <charset val="134"/>
      </rPr>
      <t xml:space="preserve">
</t>
    </r>
    <r>
      <rPr>
        <sz val="10"/>
        <color rgb="FF000000"/>
        <rFont val="等线"/>
        <charset val="134"/>
      </rPr>
      <t>关联邮件：RE: SCBHK - GEP - RFI - CA42488468 - US - TM260210-US00166 - by 25 Feb 2026</t>
    </r>
    <r>
      <rPr>
        <sz val="10"/>
        <color rgb="FF000000"/>
        <rFont val="等线"/>
        <charset val="134"/>
      </rPr>
      <t xml:space="preserve">
</t>
    </r>
    <r>
      <rPr>
        <sz val="10"/>
        <color rgb="FF000000"/>
        <rFont val="等线"/>
        <charset val="134"/>
      </rPr>
      <t>RE: SCBHK - GEP - RFI - CA43073010 - US - TM260209-US00068 - by 6 Mar 2026</t>
    </r>
  </si>
  <si>
    <r>
      <t>Request for Information - #2225193 BC:017007589</t>
    </r>
    <r>
      <rPr>
        <sz val="10"/>
        <color rgb="FF000000"/>
        <rFont val="等线"/>
        <charset val="134"/>
      </rPr>
      <t xml:space="preserve">
</t>
    </r>
    <r>
      <rPr>
        <sz val="10"/>
        <color rgb="FF000000"/>
        <rFont val="等线"/>
        <charset val="134"/>
      </rPr>
      <t>关联邮件：Request for Information - #2225193 BC:017007901</t>
    </r>
  </si>
  <si>
    <r>
      <t>Additional Information Request – Post Transaction Monitoring - LI HUAN - RT3002198974 | 939570</t>
    </r>
    <r>
      <rPr>
        <sz val="10"/>
        <color rgb="FF000000"/>
        <rFont val="等线"/>
        <charset val="134"/>
      </rPr>
      <t xml:space="preserve">
</t>
    </r>
    <r>
      <rPr>
        <sz val="10"/>
        <color rgb="FF000000"/>
        <rFont val="等线"/>
        <charset val="134"/>
      </rPr>
      <t>关联：Additional Information Request – Post Transaction Monitoring - XIA MEN BAN JIU WANG LUO KE JI CO., LTD / LI HUAN | 951586</t>
    </r>
  </si>
  <si>
    <t>阮家乐</t>
  </si>
  <si>
    <t>结汇</t>
  </si>
  <si>
    <t>警方协查</t>
  </si>
  <si>
    <t>贺老四</t>
  </si>
  <si>
    <t>余康</t>
  </si>
  <si>
    <t>胡昂</t>
  </si>
  <si>
    <t>湖北富贵网络科技有限公司</t>
  </si>
  <si>
    <t>邱清清</t>
  </si>
  <si>
    <t>义乌市奔骑电子商务商行（个体工商户）</t>
  </si>
  <si>
    <t>林少雄</t>
  </si>
  <si>
    <t>唐婷</t>
  </si>
  <si>
    <t>郑善桐</t>
  </si>
  <si>
    <t>陈龙卫</t>
  </si>
  <si>
    <r>
      <t>DELITOS TECNOLOGIVOS REQUEST INFORMATION S12455-25 104.449</t>
    </r>
    <r>
      <rPr>
        <sz val="10"/>
        <color rgb="FF000000"/>
        <rFont val="等线"/>
        <charset val="134"/>
      </rPr>
      <t xml:space="preserve">
</t>
    </r>
    <r>
      <rPr>
        <sz val="10"/>
        <color rgb="FF000000"/>
        <rFont val="等线"/>
        <charset val="134"/>
      </rPr>
      <t>关联邮件：FW: DELITOS TECNOLOGICOS SOLICITA INFORMACION S-12455-25 BC#1709343</t>
    </r>
  </si>
  <si>
    <t>顺景立有限公司</t>
  </si>
  <si>
    <r>
      <t>Very urgent data request from the Luxembourg authorities on the account associated with VIBAN LU264080000027877072</t>
    </r>
    <r>
      <rPr>
        <sz val="10"/>
        <color rgb="FF000000"/>
        <rFont val="等线"/>
        <charset val="134"/>
      </rPr>
      <t xml:space="preserve">
</t>
    </r>
    <r>
      <rPr>
        <sz val="10"/>
        <color rgb="FF000000"/>
        <rFont val="等线"/>
        <charset val="134"/>
      </rPr>
      <t>关联邮件：</t>
    </r>
    <r>
      <rPr>
        <sz val="10"/>
        <color rgb="FF000000"/>
        <rFont val="等线"/>
        <charset val="134"/>
      </rPr>
      <t xml:space="preserve">
</t>
    </r>
    <r>
      <rPr>
        <sz val="10"/>
        <color rgb="FF000000"/>
        <rFont val="等线"/>
        <charset val="134"/>
      </rPr>
      <t>Temporary User Account: fileexchange.bankingcircle.com</t>
    </r>
    <r>
      <rPr>
        <sz val="10"/>
        <color rgb="FF000000"/>
        <rFont val="等线"/>
        <charset val="134"/>
      </rPr>
      <t xml:space="preserve">
</t>
    </r>
    <r>
      <rPr>
        <sz val="10"/>
        <color rgb="FF000000"/>
        <rFont val="等线"/>
        <charset val="134"/>
      </rPr>
      <t>We have received a Freeze order from the Luxembourg Authorities for the VIBAN LU264080000027877072</t>
    </r>
  </si>
  <si>
    <t>沈丽媛</t>
  </si>
  <si>
    <t>董群华</t>
  </si>
  <si>
    <t>郭富城</t>
  </si>
  <si>
    <t>詹楚颖</t>
  </si>
  <si>
    <t>东阳市彬蜀电子商务有限公司</t>
  </si>
  <si>
    <t>谢亚妹</t>
  </si>
  <si>
    <r>
      <t>FW: Auskunftsersuchen 333300/000313/07/25 BC#1789710</t>
    </r>
    <r>
      <rPr>
        <sz val="10"/>
        <color rgb="FF000000"/>
        <rFont val="等线"/>
        <charset val="134"/>
      </rPr>
      <t xml:space="preserve">
</t>
    </r>
    <r>
      <rPr>
        <sz val="10"/>
        <color rgb="FF000000"/>
        <rFont val="等线"/>
        <charset val="134"/>
      </rPr>
      <t>同内容：request for information 333300/000313/07/25</t>
    </r>
  </si>
  <si>
    <t>宜春市鹏鹏电子商务有限公司</t>
  </si>
  <si>
    <t>沈丽英</t>
  </si>
  <si>
    <t>利辛县炫谦电子商务有限公司</t>
  </si>
  <si>
    <t>李晨明</t>
  </si>
  <si>
    <r>
      <t>judicial requisition FR : 68409 / 1769 / 2025</t>
    </r>
    <r>
      <rPr>
        <sz val="10"/>
        <color rgb="FF000000"/>
        <rFont val="等线"/>
        <charset val="134"/>
      </rPr>
      <t xml:space="preserve">
</t>
    </r>
    <r>
      <rPr>
        <sz val="10"/>
        <color rgb="FF000000"/>
        <rFont val="等线"/>
        <charset val="134"/>
      </rPr>
      <t>关联邮件：FW: judicial requisition FR : 68409 / 1769 / 2025 BC#1854612</t>
    </r>
  </si>
  <si>
    <t>义乌市庆寰贸易有限公司</t>
  </si>
  <si>
    <t>义乌市熇光进出口有限公司</t>
  </si>
  <si>
    <r>
      <t>FW: Requesting data. Urgent. BC#1905485</t>
    </r>
    <r>
      <rPr>
        <sz val="10"/>
        <color rgb="FF000000"/>
        <rFont val="等线"/>
        <charset val="134"/>
      </rPr>
      <t xml:space="preserve">
</t>
    </r>
    <r>
      <rPr>
        <sz val="10"/>
        <color rgb="FF000000"/>
        <rFont val="等线"/>
        <charset val="134"/>
      </rPr>
      <t>关联邮件：Request for information.- U R G E N T</t>
    </r>
  </si>
  <si>
    <t>HHON LIMITED</t>
  </si>
  <si>
    <t>莆田市涵江区云岫商贸工作室（个体工商户）</t>
  </si>
  <si>
    <r>
      <t>Request for inventory data due to investment fraud</t>
    </r>
    <r>
      <rPr>
        <sz val="10"/>
        <color rgb="FF000000"/>
        <rFont val="等线"/>
        <charset val="134"/>
      </rPr>
      <t xml:space="preserve">
</t>
    </r>
    <r>
      <rPr>
        <sz val="10"/>
        <color rgb="FF000000"/>
        <rFont val="等线"/>
        <charset val="134"/>
      </rPr>
      <t>关联邮件：FW: Bestandsdatenanfrage aufgrund Anlagebetrugs AZ: ST/1385622/2025</t>
    </r>
  </si>
  <si>
    <t>谷城县染漠罂商贸有限公司</t>
  </si>
  <si>
    <r>
      <t>Police Request , VN 100008/29092025/1322</t>
    </r>
    <r>
      <rPr>
        <sz val="10"/>
        <color rgb="FF000000"/>
        <rFont val="等线"/>
        <charset val="134"/>
      </rPr>
      <t xml:space="preserve">
</t>
    </r>
    <r>
      <rPr>
        <sz val="10"/>
        <color rgb="FF000000"/>
        <rFont val="等线"/>
        <charset val="134"/>
      </rPr>
      <t>关联邮件：FW: Bestandsdaten, VN 100008/29092025/1322 BC#1945601</t>
    </r>
  </si>
  <si>
    <t>諾拓耀貿易有限公司</t>
  </si>
  <si>
    <t>Qwer Limited</t>
  </si>
  <si>
    <t>ELITECH LIMITED</t>
  </si>
  <si>
    <t>莆田市捷利克网络科技有限公司</t>
  </si>
  <si>
    <r>
      <t>DX2 24756/25 D POLICIA NACIONAL Sending an official letter requesting information about fraud</t>
    </r>
    <r>
      <rPr>
        <sz val="10"/>
        <color rgb="FF000000"/>
        <rFont val="等线"/>
        <charset val="134"/>
      </rPr>
      <t xml:space="preserve">
</t>
    </r>
    <r>
      <rPr>
        <sz val="10"/>
        <color rgb="FF000000"/>
        <rFont val="等线"/>
        <charset val="134"/>
      </rPr>
      <t>关联邮件：FW: DX2 24756/25 D POLICIA NACIONAL Sending an official letter requesting information BC#2039766</t>
    </r>
  </si>
  <si>
    <t>Fendyue Limited</t>
  </si>
  <si>
    <t>潢川县本觅娜商贸有限公司</t>
  </si>
  <si>
    <r>
      <t>FW: Auskunftsersuchen - Kriminalpolizei Lindau (Bodensee) BC#2069910</t>
    </r>
    <r>
      <rPr>
        <sz val="10"/>
        <color rgb="FF000000"/>
        <rFont val="等线"/>
        <charset val="134"/>
      </rPr>
      <t xml:space="preserve">
</t>
    </r>
    <r>
      <rPr>
        <sz val="10"/>
        <color rgb="FF000000"/>
        <rFont val="等线"/>
        <charset val="134"/>
      </rPr>
      <t>关联邮件：Request for information - Kriminalpolizei Lindau</t>
    </r>
  </si>
  <si>
    <t>VSPOPA LIMITED</t>
  </si>
  <si>
    <t>SE advertise technology Limited</t>
  </si>
  <si>
    <t>DALIWAN Limited</t>
  </si>
  <si>
    <t>港龍國際企業有限公司</t>
  </si>
  <si>
    <t>BB DECORER LIMITED</t>
  </si>
  <si>
    <r>
      <t>FW: VERY URGENT - FRAUD and MONEY LAUNDERING - ILLICIT FUNDS TRANSFERRED TO BANK ACCOUNT HELD IN YOUR INSTITUTION [Case id:2137796]</t>
    </r>
    <r>
      <rPr>
        <sz val="10"/>
        <color rgb="FF000000"/>
        <rFont val="等线"/>
        <charset val="134"/>
      </rPr>
      <t xml:space="preserve">
</t>
    </r>
    <r>
      <rPr>
        <sz val="10"/>
        <color rgb="FF000000"/>
        <rFont val="等线"/>
        <charset val="134"/>
      </rPr>
      <t>关联邮件：</t>
    </r>
    <r>
      <rPr>
        <sz val="10"/>
        <color rgb="FF000000"/>
        <rFont val="等线"/>
        <charset val="134"/>
      </rPr>
      <t xml:space="preserve">
</t>
    </r>
    <r>
      <rPr>
        <sz val="10"/>
        <color rgb="FF000000"/>
        <rFont val="等线"/>
        <charset val="134"/>
      </rPr>
      <t>FW: Geldeinfrierungsersuchen, Az.: G4/253232/CNG/91675/4 SB: Schneider</t>
    </r>
    <r>
      <rPr>
        <sz val="10"/>
        <color rgb="FF000000"/>
        <rFont val="等线"/>
        <charset val="134"/>
      </rPr>
      <t xml:space="preserve">
</t>
    </r>
    <r>
      <rPr>
        <sz val="10"/>
        <color rgb="FF000000"/>
        <rFont val="等线"/>
        <charset val="134"/>
      </rPr>
      <t>VERY URGENT - FRAUD and MONEY LAUNDERING - ILLICIT FUNDS TRANSFERRED TO BANK ACCOUNTS HELD IN YOUR INSTITUTION</t>
    </r>
    <r>
      <rPr>
        <sz val="10"/>
        <color rgb="FF000000"/>
        <rFont val="等线"/>
        <charset val="134"/>
      </rPr>
      <t xml:space="preserve">
</t>
    </r>
  </si>
  <si>
    <r>
      <t>FW: polizeiliche Anfrage / Az. 251127-1145-032002 BC(2148528)</t>
    </r>
    <r>
      <rPr>
        <sz val="10"/>
        <color rgb="FF000000"/>
        <rFont val="等线"/>
        <charset val="134"/>
      </rPr>
      <t xml:space="preserve">
</t>
    </r>
    <r>
      <rPr>
        <sz val="10"/>
        <color rgb="FF000000"/>
        <rFont val="等线"/>
        <charset val="134"/>
      </rPr>
      <t>关联邮件：RE: polizeiliche Anfrage / Az. 251127-1145-032002 BC(2148528)</t>
    </r>
  </si>
  <si>
    <r>
      <t>FW: Geldwäsche Betrug Anzeige BC#2179448</t>
    </r>
    <r>
      <rPr>
        <sz val="10"/>
        <color rgb="FF000000"/>
        <rFont val="等线"/>
        <charset val="134"/>
      </rPr>
      <t xml:space="preserve">
</t>
    </r>
    <r>
      <rPr>
        <sz val="10"/>
        <color rgb="FF000000"/>
        <rFont val="等线"/>
        <charset val="134"/>
      </rPr>
      <t>关联邮件：Fraud and money laundering</t>
    </r>
  </si>
  <si>
    <t>Kiows GmbH Limited</t>
  </si>
  <si>
    <t>Zvsop Limited</t>
  </si>
  <si>
    <t>XINZHIGANG LIMITED</t>
  </si>
  <si>
    <t>陈金美</t>
  </si>
  <si>
    <t>谢沐阳</t>
  </si>
  <si>
    <t>Ppqq Limited</t>
  </si>
  <si>
    <r>
      <t>Law firm FW: LU32 4080 0000 5221 1257 - Diedrich, Gerhard ./. Banking Cirlce S.A. wg. SFM Holding - AktNr: 000101-26 [SOFB 2225063]</t>
    </r>
    <r>
      <rPr>
        <sz val="10"/>
        <color rgb="FF000000"/>
        <rFont val="等线"/>
        <charset val="134"/>
      </rPr>
      <t xml:space="preserve">
</t>
    </r>
    <r>
      <rPr>
        <sz val="10"/>
        <color rgb="FF000000"/>
        <rFont val="等线"/>
        <charset val="134"/>
      </rPr>
      <t>关联邮件：Diedrich, Gerhard ./. Global E-Payment Ltd. wg. SFM Holding - AktNr: 000101-26</t>
    </r>
  </si>
  <si>
    <t>陈坚锋</t>
  </si>
  <si>
    <r>
      <t>FW: 580A2502880 BANKING CIRCLE SA BC#2236837</t>
    </r>
    <r>
      <rPr>
        <sz val="10"/>
        <color rgb="FF000000"/>
        <rFont val="等线"/>
        <charset val="134"/>
      </rPr>
      <t xml:space="preserve">
</t>
    </r>
    <r>
      <rPr>
        <sz val="10"/>
        <color rgb="FF000000"/>
        <rFont val="等线"/>
        <charset val="134"/>
      </rPr>
      <t>关联邮件：580A2502880 SOLICITUD A GLOBAL E-PAYMENT Ltd.</t>
    </r>
  </si>
  <si>
    <t>潮人世界網絡科技有限公司</t>
  </si>
  <si>
    <r>
      <t>FW: 2025 01 117 693- Kriminalpolizeiliches Auskunftsersuchen BC(2244986)</t>
    </r>
    <r>
      <rPr>
        <sz val="10"/>
        <color rgb="FF000000"/>
        <rFont val="等线"/>
        <charset val="134"/>
      </rPr>
      <t xml:space="preserve">
</t>
    </r>
    <r>
      <rPr>
        <sz val="10"/>
        <color rgb="FF000000"/>
        <rFont val="等线"/>
        <charset val="134"/>
      </rPr>
      <t>关联邮件：2025 01 117 693- Request for information</t>
    </r>
  </si>
  <si>
    <t>NANOSKY LIMITED</t>
  </si>
  <si>
    <t>泉州泺衿贸易有限公司</t>
  </si>
  <si>
    <t>香港萬物科技有限公司</t>
  </si>
  <si>
    <t>襄阳市鸿斯黛商贸有限公司</t>
  </si>
  <si>
    <t>彗星传奇科技深圳有限公司</t>
  </si>
  <si>
    <r>
      <t>FW: Law Enforcement Enquiry BC#2290391</t>
    </r>
    <r>
      <rPr>
        <sz val="10"/>
        <color rgb="FF000000"/>
        <rFont val="等线"/>
        <charset val="134"/>
      </rPr>
      <t xml:space="preserve">
</t>
    </r>
    <r>
      <rPr>
        <sz val="10"/>
        <color rgb="FF000000"/>
        <rFont val="等线"/>
        <charset val="134"/>
      </rPr>
      <t>关联邮件：URGENT REQUEST</t>
    </r>
  </si>
  <si>
    <t>龍山貿易有限公司</t>
  </si>
  <si>
    <t>林浩杰</t>
  </si>
  <si>
    <t>Eu Trading Limited</t>
  </si>
  <si>
    <t>顺为贸易（香港）有限公司</t>
  </si>
  <si>
    <r>
      <t>police request for information 1329/25/143330</t>
    </r>
    <r>
      <rPr>
        <sz val="10"/>
        <color rgb="FF000000"/>
        <rFont val="等线"/>
        <charset val="134"/>
      </rPr>
      <t xml:space="preserve">
</t>
    </r>
    <r>
      <rPr>
        <sz val="10"/>
        <color rgb="FF000000"/>
        <rFont val="等线"/>
        <charset val="134"/>
      </rPr>
      <t>关联邮件：FW: Herausgabeverlangen Polizei Leipzig Verfahren 1329/25/143330 BC#2323764</t>
    </r>
  </si>
  <si>
    <r>
      <t>REQUEST DATA POLICE GUARDIA CIVIL SPAIN EXP. 127/2025</t>
    </r>
    <r>
      <rPr>
        <sz val="10"/>
        <color rgb="FF000000"/>
        <rFont val="等线"/>
        <charset val="134"/>
      </rPr>
      <t xml:space="preserve">
</t>
    </r>
    <r>
      <rPr>
        <sz val="10"/>
        <color rgb="FF000000"/>
        <rFont val="等线"/>
        <charset val="134"/>
      </rPr>
      <t>关联邮件：FW: Law Enforcement Enquiry BC#2323964</t>
    </r>
  </si>
  <si>
    <t>Ddgg Limited</t>
  </si>
  <si>
    <t>蔡智勇</t>
  </si>
  <si>
    <t>仙游县树卉百货店（个体工商户）</t>
  </si>
  <si>
    <t>陈俊煌</t>
  </si>
  <si>
    <t>朱丹</t>
  </si>
  <si>
    <r>
      <t>FW: Anfrage zu dänischer IBAN DK8989000027876631 BC#2374019</t>
    </r>
    <r>
      <rPr>
        <sz val="10"/>
        <color rgb="FF000000"/>
        <rFont val="等线"/>
        <charset val="134"/>
      </rPr>
      <t xml:space="preserve">
</t>
    </r>
    <r>
      <rPr>
        <sz val="10"/>
        <color rgb="FF000000"/>
        <rFont val="等线"/>
        <charset val="134"/>
      </rPr>
      <t>关联：c</t>
    </r>
  </si>
  <si>
    <t>陈伟锋</t>
  </si>
  <si>
    <t>利辛县帆基电子商务有限公司</t>
  </si>
  <si>
    <r>
      <t>police request, case ST/1166313/2025</t>
    </r>
    <r>
      <rPr>
        <sz val="10"/>
        <color rgb="FF000000"/>
        <rFont val="等线"/>
        <charset val="134"/>
      </rPr>
      <t xml:space="preserve">
</t>
    </r>
    <r>
      <rPr>
        <sz val="10"/>
        <color rgb="FF000000"/>
        <rFont val="等线"/>
        <charset val="134"/>
      </rPr>
      <t>关联：Automatische Antwort: 跨境合规 Auto Reply police request, case ST/1166313/2025</t>
    </r>
  </si>
  <si>
    <t>LUNKO LIMITED</t>
  </si>
  <si>
    <t>杨少伟</t>
  </si>
  <si>
    <t>POSDAD LIMITED</t>
  </si>
  <si>
    <t>邓显周</t>
  </si>
  <si>
    <t>HANNOVER GLOBAL TRADING CO., LIMITED</t>
  </si>
  <si>
    <t>武汉市栖浔商贸有限公司</t>
  </si>
  <si>
    <t>冯燕</t>
  </si>
  <si>
    <r>
      <t>FW: Auskunftsersuchen BY3205-519619-25/4</t>
    </r>
    <r>
      <rPr>
        <sz val="10"/>
        <color rgb="FF000000"/>
        <rFont val="等线"/>
        <charset val="134"/>
      </rPr>
      <t xml:space="preserve">
</t>
    </r>
    <r>
      <rPr>
        <sz val="10"/>
        <color rgb="FF000000"/>
        <rFont val="等线"/>
        <charset val="134"/>
      </rPr>
      <t>compliance</t>
    </r>
  </si>
  <si>
    <t>锦州市古塔区水村山郭百货日杂经营店（个体工商户）</t>
  </si>
  <si>
    <r>
      <t>Re: [Fraud Case] GLOBAL E-PAYMENT LIMITED Customer Notice</t>
    </r>
    <r>
      <rPr>
        <sz val="10"/>
        <color rgb="FF000000"/>
        <rFont val="等线"/>
        <charset val="134"/>
      </rPr>
      <t xml:space="preserve">
</t>
    </r>
    <r>
      <rPr>
        <sz val="10"/>
        <color rgb="FF000000"/>
        <rFont val="等线"/>
        <charset val="134"/>
      </rPr>
      <t>关联：Police Case 2026-104573</t>
    </r>
    <r>
      <rPr>
        <sz val="10"/>
        <color rgb="FF000000"/>
        <rFont val="等线"/>
        <charset val="134"/>
      </rPr>
      <t xml:space="preserve">
</t>
    </r>
  </si>
  <si>
    <t>李逸</t>
  </si>
  <si>
    <t>林志良</t>
  </si>
  <si>
    <t>香港福闔康貿易有限公司</t>
  </si>
  <si>
    <t>李聃阳</t>
  </si>
  <si>
    <r>
      <t>[Inquiry] Cyber Crime Investigation Unit, Incheon Metropolitan Police Agency</t>
    </r>
    <r>
      <rPr>
        <sz val="10"/>
        <color rgb="FF000000"/>
        <rFont val="等线"/>
        <charset val="134"/>
      </rPr>
      <t xml:space="preserve">
</t>
    </r>
    <r>
      <rPr>
        <sz val="10"/>
        <color rgb="FF000000"/>
        <rFont val="等线"/>
        <charset val="134"/>
      </rPr>
      <t>关联邮件：Case Registered_AliExpress_2026-106858</t>
    </r>
  </si>
  <si>
    <r>
      <t>URGENT - APP Fraud Reimbursement Claim Ref. Nr. 890432</t>
    </r>
    <r>
      <rPr>
        <sz val="10"/>
        <color rgb="FF000000"/>
        <rFont val="等线"/>
        <charset val="134"/>
      </rPr>
      <t xml:space="preserve">
</t>
    </r>
    <r>
      <rPr>
        <sz val="10"/>
        <color rgb="FF000000"/>
        <rFont val="等线"/>
        <charset val="134"/>
      </rPr>
      <t>FW: Claim ID</t>
    </r>
    <r>
      <rPr>
        <sz val="10"/>
        <color rgb="FF000000"/>
        <rFont val="等线"/>
        <charset val="134"/>
      </rPr>
      <t xml:space="preserve">  </t>
    </r>
    <r>
      <rPr>
        <sz val="10"/>
        <color rgb="FF000000"/>
        <rFont val="等线"/>
        <charset val="134"/>
      </rPr>
      <t>#890432</t>
    </r>
    <r>
      <rPr>
        <sz val="10"/>
        <color rgb="FF000000"/>
        <rFont val="等线"/>
        <charset val="134"/>
      </rPr>
      <t xml:space="preserve">  </t>
    </r>
    <r>
      <rPr>
        <sz val="10"/>
        <color rgb="FF000000"/>
        <rFont val="等线"/>
        <charset val="134"/>
      </rPr>
      <t>#2-22746958082#</t>
    </r>
    <r>
      <rPr>
        <sz val="10"/>
        <color rgb="FF000000"/>
        <rFont val="等线"/>
        <charset val="134"/>
      </rPr>
      <t xml:space="preserve">  </t>
    </r>
    <r>
      <rPr>
        <sz val="10"/>
        <color rgb="FF000000"/>
        <rFont val="等线"/>
        <charset val="134"/>
      </rPr>
      <t>HYPERWALLET BC(1645972)</t>
    </r>
  </si>
  <si>
    <r>
      <t>Reported Fraud Case - UK Bank - VIBAN DK9389000028419274</t>
    </r>
    <r>
      <rPr>
        <sz val="10"/>
        <color rgb="FF000000"/>
        <rFont val="等线"/>
        <charset val="134"/>
      </rPr>
      <t xml:space="preserve">
</t>
    </r>
    <r>
      <rPr>
        <sz val="10"/>
        <color rgb="FF000000"/>
        <rFont val="等线"/>
        <charset val="134"/>
      </rPr>
      <t>FW: Claim ID</t>
    </r>
    <r>
      <rPr>
        <sz val="10"/>
        <color rgb="FF000000"/>
        <rFont val="等线"/>
        <charset val="134"/>
      </rPr>
      <t xml:space="preserve">  </t>
    </r>
    <r>
      <rPr>
        <sz val="10"/>
        <color rgb="FF000000"/>
        <rFont val="等线"/>
        <charset val="134"/>
      </rPr>
      <t>#904474</t>
    </r>
    <r>
      <rPr>
        <sz val="10"/>
        <color rgb="FF000000"/>
        <rFont val="等线"/>
        <charset val="134"/>
      </rPr>
      <t xml:space="preserve">   </t>
    </r>
    <r>
      <rPr>
        <sz val="10"/>
        <color rgb="FF000000"/>
        <rFont val="等线"/>
        <charset val="134"/>
      </rPr>
      <t>#2-22750647848#</t>
    </r>
    <r>
      <rPr>
        <sz val="10"/>
        <color rgb="FF000000"/>
        <rFont val="等线"/>
        <charset val="134"/>
      </rPr>
      <t xml:space="preserve">  </t>
    </r>
    <r>
      <rPr>
        <sz val="10"/>
        <color rgb="FF000000"/>
        <rFont val="等线"/>
        <charset val="134"/>
      </rPr>
      <t>HYPERWALLET BC(1645977)</t>
    </r>
  </si>
  <si>
    <r>
      <t>RECALL INWARD PAYMENTS OF CUSTOMER: GLOBAL E-PAYMENT LIMITED CIF 5259859 L/Y REF. 1513IT8699381 1513IT8706516</t>
    </r>
    <r>
      <rPr>
        <sz val="10"/>
        <color rgb="FF000000"/>
        <rFont val="等线"/>
        <charset val="134"/>
      </rPr>
      <t xml:space="preserve">
</t>
    </r>
    <r>
      <rPr>
        <sz val="10"/>
        <color rgb="FF000000"/>
        <rFont val="等线"/>
        <charset val="134"/>
      </rPr>
      <t>关联调单邮件：</t>
    </r>
    <r>
      <rPr>
        <sz val="10"/>
        <color rgb="FF000000"/>
        <rFont val="等线"/>
        <charset val="134"/>
      </rPr>
      <t xml:space="preserve">
</t>
    </r>
    <r>
      <rPr>
        <sz val="10"/>
        <color rgb="FF000000"/>
        <rFont val="等线"/>
        <charset val="134"/>
      </rPr>
      <t>[Action Required] Account update on HONGKONG BOSTON ECOMMERCE LIMITED, VA of GLOBAL E-PAYMENT LIMITED</t>
    </r>
    <r>
      <rPr>
        <sz val="10"/>
        <color rgb="FF000000"/>
        <rFont val="等线"/>
        <charset val="134"/>
      </rPr>
      <t xml:space="preserve">  </t>
    </r>
    <r>
      <rPr>
        <sz val="10"/>
        <color rgb="FF000000"/>
        <rFont val="等线"/>
        <charset val="134"/>
      </rPr>
      <t>(CIF NO. 5259859) ref . 1513IT5008699381, 1513IT5008706516</t>
    </r>
  </si>
  <si>
    <r>
      <t>RECALL INWARD PAYMENTS OF CUSTOMER: GLOBAL E-PAYMENT LIMITED CIF 5259859 L/Y REF. 1513IT8699381 1513IT8706516</t>
    </r>
    <r>
      <rPr>
        <sz val="10"/>
        <color rgb="FF000000"/>
        <rFont val="等线"/>
        <charset val="134"/>
      </rPr>
      <t xml:space="preserve">
</t>
    </r>
    <r>
      <rPr>
        <sz val="10"/>
        <color rgb="FF000000"/>
        <rFont val="等线"/>
        <charset val="134"/>
      </rPr>
      <t>关联调单邮件：</t>
    </r>
    <r>
      <rPr>
        <sz val="10"/>
        <color rgb="FF000000"/>
        <rFont val="等线"/>
        <charset val="134"/>
      </rPr>
      <t xml:space="preserve">
</t>
    </r>
    <r>
      <rPr>
        <sz val="10"/>
        <color rgb="FF000000"/>
        <rFont val="等线"/>
        <charset val="134"/>
      </rPr>
      <t>[Action Required] Account update on HONGKONG BOSTON ECOMMERCE LIMITED, VA of GLOBAL E-PAYMENT LIMITED</t>
    </r>
    <r>
      <rPr>
        <sz val="10"/>
        <color rgb="FF000000"/>
        <rFont val="等线"/>
        <charset val="134"/>
      </rPr>
      <t xml:space="preserve">  </t>
    </r>
    <r>
      <rPr>
        <sz val="10"/>
        <color rgb="FF000000"/>
        <rFont val="等线"/>
        <charset val="134"/>
      </rPr>
      <t>(CIF NO. 5259859) ref . 1513IT5008699381, 1513IT5008706517</t>
    </r>
  </si>
  <si>
    <r>
      <t>INWARD PAYMENTS OF CUSTOMER :</t>
    </r>
    <r>
      <rPr>
        <sz val="10"/>
        <color rgb="FF000000"/>
        <rFont val="等线"/>
        <charset val="134"/>
      </rPr>
      <t xml:space="preserve">   </t>
    </r>
    <r>
      <rPr>
        <sz val="10"/>
        <color rgb="FF000000"/>
        <rFont val="等线"/>
        <charset val="134"/>
      </rPr>
      <t>GLOBAL E-PAYMENT LIMITED</t>
    </r>
    <r>
      <rPr>
        <sz val="10"/>
        <color rgb="FF000000"/>
        <rFont val="等线"/>
        <charset val="134"/>
      </rPr>
      <t xml:space="preserve">  </t>
    </r>
    <r>
      <rPr>
        <sz val="10"/>
        <color rgb="FF000000"/>
        <rFont val="等线"/>
        <charset val="134"/>
      </rPr>
      <t>CIF 5259859</t>
    </r>
    <r>
      <rPr>
        <sz val="10"/>
        <color rgb="FF000000"/>
        <rFont val="等线"/>
        <charset val="134"/>
      </rPr>
      <t xml:space="preserve">  </t>
    </r>
    <r>
      <rPr>
        <sz val="10"/>
        <color rgb="FF000000"/>
        <rFont val="等线"/>
        <charset val="134"/>
      </rPr>
      <t>L/Y</t>
    </r>
    <r>
      <rPr>
        <sz val="10"/>
        <color rgb="FF000000"/>
        <rFont val="等线"/>
        <charset val="134"/>
      </rPr>
      <t xml:space="preserve">   </t>
    </r>
    <r>
      <rPr>
        <sz val="10"/>
        <color rgb="FF000000"/>
        <rFont val="等线"/>
        <charset val="134"/>
      </rPr>
      <t>REF. 1513II6943389</t>
    </r>
  </si>
  <si>
    <r>
      <t>INWARD PAYMENTS OF CUSTOMER :</t>
    </r>
    <r>
      <rPr>
        <sz val="10"/>
        <color rgb="FF000000"/>
        <rFont val="等线"/>
        <charset val="134"/>
      </rPr>
      <t xml:space="preserve">  </t>
    </r>
    <r>
      <rPr>
        <sz val="10"/>
        <color rgb="FF000000"/>
        <rFont val="等线"/>
        <charset val="134"/>
      </rPr>
      <t>GLOBAL E-PAYMENT LIMITED</t>
    </r>
    <r>
      <rPr>
        <sz val="10"/>
        <color rgb="FF000000"/>
        <rFont val="等线"/>
        <charset val="134"/>
      </rPr>
      <t xml:space="preserve">  </t>
    </r>
    <r>
      <rPr>
        <sz val="10"/>
        <color rgb="FF000000"/>
        <rFont val="等线"/>
        <charset val="134"/>
      </rPr>
      <t>CIF 5259859 L/Y</t>
    </r>
    <r>
      <rPr>
        <sz val="10"/>
        <color rgb="FF000000"/>
        <rFont val="等线"/>
        <charset val="134"/>
      </rPr>
      <t xml:space="preserve">  </t>
    </r>
    <r>
      <rPr>
        <sz val="10"/>
        <color rgb="FF000000"/>
        <rFont val="等线"/>
        <charset val="134"/>
      </rPr>
      <t>REF. 1513II6803267</t>
    </r>
  </si>
  <si>
    <r>
      <t>PLEASE CONFIRM WITH CLIENT</t>
    </r>
    <r>
      <rPr>
        <sz val="10"/>
        <color rgb="FF000000"/>
        <rFont val="等线"/>
        <charset val="134"/>
      </rPr>
      <t xml:space="preserve">  </t>
    </r>
    <r>
      <rPr>
        <sz val="10"/>
        <color rgb="FF000000"/>
        <rFont val="等线"/>
        <charset val="134"/>
      </rPr>
      <t>Mis-Transfer &gt;&gt;Recall Fund under Customer : GLOBAL E-PAYMENT LIMITED (CIF: 5259859</t>
    </r>
    <r>
      <rPr>
        <sz val="10"/>
        <color rgb="FF000000"/>
        <rFont val="等线"/>
        <charset val="134"/>
      </rPr>
      <t xml:space="preserve">   </t>
    </r>
    <r>
      <rPr>
        <sz val="10"/>
        <color rgb="FF000000"/>
        <rFont val="等线"/>
        <charset val="134"/>
      </rPr>
      <t>L/Y )</t>
    </r>
    <r>
      <rPr>
        <sz val="10"/>
        <color rgb="FF000000"/>
        <rFont val="等线"/>
        <charset val="134"/>
      </rPr>
      <t xml:space="preserve">  </t>
    </r>
    <r>
      <rPr>
        <sz val="10"/>
        <color rgb="FF000000"/>
        <rFont val="等线"/>
        <charset val="134"/>
      </rPr>
      <t>REF. FRN20240927PAYC0101938826272 / 2409270902391RKCI229 HKD 50000.00</t>
    </r>
  </si>
  <si>
    <r>
      <t>RE: Fraud Recall Request (010F209252950SHK) BC:004900675</t>
    </r>
    <r>
      <rPr>
        <sz val="10"/>
        <color rgb="FF000000"/>
        <rFont val="等线"/>
        <charset val="134"/>
      </rPr>
      <t xml:space="preserve">
</t>
    </r>
    <r>
      <rPr>
        <sz val="10"/>
        <color rgb="FF000000"/>
        <rFont val="等线"/>
        <charset val="134"/>
      </rPr>
      <t>关联邮件：Fraud Recall Request (010F209252950SHK) BC:004900675</t>
    </r>
  </si>
  <si>
    <r>
      <t>INWARD PAYMENTS OF CUSTOMER : GLOBAL E-PAYMENT LIMITED CIF 5259859 L/Y REF. 1513IT8874470</t>
    </r>
    <r>
      <rPr>
        <sz val="10"/>
        <color rgb="FF000000"/>
        <rFont val="等线"/>
        <charset val="134"/>
      </rPr>
      <t xml:space="preserve">
</t>
    </r>
    <r>
      <rPr>
        <sz val="10"/>
        <color rgb="FF000000"/>
        <rFont val="等线"/>
        <charset val="134"/>
      </rPr>
      <t>关联邮件：Recall Fund under Customer : GLOBAL E-PAYMENT LIMITED (CIF: 5259859 L/Y ) REF. 1513IT8874470</t>
    </r>
  </si>
  <si>
    <r>
      <t>(For Your Action) IDW GLOBAL E-PAYMENT LIMITED</t>
    </r>
    <r>
      <rPr>
        <sz val="10"/>
        <color rgb="FF000000"/>
        <rFont val="等线"/>
        <charset val="134"/>
      </rPr>
      <t xml:space="preserve">
</t>
    </r>
    <r>
      <rPr>
        <sz val="10"/>
        <color rgb="FF000000"/>
        <rFont val="等线"/>
        <charset val="134"/>
      </rPr>
      <t>2026-04-02关联邮件：INWARD PAYMENTS OF CUSTOMER : GLOBAL E-PAYMENT LIMITED REF. 1513IT0128951</t>
    </r>
  </si>
  <si>
    <r>
      <t>Recall request [20260121-500265-001] - Debit approval required (Global E-Payment Limited/EUR 2000/010F311260198B03)</t>
    </r>
    <r>
      <rPr>
        <sz val="10"/>
        <color rgb="FF000000"/>
        <rFont val="等线"/>
        <charset val="134"/>
      </rPr>
      <t xml:space="preserve">
</t>
    </r>
    <r>
      <rPr>
        <sz val="10"/>
        <color rgb="FF000000"/>
        <rFont val="等线"/>
        <charset val="134"/>
      </rPr>
      <t>关联邮件：FW: Appui RECALL -M BAILLS Jean marc - BCIRLULLXXX / LU324080000052211257 BC#2200277</t>
    </r>
  </si>
  <si>
    <r>
      <t>Recall request [6CP3683129221602] - Debit approval required (Global E-Payment Limited/EUR 1471.25/010F31126040L826)</t>
    </r>
    <r>
      <rPr>
        <sz val="10"/>
        <color rgb="FF000000"/>
        <rFont val="等线"/>
        <charset val="134"/>
      </rPr>
      <t xml:space="preserve">
</t>
    </r>
    <r>
      <rPr>
        <sz val="10"/>
        <color rgb="FF000000"/>
        <rFont val="等线"/>
        <charset val="134"/>
      </rPr>
      <t>关联邮件：Recall request [20260226-600920-001] - Debit approval required (Global E-Payment Limited/EUR 1471.25/010F31126040L826)</t>
    </r>
  </si>
  <si>
    <r>
      <t>FW: 081159111 - indemnity request letter - banking circle BC(2266101)</t>
    </r>
    <r>
      <rPr>
        <sz val="10"/>
        <color rgb="FF000000"/>
        <rFont val="等线"/>
        <charset val="134"/>
      </rPr>
      <t xml:space="preserve">
</t>
    </r>
    <r>
      <rPr>
        <sz val="10"/>
        <color rgb="FF000000"/>
        <rFont val="等线"/>
        <charset val="134"/>
      </rPr>
      <t>其他关联邮件：FW: 081159111 - indemnity request letter - banking circle - chaser 2 BC(2336467)</t>
    </r>
  </si>
  <si>
    <r>
      <t>APP Fraud Reimbursement Claim Ref. Nr. 7712349503</t>
    </r>
    <r>
      <rPr>
        <sz val="10"/>
        <color rgb="FF000000"/>
        <rFont val="等线"/>
        <charset val="134"/>
      </rPr>
      <t xml:space="preserve">
</t>
    </r>
    <r>
      <rPr>
        <sz val="10"/>
        <color rgb="FF000000"/>
        <rFont val="等线"/>
        <charset val="134"/>
      </rPr>
      <t>关联邮件：APP Fraud Reimbursement Claim Ref. Nr. 1282340</t>
    </r>
  </si>
  <si>
    <r>
      <t>FW: APP Fraud Reimbursement Claim Ref. Nr. 1334005</t>
    </r>
    <r>
      <rPr>
        <sz val="10"/>
        <color rgb="FF000000"/>
        <rFont val="等线"/>
        <charset val="134"/>
      </rPr>
      <t xml:space="preserve">
</t>
    </r>
    <r>
      <rPr>
        <sz val="10"/>
        <color rgb="FF000000"/>
        <rFont val="等线"/>
        <charset val="134"/>
      </rPr>
      <t>关联：FW: New Report of a Scam</t>
    </r>
  </si>
  <si>
    <t>Owner</t>
  </si>
  <si>
    <t>日期</t>
  </si>
  <si>
    <t>触发类型</t>
  </si>
  <si>
    <t>调查报告</t>
  </si>
  <si>
    <r>
      <rPr>
        <sz val="10"/>
        <color rgb="FF267EF0"/>
        <rFont val="微软雅黑"/>
        <charset val="134"/>
      </rPr>
      <t>内部调查报告Template</t>
    </r>
  </si>
  <si>
    <t>调单触发</t>
  </si>
  <si>
    <t>5181230415003446988</t>
  </si>
  <si>
    <t>Dudu Technology Co, Limited</t>
  </si>
  <si>
    <r>
      <rPr>
        <sz val="10"/>
        <color rgb="FF267EF0"/>
        <rFont val="微软雅黑"/>
        <charset val="134"/>
      </rPr>
      <t>内部调查报告 Dudu Technology Co, Limited</t>
    </r>
  </si>
  <si>
    <r>
      <rPr>
        <sz val="10"/>
        <color rgb="FF267EF0"/>
        <rFont val="微软雅黑"/>
        <charset val="134"/>
      </rPr>
      <t>内部调查报告 尊凯有限公司（JOINTCAN LIMITED）</t>
    </r>
  </si>
  <si>
    <r>
      <rPr>
        <sz val="10"/>
        <color rgb="FF267EF0"/>
        <rFont val="微软雅黑"/>
        <charset val="134"/>
      </rPr>
      <t>153家杲杲香港关结算（from 2025.07.01）</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</si>
</sst>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0_);[Red]\(0.00\)"/>
    <numFmt numFmtId="178" formatCode="yyyy&quot;年&quot;m&quot;月&quot;d&quot;日&quot;;@"/>
    <numFmt numFmtId="179" formatCode="yyyy/m/d;@"/>
    <numFmt numFmtId="180" formatCode="#,##0.00_);[Red]\(#,##0.00\)"/>
    <numFmt numFmtId="181" formatCode="yyyy/m/d\ h:mm:ss;@"/>
  </numFmts>
  <fonts count="65">
    <font>
      <sz val="10"/>
      <color theme="1"/>
      <name val="等线"/>
      <charset val="134"/>
      <scheme val="minor"/>
    </font>
    <font>
      <sz val="11"/>
      <name val="Microsoft YaHei"/>
      <charset val="134"/>
    </font>
    <font>
      <b/>
      <sz val="12"/>
      <name val="SimSun"/>
      <charset val="134"/>
    </font>
    <font>
      <b/>
      <sz val="12"/>
      <color rgb="FF000000"/>
      <name val="SimSun"/>
      <charset val="134"/>
    </font>
    <font>
      <sz val="11"/>
      <name val="等线"/>
      <charset val="134"/>
      <scheme val="minor"/>
    </font>
    <font>
      <sz val="10"/>
      <color rgb="FF000000"/>
      <name val="等线"/>
      <charset val="134"/>
      <scheme val="minor"/>
    </font>
    <font>
      <sz val="9"/>
      <name val="等线"/>
      <charset val="134"/>
      <scheme val="minor"/>
    </font>
    <font>
      <sz val="10"/>
      <name val="等线"/>
      <charset val="134"/>
      <scheme val="minor"/>
    </font>
    <font>
      <sz val="12"/>
      <name val="等线"/>
      <charset val="134"/>
      <scheme val="minor"/>
    </font>
    <font>
      <b/>
      <sz val="12"/>
      <color rgb="FFDE3C36"/>
      <name val="Microsoft YaHei"/>
      <charset val="134"/>
    </font>
    <font>
      <b/>
      <sz val="12"/>
      <name val="宋体"/>
      <charset val="134"/>
    </font>
    <font>
      <b/>
      <sz val="11"/>
      <name val="宋体"/>
      <charset val="134"/>
    </font>
    <font>
      <sz val="11"/>
      <name val="等线"/>
      <charset val="134"/>
    </font>
    <font>
      <sz val="11"/>
      <color rgb="FF595959"/>
      <name val="-apple-system"/>
      <charset val="134"/>
    </font>
    <font>
      <sz val="11"/>
      <name val="Helvetica Neue"/>
      <charset val="134"/>
    </font>
    <font>
      <sz val="10"/>
      <color rgb="FF1890FF"/>
      <name val="-apple-system"/>
      <charset val="134"/>
    </font>
    <font>
      <sz val="11"/>
      <color rgb="FF000000"/>
      <name val="等线"/>
      <charset val="134"/>
      <scheme val="minor"/>
    </font>
    <font>
      <sz val="11"/>
      <name val="Calibri"/>
      <charset val="134"/>
    </font>
    <font>
      <sz val="9"/>
      <name val="Calibri"/>
      <charset val="134"/>
    </font>
    <font>
      <sz val="11"/>
      <color rgb="FF2972F4"/>
      <name val="等线"/>
      <charset val="134"/>
      <scheme val="minor"/>
    </font>
    <font>
      <sz val="11"/>
      <color rgb="FF1E6FFF"/>
      <name val="等线"/>
      <charset val="134"/>
      <scheme val="minor"/>
    </font>
    <font>
      <sz val="10"/>
      <color rgb="FF595959"/>
      <name val="-apple-system"/>
      <charset val="134"/>
    </font>
    <font>
      <sz val="11"/>
      <name val="Arial"/>
      <charset val="134"/>
    </font>
    <font>
      <sz val="10"/>
      <name val="Arial"/>
      <charset val="134"/>
    </font>
    <font>
      <sz val="11"/>
      <color rgb="FF000000"/>
      <name val="Microsoft YaHei"/>
      <charset val="134"/>
    </font>
    <font>
      <sz val="9"/>
      <color rgb="FF000000"/>
      <name val="等线"/>
      <charset val="134"/>
      <scheme val="minor"/>
    </font>
    <font>
      <sz val="12"/>
      <color rgb="FF000000"/>
      <name val="Aptos"/>
      <charset val="134"/>
    </font>
    <font>
      <sz val="11"/>
      <color rgb="FF31353B"/>
      <name val="等线"/>
      <charset val="134"/>
      <scheme val="minor"/>
    </font>
    <font>
      <b/>
      <sz val="14"/>
      <name val="等线"/>
      <charset val="134"/>
      <scheme val="minor"/>
    </font>
    <font>
      <b/>
      <sz val="12"/>
      <name val="等线"/>
      <charset val="134"/>
      <scheme val="minor"/>
    </font>
    <font>
      <sz val="10"/>
      <color rgb="FF7F7F7F"/>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rgb="FF267EF0"/>
      <name val="宋体"/>
      <charset val="134"/>
    </font>
    <font>
      <sz val="10"/>
      <color rgb="FF000000"/>
      <name val="等线"/>
      <charset val="134"/>
    </font>
    <font>
      <sz val="10"/>
      <color rgb="FF267EF0"/>
      <name val="微软雅黑"/>
      <charset val="134"/>
    </font>
    <font>
      <sz val="11"/>
      <color rgb="FF267EF0"/>
      <name val="宋体"/>
      <charset val="134"/>
    </font>
    <font>
      <b/>
      <sz val="12"/>
      <color rgb="FF267EF0"/>
      <name val="Microsoft YaHei"/>
      <charset val="134"/>
    </font>
    <font>
      <u/>
      <sz val="10"/>
      <color rgb="FF267EF0"/>
      <name val="微软雅黑"/>
      <charset val="134"/>
    </font>
    <font>
      <sz val="11"/>
      <color rgb="FF000000"/>
      <name val="微软雅黑"/>
      <charset val="134"/>
    </font>
    <font>
      <u/>
      <sz val="11"/>
      <color rgb="FF000000"/>
      <name val="微软雅黑"/>
      <charset val="134"/>
    </font>
    <font>
      <sz val="11"/>
      <color rgb="FF000000"/>
      <name val="宋体"/>
      <charset val="134"/>
    </font>
    <font>
      <u/>
      <sz val="11"/>
      <color rgb="FF267EF0"/>
      <name val="宋体"/>
      <charset val="134"/>
    </font>
    <font>
      <sz val="11"/>
      <color rgb="FF267EF0"/>
      <name val="微软雅黑"/>
      <charset val="134"/>
    </font>
    <font>
      <u/>
      <sz val="11"/>
      <color rgb="FF267EF0"/>
      <name val="微软雅黑"/>
      <charset val="134"/>
    </font>
    <font>
      <u/>
      <sz val="11"/>
      <color rgb="FF175CEB"/>
      <name val="微软雅黑"/>
      <charset val="134"/>
    </font>
    <font>
      <sz val="10"/>
      <name val="宋体"/>
      <charset val="134"/>
    </font>
  </fonts>
  <fills count="50">
    <fill>
      <patternFill patternType="none"/>
    </fill>
    <fill>
      <patternFill patternType="gray125"/>
    </fill>
    <fill>
      <patternFill patternType="solid">
        <fgColor rgb="FFFFEEAD"/>
        <bgColor indexed="64"/>
      </patternFill>
    </fill>
    <fill>
      <patternFill patternType="solid">
        <fgColor rgb="FF8CDDFA"/>
        <bgColor indexed="64"/>
      </patternFill>
    </fill>
    <fill>
      <patternFill patternType="solid">
        <fgColor rgb="FFFF0000"/>
        <bgColor indexed="64"/>
      </patternFill>
    </fill>
    <fill>
      <patternFill patternType="solid">
        <fgColor rgb="FFFF9C99"/>
        <bgColor indexed="64"/>
      </patternFill>
    </fill>
    <fill>
      <patternFill patternType="solid">
        <fgColor rgb="FFFFE9E8"/>
        <bgColor indexed="64"/>
      </patternFill>
    </fill>
    <fill>
      <patternFill patternType="solid">
        <fgColor rgb="FFFFC9C7"/>
        <bgColor indexed="64"/>
      </patternFill>
    </fill>
    <fill>
      <patternFill patternType="solid">
        <fgColor rgb="FFFFC000"/>
        <bgColor indexed="64"/>
      </patternFill>
    </fill>
    <fill>
      <patternFill patternType="solid">
        <fgColor rgb="FFFDEBFF"/>
        <bgColor indexed="64"/>
      </patternFill>
    </fill>
    <fill>
      <patternFill patternType="solid">
        <fgColor rgb="FFF88825"/>
        <bgColor indexed="64"/>
      </patternFill>
    </fill>
    <fill>
      <patternFill patternType="solid">
        <fgColor rgb="FFFFF9E3"/>
        <bgColor indexed="64"/>
      </patternFill>
    </fill>
    <fill>
      <patternFill patternType="solid">
        <fgColor rgb="FFFFF3CA"/>
        <bgColor indexed="64"/>
      </patternFill>
    </fill>
    <fill>
      <patternFill patternType="solid">
        <fgColor rgb="FFFFE270"/>
        <bgColor indexed="64"/>
      </patternFill>
    </fill>
    <fill>
      <patternFill patternType="solid">
        <fgColor rgb="FFFFFF00"/>
        <bgColor indexed="64"/>
      </patternFill>
    </fill>
    <fill>
      <patternFill patternType="solid">
        <fgColor rgb="FFE6D5D1"/>
        <bgColor indexed="64"/>
      </patternFill>
    </fill>
    <fill>
      <patternFill patternType="solid">
        <fgColor rgb="FFE5F6FF"/>
        <bgColor indexed="64"/>
      </patternFill>
    </fill>
    <fill>
      <patternFill patternType="solid">
        <fgColor rgb="FFF2F2F2"/>
        <bgColor indexed="64"/>
      </patternFill>
    </fill>
    <fill>
      <patternFill patternType="solid">
        <fgColor rgb="FFEAFAF1"/>
        <bgColor indexed="64"/>
      </patternFill>
    </fill>
    <fill>
      <patternFill patternType="solid">
        <fgColor rgb="FF99DDFF"/>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1" fillId="0" borderId="0" applyFont="0" applyFill="0" applyBorder="0" applyAlignment="0" applyProtection="0">
      <alignment vertical="center"/>
    </xf>
    <xf numFmtId="44" fontId="31" fillId="0" borderId="0" applyFont="0" applyFill="0" applyBorder="0" applyAlignment="0" applyProtection="0">
      <alignment vertical="center"/>
    </xf>
    <xf numFmtId="9" fontId="31" fillId="0" borderId="0" applyFont="0" applyFill="0" applyBorder="0" applyAlignment="0" applyProtection="0">
      <alignment vertical="center"/>
    </xf>
    <xf numFmtId="41" fontId="31" fillId="0" borderId="0" applyFont="0" applyFill="0" applyBorder="0" applyAlignment="0" applyProtection="0">
      <alignment vertical="center"/>
    </xf>
    <xf numFmtId="42" fontId="31" fillId="0" borderId="0" applyFont="0" applyFill="0" applyBorder="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1" fillId="20" borderId="14" applyNumberFormat="0" applyFont="0" applyAlignment="0" applyProtection="0">
      <alignment vertical="center"/>
    </xf>
    <xf numFmtId="0" fontId="34"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5" applyNumberFormat="0" applyFill="0" applyAlignment="0" applyProtection="0">
      <alignment vertical="center"/>
    </xf>
    <xf numFmtId="0" fontId="38" fillId="0" borderId="15" applyNumberFormat="0" applyFill="0" applyAlignment="0" applyProtection="0">
      <alignment vertical="center"/>
    </xf>
    <xf numFmtId="0" fontId="39" fillId="0" borderId="16" applyNumberFormat="0" applyFill="0" applyAlignment="0" applyProtection="0">
      <alignment vertical="center"/>
    </xf>
    <xf numFmtId="0" fontId="39" fillId="0" borderId="0" applyNumberFormat="0" applyFill="0" applyBorder="0" applyAlignment="0" applyProtection="0">
      <alignment vertical="center"/>
    </xf>
    <xf numFmtId="0" fontId="40" fillId="21" borderId="17" applyNumberFormat="0" applyAlignment="0" applyProtection="0">
      <alignment vertical="center"/>
    </xf>
    <xf numFmtId="0" fontId="41" fillId="17" borderId="18" applyNumberFormat="0" applyAlignment="0" applyProtection="0">
      <alignment vertical="center"/>
    </xf>
    <xf numFmtId="0" fontId="42" fillId="17" borderId="17" applyNumberFormat="0" applyAlignment="0" applyProtection="0">
      <alignment vertical="center"/>
    </xf>
    <xf numFmtId="0" fontId="43" fillId="22" borderId="19" applyNumberFormat="0" applyAlignment="0" applyProtection="0">
      <alignment vertical="center"/>
    </xf>
    <xf numFmtId="0" fontId="44" fillId="0" borderId="20" applyNumberFormat="0" applyFill="0" applyAlignment="0" applyProtection="0">
      <alignment vertical="center"/>
    </xf>
    <xf numFmtId="0" fontId="45" fillId="0" borderId="21" applyNumberFormat="0" applyFill="0" applyAlignment="0" applyProtection="0">
      <alignment vertical="center"/>
    </xf>
    <xf numFmtId="0" fontId="46" fillId="23" borderId="0" applyNumberFormat="0" applyBorder="0" applyAlignment="0" applyProtection="0">
      <alignment vertical="center"/>
    </xf>
    <xf numFmtId="0" fontId="47" fillId="24" borderId="0" applyNumberFormat="0" applyBorder="0" applyAlignment="0" applyProtection="0">
      <alignment vertical="center"/>
    </xf>
    <xf numFmtId="0" fontId="48" fillId="25" borderId="0" applyNumberFormat="0" applyBorder="0" applyAlignment="0" applyProtection="0">
      <alignment vertical="center"/>
    </xf>
    <xf numFmtId="0" fontId="49" fillId="26" borderId="0" applyNumberFormat="0" applyBorder="0" applyAlignment="0" applyProtection="0">
      <alignment vertical="center"/>
    </xf>
    <xf numFmtId="0" fontId="50" fillId="27" borderId="0" applyNumberFormat="0" applyBorder="0" applyAlignment="0" applyProtection="0">
      <alignment vertical="center"/>
    </xf>
    <xf numFmtId="0" fontId="50" fillId="28" borderId="0" applyNumberFormat="0" applyBorder="0" applyAlignment="0" applyProtection="0">
      <alignment vertical="center"/>
    </xf>
    <xf numFmtId="0" fontId="49" fillId="29" borderId="0" applyNumberFormat="0" applyBorder="0" applyAlignment="0" applyProtection="0">
      <alignment vertical="center"/>
    </xf>
    <xf numFmtId="0" fontId="49" fillId="30" borderId="0" applyNumberFormat="0" applyBorder="0" applyAlignment="0" applyProtection="0">
      <alignment vertical="center"/>
    </xf>
    <xf numFmtId="0" fontId="50" fillId="31" borderId="0" applyNumberFormat="0" applyBorder="0" applyAlignment="0" applyProtection="0">
      <alignment vertical="center"/>
    </xf>
    <xf numFmtId="0" fontId="50" fillId="32" borderId="0" applyNumberFormat="0" applyBorder="0" applyAlignment="0" applyProtection="0">
      <alignment vertical="center"/>
    </xf>
    <xf numFmtId="0" fontId="49" fillId="33" borderId="0" applyNumberFormat="0" applyBorder="0" applyAlignment="0" applyProtection="0">
      <alignment vertical="center"/>
    </xf>
    <xf numFmtId="0" fontId="49" fillId="34" borderId="0" applyNumberFormat="0" applyBorder="0" applyAlignment="0" applyProtection="0">
      <alignment vertical="center"/>
    </xf>
    <xf numFmtId="0" fontId="50" fillId="35" borderId="0" applyNumberFormat="0" applyBorder="0" applyAlignment="0" applyProtection="0">
      <alignment vertical="center"/>
    </xf>
    <xf numFmtId="0" fontId="50" fillId="36" borderId="0" applyNumberFormat="0" applyBorder="0" applyAlignment="0" applyProtection="0">
      <alignment vertical="center"/>
    </xf>
    <xf numFmtId="0" fontId="49" fillId="37" borderId="0" applyNumberFormat="0" applyBorder="0" applyAlignment="0" applyProtection="0">
      <alignment vertical="center"/>
    </xf>
    <xf numFmtId="0" fontId="49" fillId="38" borderId="0" applyNumberFormat="0" applyBorder="0" applyAlignment="0" applyProtection="0">
      <alignment vertical="center"/>
    </xf>
    <xf numFmtId="0" fontId="50" fillId="39" borderId="0" applyNumberFormat="0" applyBorder="0" applyAlignment="0" applyProtection="0">
      <alignment vertical="center"/>
    </xf>
    <xf numFmtId="0" fontId="50" fillId="40" borderId="0" applyNumberFormat="0" applyBorder="0" applyAlignment="0" applyProtection="0">
      <alignment vertical="center"/>
    </xf>
    <xf numFmtId="0" fontId="49" fillId="41" borderId="0" applyNumberFormat="0" applyBorder="0" applyAlignment="0" applyProtection="0">
      <alignment vertical="center"/>
    </xf>
    <xf numFmtId="0" fontId="49" fillId="42" borderId="0" applyNumberFormat="0" applyBorder="0" applyAlignment="0" applyProtection="0">
      <alignment vertical="center"/>
    </xf>
    <xf numFmtId="0" fontId="50" fillId="43" borderId="0" applyNumberFormat="0" applyBorder="0" applyAlignment="0" applyProtection="0">
      <alignment vertical="center"/>
    </xf>
    <xf numFmtId="0" fontId="50" fillId="44" borderId="0" applyNumberFormat="0" applyBorder="0" applyAlignment="0" applyProtection="0">
      <alignment vertical="center"/>
    </xf>
    <xf numFmtId="0" fontId="49" fillId="45" borderId="0" applyNumberFormat="0" applyBorder="0" applyAlignment="0" applyProtection="0">
      <alignment vertical="center"/>
    </xf>
    <xf numFmtId="0" fontId="49" fillId="46" borderId="0" applyNumberFormat="0" applyBorder="0" applyAlignment="0" applyProtection="0">
      <alignment vertical="center"/>
    </xf>
    <xf numFmtId="0" fontId="50" fillId="47" borderId="0" applyNumberFormat="0" applyBorder="0" applyAlignment="0" applyProtection="0">
      <alignment vertical="center"/>
    </xf>
    <xf numFmtId="0" fontId="50" fillId="48" borderId="0" applyNumberFormat="0" applyBorder="0" applyAlignment="0" applyProtection="0">
      <alignment vertical="center"/>
    </xf>
    <xf numFmtId="0" fontId="49" fillId="49" borderId="0" applyNumberFormat="0" applyBorder="0" applyAlignment="0" applyProtection="0">
      <alignment vertical="center"/>
    </xf>
  </cellStyleXfs>
  <cellXfs count="301">
    <xf numFmtId="0" fontId="0" fillId="0" borderId="0" xfId="0" applyFont="1">
      <alignment vertical="center"/>
    </xf>
    <xf numFmtId="0" fontId="1" fillId="0" borderId="0" xfId="0" applyFont="1">
      <alignment vertical="center"/>
    </xf>
    <xf numFmtId="176" fontId="2" fillId="2" borderId="1" xfId="0" applyNumberFormat="1" applyFont="1" applyFill="1" applyBorder="1" applyAlignment="1">
      <alignment horizontal="left" vertical="center"/>
    </xf>
    <xf numFmtId="49" fontId="2" fillId="2" borderId="1" xfId="0" applyNumberFormat="1" applyFont="1" applyFill="1" applyBorder="1" applyAlignment="1">
      <alignment horizontal="left" vertical="center" wrapText="1"/>
    </xf>
    <xf numFmtId="49" fontId="2" fillId="2" borderId="2" xfId="0" applyNumberFormat="1" applyFont="1" applyFill="1" applyBorder="1" applyAlignment="1">
      <alignment horizontal="left" vertical="center" wrapText="1"/>
    </xf>
    <xf numFmtId="49" fontId="3" fillId="0" borderId="0" xfId="0" applyNumberFormat="1" applyFont="1" applyAlignment="1">
      <alignment horizontal="left" vertical="center" wrapText="1"/>
    </xf>
    <xf numFmtId="0" fontId="4" fillId="0" borderId="1" xfId="0" applyFont="1" applyBorder="1">
      <alignment vertical="center"/>
    </xf>
    <xf numFmtId="176" fontId="4" fillId="0" borderId="1" xfId="0" applyNumberFormat="1" applyFont="1" applyBorder="1" applyAlignment="1">
      <alignment horizontal="left" vertical="center"/>
    </xf>
    <xf numFmtId="49" fontId="4" fillId="0" borderId="1" xfId="0" applyNumberFormat="1" applyFont="1" applyBorder="1">
      <alignment vertical="center"/>
    </xf>
    <xf numFmtId="49" fontId="0" fillId="0" borderId="1" xfId="0" applyNumberFormat="1" applyFont="1" applyBorder="1">
      <alignment vertical="center"/>
    </xf>
    <xf numFmtId="0" fontId="0" fillId="0" borderId="1" xfId="0" applyFont="1" applyBorder="1">
      <alignment vertical="center"/>
    </xf>
    <xf numFmtId="0" fontId="4" fillId="0" borderId="2" xfId="0" applyFont="1" applyBorder="1">
      <alignment vertical="center"/>
    </xf>
    <xf numFmtId="0" fontId="0" fillId="0" borderId="3" xfId="0" applyFont="1" applyBorder="1">
      <alignment vertical="center"/>
    </xf>
    <xf numFmtId="0" fontId="0" fillId="0" borderId="4" xfId="0" applyFont="1" applyBorder="1">
      <alignment vertical="center"/>
    </xf>
    <xf numFmtId="176" fontId="3" fillId="2" borderId="0" xfId="0" applyNumberFormat="1" applyFont="1" applyFill="1" applyAlignment="1">
      <alignment horizontal="left" vertical="center"/>
    </xf>
    <xf numFmtId="176" fontId="3" fillId="2" borderId="1" xfId="0" applyNumberFormat="1" applyFont="1" applyFill="1" applyBorder="1" applyAlignment="1">
      <alignment horizontal="left" vertical="center"/>
    </xf>
    <xf numFmtId="0" fontId="3" fillId="2" borderId="1" xfId="0" applyFont="1" applyFill="1" applyBorder="1" applyAlignment="1">
      <alignment horizontal="left" vertical="center"/>
    </xf>
    <xf numFmtId="49"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vertical="center"/>
    </xf>
    <xf numFmtId="49" fontId="3" fillId="2" borderId="0" xfId="0" applyNumberFormat="1" applyFont="1" applyFill="1" applyAlignment="1">
      <alignment horizontal="left" vertical="center" wrapText="1"/>
    </xf>
    <xf numFmtId="49" fontId="2" fillId="2" borderId="0" xfId="0" applyNumberFormat="1" applyFont="1" applyFill="1" applyAlignment="1">
      <alignment horizontal="left" vertical="center" wrapText="1"/>
    </xf>
    <xf numFmtId="57" fontId="5" fillId="0" borderId="0" xfId="0" applyNumberFormat="1" applyFont="1" applyAlignment="1">
      <alignment horizontal="left" vertical="center"/>
    </xf>
    <xf numFmtId="0" fontId="5" fillId="0" borderId="0" xfId="0" applyFont="1" applyAlignment="1">
      <alignment horizontal="left" vertical="center"/>
    </xf>
    <xf numFmtId="14" fontId="5" fillId="0" borderId="0" xfId="0" applyNumberFormat="1" applyFont="1" applyAlignment="1">
      <alignment horizontal="right" vertical="center"/>
    </xf>
    <xf numFmtId="0" fontId="5" fillId="0" borderId="0" xfId="0" applyFont="1" applyAlignment="1">
      <alignment horizontal="right" vertical="center"/>
    </xf>
    <xf numFmtId="0" fontId="5" fillId="0" borderId="0" xfId="0" applyFont="1">
      <alignment vertical="center"/>
    </xf>
    <xf numFmtId="0" fontId="5" fillId="0" borderId="0" xfId="0" applyFont="1" applyAlignment="1">
      <alignment horizontal="center" vertical="center"/>
    </xf>
    <xf numFmtId="4" fontId="5" fillId="0" borderId="0" xfId="0" applyNumberFormat="1" applyFont="1" applyAlignment="1">
      <alignment horizontal="right" vertical="center"/>
    </xf>
    <xf numFmtId="3" fontId="5" fillId="0" borderId="0" xfId="0" applyNumberFormat="1" applyFont="1" applyAlignment="1">
      <alignment horizontal="right" vertical="center"/>
    </xf>
    <xf numFmtId="0" fontId="4" fillId="0" borderId="0" xfId="0" applyFont="1">
      <alignment vertical="center"/>
    </xf>
    <xf numFmtId="0" fontId="4" fillId="0" borderId="0" xfId="0" applyFont="1" applyAlignment="1">
      <alignment vertical="center" wrapText="1"/>
    </xf>
    <xf numFmtId="49" fontId="2" fillId="2" borderId="0" xfId="0" applyNumberFormat="1" applyFont="1" applyFill="1" applyAlignment="1">
      <alignment horizontal="left" vertical="center"/>
    </xf>
    <xf numFmtId="176" fontId="2" fillId="2" borderId="0" xfId="0" applyNumberFormat="1" applyFont="1" applyFill="1" applyAlignment="1">
      <alignment horizontal="left" vertical="center"/>
    </xf>
    <xf numFmtId="0" fontId="2" fillId="2" borderId="0" xfId="0" applyFont="1" applyFill="1">
      <alignment vertical="center"/>
    </xf>
    <xf numFmtId="0" fontId="2" fillId="2" borderId="0" xfId="0" applyFont="1" applyFill="1" applyAlignment="1"/>
    <xf numFmtId="0" fontId="2" fillId="2" borderId="0" xfId="0" applyFont="1" applyFill="1" applyAlignment="1">
      <alignment vertical="center" wrapText="1"/>
    </xf>
    <xf numFmtId="0" fontId="2" fillId="0" borderId="0" xfId="0" applyFont="1">
      <alignment vertical="center"/>
    </xf>
    <xf numFmtId="49" fontId="4" fillId="0" borderId="1" xfId="0" applyNumberFormat="1" applyFont="1" applyBorder="1" applyAlignment="1"/>
    <xf numFmtId="0" fontId="4" fillId="0" borderId="1" xfId="0" applyFont="1" applyBorder="1" applyAlignment="1"/>
    <xf numFmtId="0" fontId="6" fillId="0" borderId="1" xfId="0" applyFont="1" applyBorder="1" applyAlignment="1"/>
    <xf numFmtId="0" fontId="6" fillId="0" borderId="1" xfId="0" applyFont="1" applyBorder="1">
      <alignment vertical="center"/>
    </xf>
    <xf numFmtId="0" fontId="4" fillId="0" borderId="1" xfId="0" applyFont="1" applyBorder="1" applyAlignment="1">
      <alignment vertical="center" wrapText="1"/>
    </xf>
    <xf numFmtId="0" fontId="4" fillId="0" borderId="1" xfId="0" applyFont="1" applyBorder="1" applyAlignment="1">
      <alignment wrapText="1"/>
    </xf>
    <xf numFmtId="0" fontId="4" fillId="0" borderId="5" xfId="0" applyFont="1" applyBorder="1">
      <alignment vertical="center"/>
    </xf>
    <xf numFmtId="0" fontId="0" fillId="0" borderId="6" xfId="0" applyFont="1" applyBorder="1">
      <alignment vertical="center"/>
    </xf>
    <xf numFmtId="0" fontId="7" fillId="0" borderId="4" xfId="0" applyFont="1" applyBorder="1">
      <alignment vertical="center"/>
    </xf>
    <xf numFmtId="0" fontId="7" fillId="0" borderId="3" xfId="0" applyFont="1" applyBorder="1">
      <alignment vertical="center"/>
    </xf>
    <xf numFmtId="0" fontId="6" fillId="0" borderId="0" xfId="0" applyFont="1">
      <alignment vertical="center"/>
    </xf>
    <xf numFmtId="0" fontId="0" fillId="0" borderId="1" xfId="0" applyFont="1" applyBorder="1" applyAlignment="1">
      <alignment horizontal="center" vertical="center"/>
    </xf>
    <xf numFmtId="0" fontId="1" fillId="0" borderId="1" xfId="0" applyFont="1" applyBorder="1">
      <alignment vertical="center"/>
    </xf>
    <xf numFmtId="0" fontId="8" fillId="0" borderId="1" xfId="0" applyFont="1" applyBorder="1">
      <alignment vertical="center"/>
    </xf>
    <xf numFmtId="176" fontId="9" fillId="2" borderId="1" xfId="0" applyNumberFormat="1" applyFont="1" applyFill="1" applyBorder="1" applyAlignment="1">
      <alignment horizontal="left" vertical="center"/>
    </xf>
    <xf numFmtId="0" fontId="0" fillId="2" borderId="1" xfId="0" applyFont="1" applyFill="1" applyBorder="1">
      <alignment vertical="center"/>
    </xf>
    <xf numFmtId="0" fontId="10" fillId="2" borderId="1" xfId="0" applyFont="1" applyFill="1" applyBorder="1" applyAlignment="1">
      <alignment horizontal="center" vertical="center" wrapText="1"/>
    </xf>
    <xf numFmtId="0" fontId="10" fillId="2" borderId="1" xfId="0" applyFont="1" applyFill="1" applyBorder="1" applyAlignment="1">
      <alignment vertical="center" wrapText="1"/>
    </xf>
    <xf numFmtId="0" fontId="11" fillId="2" borderId="1" xfId="0" applyFont="1" applyFill="1" applyBorder="1" applyAlignment="1">
      <alignment vertical="center" wrapText="1"/>
    </xf>
    <xf numFmtId="177" fontId="10" fillId="2" borderId="1" xfId="0" applyNumberFormat="1" applyFont="1" applyFill="1" applyBorder="1" applyAlignment="1">
      <alignment horizontal="center" vertical="center" wrapText="1"/>
    </xf>
    <xf numFmtId="0" fontId="2" fillId="2" borderId="1" xfId="0" applyFont="1" applyFill="1" applyBorder="1">
      <alignment vertical="center"/>
    </xf>
    <xf numFmtId="178" fontId="4"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49" fontId="12" fillId="0" borderId="1" xfId="0" applyNumberFormat="1" applyFont="1" applyBorder="1" applyAlignment="1">
      <alignment horizontal="left" vertical="center"/>
    </xf>
    <xf numFmtId="0" fontId="4" fillId="0" borderId="1" xfId="0" applyFont="1" applyBorder="1" applyAlignment="1">
      <alignment horizontal="center" vertical="center"/>
    </xf>
    <xf numFmtId="177" fontId="4" fillId="0" borderId="1" xfId="0" applyNumberFormat="1" applyFont="1" applyBorder="1" applyAlignment="1">
      <alignment horizontal="center" vertical="center"/>
    </xf>
    <xf numFmtId="0" fontId="13" fillId="0" borderId="1" xfId="0" applyFont="1" applyBorder="1">
      <alignment vertical="center"/>
    </xf>
    <xf numFmtId="177" fontId="4" fillId="3" borderId="1" xfId="0" applyNumberFormat="1" applyFont="1" applyFill="1" applyBorder="1" applyAlignment="1">
      <alignment horizontal="center" vertical="center"/>
    </xf>
    <xf numFmtId="49" fontId="14" fillId="0" borderId="1" xfId="0" applyNumberFormat="1" applyFont="1" applyBorder="1" applyAlignment="1">
      <alignment horizontal="left" vertical="center"/>
    </xf>
    <xf numFmtId="49" fontId="8" fillId="0" borderId="1" xfId="0" applyNumberFormat="1" applyFont="1" applyBorder="1" applyAlignment="1">
      <alignment horizontal="left" vertical="center"/>
    </xf>
    <xf numFmtId="178" fontId="4" fillId="0" borderId="1"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4" fillId="3" borderId="1" xfId="0" applyFont="1" applyFill="1" applyBorder="1">
      <alignment vertical="center"/>
    </xf>
    <xf numFmtId="49" fontId="4" fillId="0" borderId="1" xfId="0" applyNumberFormat="1" applyFont="1" applyBorder="1" applyAlignment="1">
      <alignment horizontal="left" vertical="center" wrapText="1"/>
    </xf>
    <xf numFmtId="49" fontId="4" fillId="0" borderId="1" xfId="0" applyNumberFormat="1" applyFont="1" applyBorder="1" applyAlignment="1">
      <alignment vertical="center" wrapText="1"/>
    </xf>
    <xf numFmtId="0" fontId="4" fillId="4" borderId="1" xfId="0" applyFont="1" applyFill="1" applyBorder="1" applyAlignment="1">
      <alignment vertical="center" wrapText="1"/>
    </xf>
    <xf numFmtId="0" fontId="4" fillId="0" borderId="1" xfId="0" applyFont="1" applyBorder="1" applyAlignment="1">
      <alignment horizontal="left"/>
    </xf>
    <xf numFmtId="14" fontId="4" fillId="0" borderId="1" xfId="0" applyNumberFormat="1" applyFont="1" applyBorder="1">
      <alignment vertical="center"/>
    </xf>
    <xf numFmtId="22" fontId="4" fillId="0" borderId="1" xfId="0" applyNumberFormat="1" applyFont="1" applyBorder="1">
      <alignment vertical="center"/>
    </xf>
    <xf numFmtId="4" fontId="4" fillId="0" borderId="1" xfId="0" applyNumberFormat="1" applyFont="1" applyBorder="1" applyAlignment="1">
      <alignment horizontal="center" vertical="center"/>
    </xf>
    <xf numFmtId="0" fontId="7" fillId="0" borderId="1" xfId="0" applyFont="1" applyBorder="1" applyAlignment="1">
      <alignment horizontal="left" vertical="center" wrapText="1"/>
    </xf>
    <xf numFmtId="176" fontId="4" fillId="3" borderId="1" xfId="0" applyNumberFormat="1" applyFont="1" applyFill="1" applyBorder="1" applyAlignment="1">
      <alignment horizontal="left" vertical="center"/>
    </xf>
    <xf numFmtId="0" fontId="6" fillId="3" borderId="1" xfId="0" applyFont="1" applyFill="1" applyBorder="1">
      <alignment vertical="center"/>
    </xf>
    <xf numFmtId="0" fontId="4" fillId="3" borderId="1" xfId="0" applyFont="1" applyFill="1" applyBorder="1" applyAlignment="1"/>
    <xf numFmtId="0" fontId="8" fillId="3" borderId="1" xfId="0" applyFont="1" applyFill="1" applyBorder="1">
      <alignment vertical="center"/>
    </xf>
    <xf numFmtId="49" fontId="4" fillId="3" borderId="1" xfId="0" applyNumberFormat="1" applyFont="1" applyFill="1" applyBorder="1">
      <alignment vertical="center"/>
    </xf>
    <xf numFmtId="0" fontId="4" fillId="3" borderId="1" xfId="0" applyFont="1" applyFill="1" applyBorder="1" applyAlignment="1">
      <alignment horizontal="center" vertical="center"/>
    </xf>
    <xf numFmtId="4" fontId="4" fillId="3" borderId="1" xfId="0" applyNumberFormat="1" applyFont="1" applyFill="1" applyBorder="1" applyAlignment="1">
      <alignment horizontal="center" vertical="center"/>
    </xf>
    <xf numFmtId="0" fontId="4" fillId="5" borderId="1" xfId="0" applyFont="1" applyFill="1" applyBorder="1">
      <alignment vertical="center"/>
    </xf>
    <xf numFmtId="3" fontId="4" fillId="0" borderId="1" xfId="0" applyNumberFormat="1" applyFont="1" applyBorder="1" applyAlignment="1">
      <alignment horizontal="center" vertical="center"/>
    </xf>
    <xf numFmtId="179" fontId="4" fillId="0" borderId="1" xfId="0" applyNumberFormat="1" applyFont="1" applyBorder="1">
      <alignment vertical="center"/>
    </xf>
    <xf numFmtId="0" fontId="8" fillId="6" borderId="1" xfId="0" applyFont="1" applyFill="1" applyBorder="1">
      <alignment vertical="center"/>
    </xf>
    <xf numFmtId="0" fontId="8" fillId="7" borderId="1" xfId="0" applyFont="1" applyFill="1" applyBorder="1">
      <alignment vertical="center"/>
    </xf>
    <xf numFmtId="49" fontId="7" fillId="0" borderId="1" xfId="0" applyNumberFormat="1" applyFont="1" applyBorder="1">
      <alignment vertical="center"/>
    </xf>
    <xf numFmtId="49" fontId="15" fillId="0" borderId="1" xfId="0" applyNumberFormat="1" applyFont="1" applyBorder="1">
      <alignment vertical="center"/>
    </xf>
    <xf numFmtId="0" fontId="4" fillId="0" borderId="1" xfId="0" applyFont="1" applyFill="1" applyBorder="1">
      <alignment vertical="center"/>
    </xf>
    <xf numFmtId="0" fontId="8" fillId="0" borderId="2" xfId="0" applyFont="1" applyBorder="1">
      <alignment vertical="center"/>
    </xf>
    <xf numFmtId="0" fontId="4" fillId="0" borderId="1" xfId="0" applyFont="1" applyFill="1" applyBorder="1" applyAlignment="1">
      <alignment vertical="center" wrapText="1"/>
    </xf>
    <xf numFmtId="0" fontId="4" fillId="0" borderId="1" xfId="0" applyFont="1" applyBorder="1" applyAlignment="1">
      <alignment horizontal="center" vertical="center" wrapText="1"/>
    </xf>
    <xf numFmtId="176" fontId="4" fillId="0" borderId="2" xfId="0" applyNumberFormat="1" applyFont="1" applyBorder="1" applyAlignment="1">
      <alignment horizontal="left" vertical="center"/>
    </xf>
    <xf numFmtId="49" fontId="4" fillId="0" borderId="2" xfId="0" applyNumberFormat="1" applyFont="1" applyBorder="1">
      <alignment vertical="center"/>
    </xf>
    <xf numFmtId="0" fontId="4" fillId="0" borderId="2" xfId="0" applyFont="1" applyBorder="1" applyAlignment="1">
      <alignment horizontal="center" vertical="center"/>
    </xf>
    <xf numFmtId="0" fontId="4" fillId="8" borderId="1" xfId="0" applyFont="1" applyFill="1" applyBorder="1">
      <alignment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0" borderId="1" xfId="0" applyFont="1" applyBorder="1">
      <alignment vertical="center"/>
    </xf>
    <xf numFmtId="0" fontId="16" fillId="0" borderId="1" xfId="0" applyFont="1" applyBorder="1">
      <alignment vertical="center"/>
    </xf>
    <xf numFmtId="0" fontId="4" fillId="7" borderId="1" xfId="0" applyFont="1" applyFill="1" applyBorder="1" applyAlignment="1">
      <alignment horizontal="center" vertical="center"/>
    </xf>
    <xf numFmtId="0" fontId="4" fillId="9" borderId="1" xfId="0" applyFont="1" applyFill="1" applyBorder="1">
      <alignment vertical="center"/>
    </xf>
    <xf numFmtId="0" fontId="0" fillId="0" borderId="1" xfId="0" applyFont="1" applyBorder="1" applyAlignment="1">
      <alignment horizontal="left" vertical="center" wrapText="1"/>
    </xf>
    <xf numFmtId="49" fontId="4" fillId="0" borderId="1" xfId="0" applyNumberFormat="1" applyFont="1" applyBorder="1" applyAlignment="1">
      <alignment horizontal="center" vertical="center" wrapText="1"/>
    </xf>
    <xf numFmtId="0" fontId="7" fillId="0" borderId="1" xfId="0" applyFont="1" applyBorder="1">
      <alignment vertical="center"/>
    </xf>
    <xf numFmtId="0" fontId="7" fillId="0" borderId="1" xfId="0" applyFont="1" applyBorder="1" applyAlignment="1"/>
    <xf numFmtId="0" fontId="4" fillId="5" borderId="1" xfId="0" applyFont="1" applyFill="1" applyBorder="1" applyAlignment="1">
      <alignment vertical="center" wrapText="1"/>
    </xf>
    <xf numFmtId="0" fontId="4" fillId="8" borderId="1" xfId="0" applyFont="1" applyFill="1" applyBorder="1" applyAlignment="1">
      <alignment vertical="center" wrapText="1"/>
    </xf>
    <xf numFmtId="0" fontId="4" fillId="0" borderId="1" xfId="0" applyFont="1" applyFill="1" applyBorder="1" applyAlignment="1">
      <alignment horizontal="center" vertical="center" wrapText="1"/>
    </xf>
    <xf numFmtId="0" fontId="4" fillId="10" borderId="1" xfId="0" applyFont="1" applyFill="1" applyBorder="1">
      <alignment vertical="center"/>
    </xf>
    <xf numFmtId="3" fontId="4" fillId="0" borderId="2" xfId="0" applyNumberFormat="1" applyFont="1" applyBorder="1" applyAlignment="1">
      <alignment horizontal="center" vertical="center"/>
    </xf>
    <xf numFmtId="0" fontId="4" fillId="0" borderId="2" xfId="0" applyFont="1" applyBorder="1" applyAlignment="1">
      <alignment vertical="center" wrapText="1"/>
    </xf>
    <xf numFmtId="0" fontId="6" fillId="0" borderId="2" xfId="0" applyFont="1" applyBorder="1">
      <alignment vertical="center"/>
    </xf>
    <xf numFmtId="0" fontId="4" fillId="0" borderId="2" xfId="0" applyFont="1" applyBorder="1" applyAlignment="1">
      <alignment horizontal="center" vertical="center" wrapText="1"/>
    </xf>
    <xf numFmtId="4" fontId="4" fillId="0" borderId="2" xfId="0" applyNumberFormat="1" applyFont="1" applyBorder="1" applyAlignment="1">
      <alignment horizontal="center" vertical="center"/>
    </xf>
    <xf numFmtId="49" fontId="2" fillId="2" borderId="1" xfId="0" applyNumberFormat="1" applyFont="1" applyFill="1" applyBorder="1" applyAlignment="1">
      <alignment horizontal="left" vertical="center"/>
    </xf>
    <xf numFmtId="0" fontId="8" fillId="2" borderId="0" xfId="0" applyFont="1" applyFill="1">
      <alignment vertical="center"/>
    </xf>
    <xf numFmtId="0" fontId="4" fillId="11" borderId="1" xfId="0" applyFont="1" applyFill="1" applyBorder="1">
      <alignment vertical="center"/>
    </xf>
    <xf numFmtId="0" fontId="6" fillId="11" borderId="1" xfId="0" applyFont="1" applyFill="1" applyBorder="1">
      <alignment vertical="center"/>
    </xf>
    <xf numFmtId="0" fontId="4" fillId="11" borderId="1" xfId="0" applyFont="1" applyFill="1" applyBorder="1" applyAlignment="1">
      <alignment vertical="center" wrapText="1"/>
    </xf>
    <xf numFmtId="176" fontId="17" fillId="0" borderId="1" xfId="0" applyNumberFormat="1" applyFont="1" applyBorder="1" applyAlignment="1">
      <alignment horizontal="left" vertical="center"/>
    </xf>
    <xf numFmtId="0" fontId="18" fillId="11" borderId="1" xfId="0" applyFont="1" applyFill="1" applyBorder="1">
      <alignment vertical="center"/>
    </xf>
    <xf numFmtId="0" fontId="17" fillId="11" borderId="1" xfId="0" applyFont="1" applyFill="1" applyBorder="1" applyAlignment="1">
      <alignment vertical="center" wrapText="1"/>
    </xf>
    <xf numFmtId="0" fontId="17" fillId="0" borderId="1" xfId="0" applyFont="1" applyBorder="1">
      <alignment vertical="center"/>
    </xf>
    <xf numFmtId="176" fontId="17" fillId="0" borderId="1" xfId="0" applyNumberFormat="1" applyFont="1" applyBorder="1">
      <alignment vertical="center"/>
    </xf>
    <xf numFmtId="49" fontId="17" fillId="0" borderId="1" xfId="0" applyNumberFormat="1" applyFont="1" applyBorder="1" applyAlignment="1">
      <alignment horizontal="left" vertical="center"/>
    </xf>
    <xf numFmtId="0" fontId="18" fillId="0" borderId="1" xfId="0" applyFont="1" applyBorder="1">
      <alignment vertical="center"/>
    </xf>
    <xf numFmtId="0" fontId="17" fillId="11" borderId="1" xfId="0" applyFont="1" applyFill="1" applyBorder="1">
      <alignment vertical="center"/>
    </xf>
    <xf numFmtId="0" fontId="18" fillId="0" borderId="2" xfId="0" applyFont="1" applyBorder="1">
      <alignment vertical="center"/>
    </xf>
    <xf numFmtId="176" fontId="17" fillId="0" borderId="2" xfId="0" applyNumberFormat="1" applyFont="1" applyBorder="1" applyAlignment="1">
      <alignment horizontal="left" vertical="center"/>
    </xf>
    <xf numFmtId="4" fontId="4" fillId="0" borderId="2" xfId="0" applyNumberFormat="1" applyFont="1" applyBorder="1">
      <alignment vertical="center"/>
    </xf>
    <xf numFmtId="0" fontId="0" fillId="0" borderId="1" xfId="0" applyFont="1" applyBorder="1" applyAlignment="1">
      <alignment horizontal="left" vertical="center"/>
    </xf>
    <xf numFmtId="0" fontId="2" fillId="12" borderId="1" xfId="0" applyFont="1" applyFill="1" applyBorder="1" applyAlignment="1">
      <alignment horizontal="center" vertical="center" wrapText="1"/>
    </xf>
    <xf numFmtId="0" fontId="0" fillId="13" borderId="1" xfId="0" applyFont="1" applyFill="1" applyBorder="1">
      <alignment vertical="center"/>
    </xf>
    <xf numFmtId="0" fontId="19" fillId="0" borderId="1" xfId="0" applyFont="1" applyBorder="1">
      <alignment vertical="center"/>
    </xf>
    <xf numFmtId="0" fontId="4" fillId="0" borderId="1" xfId="0" applyFont="1" applyBorder="1" applyAlignment="1">
      <alignment horizontal="left" vertical="center" wrapText="1"/>
    </xf>
    <xf numFmtId="0" fontId="4" fillId="0" borderId="1" xfId="0" applyFont="1" applyBorder="1" applyAlignment="1">
      <alignment horizontal="left" vertical="center"/>
    </xf>
    <xf numFmtId="0" fontId="20" fillId="0" borderId="1" xfId="0" applyFont="1" applyBorder="1" applyAlignment="1">
      <alignment horizontal="left" vertical="center"/>
    </xf>
    <xf numFmtId="22" fontId="20" fillId="0" borderId="1" xfId="0" applyNumberFormat="1" applyFont="1" applyBorder="1" applyAlignment="1">
      <alignment horizontal="left" vertical="center"/>
    </xf>
    <xf numFmtId="0" fontId="7" fillId="0" borderId="1" xfId="0" applyFont="1" applyBorder="1" applyAlignment="1">
      <alignment horizontal="left" vertical="center"/>
    </xf>
    <xf numFmtId="0" fontId="4" fillId="10" borderId="1" xfId="0" applyFont="1" applyFill="1" applyBorder="1" applyAlignment="1">
      <alignment horizontal="left" vertical="center" wrapText="1"/>
    </xf>
    <xf numFmtId="3" fontId="20" fillId="0" borderId="1" xfId="0" applyNumberFormat="1" applyFont="1" applyBorder="1" applyAlignment="1">
      <alignment horizontal="left" vertical="center"/>
    </xf>
    <xf numFmtId="0" fontId="21" fillId="0" borderId="1" xfId="0" applyFont="1" applyBorder="1" applyAlignment="1"/>
    <xf numFmtId="3" fontId="4" fillId="0" borderId="1" xfId="0" applyNumberFormat="1" applyFont="1" applyBorder="1" applyAlignment="1">
      <alignment horizontal="left" vertical="center" wrapText="1"/>
    </xf>
    <xf numFmtId="4" fontId="4" fillId="0" borderId="1" xfId="0" applyNumberFormat="1" applyFont="1" applyBorder="1" applyAlignment="1">
      <alignment horizontal="left" vertical="center"/>
    </xf>
    <xf numFmtId="4" fontId="4" fillId="0" borderId="1" xfId="0" applyNumberFormat="1" applyFont="1" applyBorder="1" applyAlignment="1">
      <alignment horizontal="left" vertical="center" wrapText="1"/>
    </xf>
    <xf numFmtId="0" fontId="22" fillId="0" borderId="1" xfId="0" applyFont="1" applyBorder="1" applyAlignment="1">
      <alignment horizontal="left"/>
    </xf>
    <xf numFmtId="0" fontId="16" fillId="0" borderId="1" xfId="0" applyFont="1" applyBorder="1" applyAlignment="1">
      <alignment horizontal="left" vertical="center"/>
    </xf>
    <xf numFmtId="0" fontId="16" fillId="0" borderId="1" xfId="0" applyFont="1" applyBorder="1" applyAlignment="1">
      <alignment horizontal="left" vertical="center" wrapText="1"/>
    </xf>
    <xf numFmtId="3" fontId="4" fillId="0" borderId="1" xfId="0" applyNumberFormat="1" applyFont="1" applyBorder="1" applyAlignment="1">
      <alignment horizontal="left" vertical="center"/>
    </xf>
    <xf numFmtId="0" fontId="5" fillId="0" borderId="1" xfId="0" applyFont="1" applyBorder="1" applyAlignment="1">
      <alignment horizontal="left" vertical="center"/>
    </xf>
    <xf numFmtId="176" fontId="4" fillId="0" borderId="1" xfId="0" applyNumberFormat="1" applyFont="1" applyBorder="1" applyAlignment="1">
      <alignment horizontal="left" vertical="center" wrapText="1"/>
    </xf>
    <xf numFmtId="0" fontId="4" fillId="0" borderId="1" xfId="0" applyFont="1" applyFill="1" applyBorder="1" applyAlignment="1">
      <alignment horizontal="left" vertical="center" wrapText="1"/>
    </xf>
    <xf numFmtId="176" fontId="16" fillId="0" borderId="1" xfId="0" applyNumberFormat="1" applyFont="1" applyBorder="1" applyAlignment="1">
      <alignment horizontal="left" vertical="center"/>
    </xf>
    <xf numFmtId="49" fontId="16" fillId="0" borderId="1" xfId="0" applyNumberFormat="1" applyFont="1" applyBorder="1">
      <alignment vertical="center"/>
    </xf>
    <xf numFmtId="0" fontId="5" fillId="0" borderId="1" xfId="0" applyFont="1" applyBorder="1">
      <alignment vertical="center"/>
    </xf>
    <xf numFmtId="49" fontId="5" fillId="0" borderId="1" xfId="0" applyNumberFormat="1" applyFont="1" applyBorder="1">
      <alignment vertical="center"/>
    </xf>
    <xf numFmtId="0" fontId="5" fillId="0" borderId="1" xfId="0" applyFont="1" applyBorder="1" applyAlignment="1">
      <alignment vertical="center" wrapText="1"/>
    </xf>
    <xf numFmtId="4" fontId="4" fillId="0" borderId="1" xfId="0" applyNumberFormat="1" applyFont="1" applyBorder="1">
      <alignment vertical="center"/>
    </xf>
    <xf numFmtId="0" fontId="23" fillId="0" borderId="1" xfId="0" applyFont="1" applyBorder="1">
      <alignment vertical="center"/>
    </xf>
    <xf numFmtId="0" fontId="21" fillId="0" borderId="1" xfId="0" applyFont="1" applyBorder="1">
      <alignment vertical="center"/>
    </xf>
    <xf numFmtId="179" fontId="0" fillId="0" borderId="1" xfId="0" applyNumberFormat="1" applyFont="1" applyBorder="1">
      <alignment vertical="center"/>
    </xf>
    <xf numFmtId="4" fontId="0" fillId="0" borderId="1" xfId="0" applyNumberFormat="1" applyFont="1" applyBorder="1">
      <alignment vertical="center"/>
    </xf>
    <xf numFmtId="4" fontId="0" fillId="0" borderId="1" xfId="0" applyNumberFormat="1" applyFont="1" applyBorder="1" applyAlignment="1">
      <alignment horizontal="left" vertical="center"/>
    </xf>
    <xf numFmtId="0" fontId="0" fillId="0" borderId="1" xfId="0" applyFont="1" applyFill="1" applyBorder="1" applyAlignment="1">
      <alignment horizontal="left" vertical="center" wrapText="1"/>
    </xf>
    <xf numFmtId="0" fontId="0" fillId="2" borderId="1" xfId="0" applyFont="1" applyFill="1" applyBorder="1" applyAlignment="1">
      <alignment horizontal="left" vertical="center" wrapText="1"/>
    </xf>
    <xf numFmtId="49" fontId="0" fillId="0" borderId="1" xfId="0" applyNumberFormat="1" applyFont="1" applyBorder="1" applyAlignment="1">
      <alignment vertical="center" wrapText="1"/>
    </xf>
    <xf numFmtId="3" fontId="0" fillId="0" borderId="1" xfId="0" applyNumberFormat="1" applyFont="1" applyBorder="1" applyAlignment="1">
      <alignment horizontal="left" vertical="center"/>
    </xf>
    <xf numFmtId="0" fontId="0" fillId="0" borderId="1" xfId="0" applyFont="1" applyBorder="1" applyAlignment="1">
      <alignment vertical="center" wrapText="1"/>
    </xf>
    <xf numFmtId="0" fontId="0" fillId="10" borderId="1" xfId="0" applyFont="1" applyFill="1" applyBorder="1" applyAlignment="1">
      <alignment horizontal="left" vertical="center" wrapText="1"/>
    </xf>
    <xf numFmtId="0" fontId="0" fillId="0" borderId="2" xfId="0" applyFont="1" applyBorder="1" applyAlignment="1">
      <alignment horizontal="left" vertical="center"/>
    </xf>
    <xf numFmtId="0" fontId="0" fillId="0" borderId="2" xfId="0" applyFont="1" applyBorder="1">
      <alignment vertical="center"/>
    </xf>
    <xf numFmtId="0" fontId="0" fillId="9" borderId="1" xfId="0" applyFont="1" applyFill="1" applyBorder="1" applyAlignment="1">
      <alignment horizontal="left" vertical="center" wrapText="1"/>
    </xf>
    <xf numFmtId="179" fontId="4" fillId="0" borderId="2" xfId="0" applyNumberFormat="1" applyFont="1" applyBorder="1">
      <alignment vertical="center"/>
    </xf>
    <xf numFmtId="0" fontId="0" fillId="8" borderId="2" xfId="0" applyFont="1" applyFill="1" applyBorder="1" applyAlignment="1">
      <alignment horizontal="left" vertical="center" wrapText="1"/>
    </xf>
    <xf numFmtId="0" fontId="5" fillId="9" borderId="1" xfId="0" applyFont="1" applyFill="1" applyBorder="1" applyAlignment="1">
      <alignment horizontal="left" vertical="center"/>
    </xf>
    <xf numFmtId="0" fontId="0" fillId="0" borderId="2" xfId="0" applyFont="1" applyBorder="1" applyAlignment="1">
      <alignment horizontal="left" vertical="center" wrapText="1"/>
    </xf>
    <xf numFmtId="49" fontId="0" fillId="0" borderId="2" xfId="0" applyNumberFormat="1" applyFont="1" applyBorder="1">
      <alignment vertical="center"/>
    </xf>
    <xf numFmtId="0" fontId="4" fillId="0" borderId="7" xfId="0" applyFont="1" applyBorder="1">
      <alignment vertical="center"/>
    </xf>
    <xf numFmtId="0" fontId="4" fillId="0" borderId="8" xfId="0" applyFont="1" applyBorder="1">
      <alignment vertical="center"/>
    </xf>
    <xf numFmtId="0" fontId="0" fillId="0" borderId="1" xfId="0" applyFont="1" applyFill="1" applyBorder="1">
      <alignment vertical="center"/>
    </xf>
    <xf numFmtId="0" fontId="24" fillId="0" borderId="1" xfId="0" applyFont="1" applyBorder="1">
      <alignment vertical="center"/>
    </xf>
    <xf numFmtId="180" fontId="5" fillId="0" borderId="1" xfId="0" applyNumberFormat="1" applyFont="1" applyBorder="1">
      <alignment vertical="center"/>
    </xf>
    <xf numFmtId="176" fontId="3" fillId="2" borderId="1" xfId="0" applyNumberFormat="1" applyFont="1" applyFill="1" applyBorder="1" applyAlignment="1">
      <alignment horizontal="left" vertical="center"/>
    </xf>
    <xf numFmtId="49" fontId="3" fillId="2" borderId="1" xfId="0" applyNumberFormat="1" applyFont="1" applyFill="1" applyBorder="1" applyAlignment="1">
      <alignment horizontal="left" vertical="center" wrapText="1"/>
    </xf>
    <xf numFmtId="49" fontId="3" fillId="2" borderId="1" xfId="0" applyNumberFormat="1" applyFont="1" applyFill="1" applyBorder="1" applyAlignment="1">
      <alignment horizontal="left" vertical="center"/>
    </xf>
    <xf numFmtId="0" fontId="3" fillId="2" borderId="1" xfId="0" applyFont="1" applyFill="1" applyBorder="1">
      <alignment vertical="center"/>
    </xf>
    <xf numFmtId="180" fontId="2" fillId="2" borderId="1" xfId="0" applyNumberFormat="1" applyFont="1" applyFill="1" applyBorder="1" applyAlignment="1">
      <alignment horizontal="left" vertical="center"/>
    </xf>
    <xf numFmtId="0" fontId="3" fillId="2" borderId="1" xfId="0" applyFont="1" applyFill="1" applyBorder="1" applyAlignment="1">
      <alignment vertical="center" wrapText="1"/>
    </xf>
    <xf numFmtId="22" fontId="16" fillId="0" borderId="1" xfId="0" applyNumberFormat="1" applyFont="1" applyBorder="1" applyAlignment="1">
      <alignment horizontal="left" vertical="center"/>
    </xf>
    <xf numFmtId="0" fontId="25" fillId="0" borderId="1" xfId="0" applyFont="1" applyBorder="1">
      <alignment vertical="center"/>
    </xf>
    <xf numFmtId="49" fontId="16" fillId="0" borderId="1" xfId="0" applyNumberFormat="1" applyFont="1" applyBorder="1" applyAlignment="1">
      <alignment horizontal="left" vertical="center"/>
    </xf>
    <xf numFmtId="180" fontId="16" fillId="0" borderId="1" xfId="0" applyNumberFormat="1" applyFont="1" applyBorder="1">
      <alignment vertical="center"/>
    </xf>
    <xf numFmtId="0" fontId="16" fillId="0" borderId="1" xfId="0" applyFont="1" applyBorder="1" applyAlignment="1">
      <alignment vertical="center" wrapText="1"/>
    </xf>
    <xf numFmtId="14" fontId="16" fillId="0" borderId="1" xfId="0" applyNumberFormat="1" applyFont="1" applyBorder="1">
      <alignment vertical="center"/>
    </xf>
    <xf numFmtId="49" fontId="16" fillId="0" borderId="1" xfId="0" applyNumberFormat="1" applyFont="1" applyBorder="1" applyAlignment="1">
      <alignment vertical="center" wrapText="1"/>
    </xf>
    <xf numFmtId="181" fontId="16" fillId="0" borderId="1" xfId="0" applyNumberFormat="1" applyFont="1" applyBorder="1">
      <alignment vertical="center"/>
    </xf>
    <xf numFmtId="22" fontId="16" fillId="0" borderId="1" xfId="0" applyNumberFormat="1" applyFont="1" applyBorder="1">
      <alignment vertical="center"/>
    </xf>
    <xf numFmtId="49" fontId="16" fillId="14" borderId="1" xfId="0" applyNumberFormat="1" applyFont="1" applyFill="1" applyBorder="1">
      <alignment vertical="center"/>
    </xf>
    <xf numFmtId="0" fontId="26" fillId="0" borderId="1" xfId="0" applyFont="1" applyBorder="1" applyAlignment="1"/>
    <xf numFmtId="4" fontId="16" fillId="0" borderId="1" xfId="0" applyNumberFormat="1" applyFont="1" applyBorder="1">
      <alignment vertical="center"/>
    </xf>
    <xf numFmtId="3" fontId="16" fillId="0" borderId="1" xfId="0" applyNumberFormat="1" applyFont="1" applyBorder="1">
      <alignment vertical="center"/>
    </xf>
    <xf numFmtId="49" fontId="16" fillId="0" borderId="1" xfId="0" applyNumberFormat="1" applyFont="1" applyBorder="1" applyAlignment="1">
      <alignment horizontal="right" vertical="center"/>
    </xf>
    <xf numFmtId="0" fontId="5" fillId="0" borderId="1" xfId="0" applyFont="1" applyBorder="1" applyAlignment="1">
      <alignment horizontal="left" vertical="center" wrapText="1"/>
    </xf>
    <xf numFmtId="4" fontId="5" fillId="0" borderId="1" xfId="0" applyNumberFormat="1" applyFont="1" applyBorder="1">
      <alignment vertical="center"/>
    </xf>
    <xf numFmtId="49" fontId="5" fillId="0" borderId="1" xfId="0" applyNumberFormat="1" applyFont="1" applyBorder="1" applyAlignment="1">
      <alignment vertical="center" wrapText="1"/>
    </xf>
    <xf numFmtId="3" fontId="5" fillId="0" borderId="1" xfId="0" applyNumberFormat="1" applyFont="1" applyBorder="1">
      <alignment vertical="center"/>
    </xf>
    <xf numFmtId="176" fontId="16" fillId="0" borderId="1" xfId="0" applyNumberFormat="1" applyFont="1" applyFill="1" applyBorder="1" applyAlignment="1">
      <alignment horizontal="left" vertical="center"/>
    </xf>
    <xf numFmtId="0" fontId="16" fillId="0" borderId="1" xfId="0" applyFont="1" applyFill="1" applyBorder="1">
      <alignment vertical="center"/>
    </xf>
    <xf numFmtId="49" fontId="16" fillId="0" borderId="1" xfId="0" applyNumberFormat="1" applyFont="1" applyFill="1" applyBorder="1">
      <alignment vertical="center"/>
    </xf>
    <xf numFmtId="0" fontId="25" fillId="0" borderId="1" xfId="0" applyFont="1" applyFill="1" applyBorder="1">
      <alignment vertical="center"/>
    </xf>
    <xf numFmtId="0" fontId="6" fillId="0" borderId="1" xfId="0" applyFont="1" applyFill="1" applyBorder="1">
      <alignment vertical="center"/>
    </xf>
    <xf numFmtId="0" fontId="5" fillId="0" borderId="1" xfId="0" applyFont="1" applyFill="1" applyBorder="1" applyAlignment="1">
      <alignment horizontal="left" vertical="center"/>
    </xf>
    <xf numFmtId="0" fontId="7" fillId="0" borderId="1" xfId="0" applyFont="1" applyFill="1" applyBorder="1">
      <alignment vertical="center"/>
    </xf>
    <xf numFmtId="0" fontId="5" fillId="0" borderId="1" xfId="0" applyFont="1" applyFill="1" applyBorder="1">
      <alignment vertical="center"/>
    </xf>
    <xf numFmtId="49" fontId="5" fillId="0" borderId="1" xfId="0" applyNumberFormat="1" applyFont="1" applyFill="1" applyBorder="1">
      <alignment vertical="center"/>
    </xf>
    <xf numFmtId="3" fontId="5" fillId="0" borderId="1" xfId="0" applyNumberFormat="1" applyFont="1" applyFill="1" applyBorder="1">
      <alignment vertical="center"/>
    </xf>
    <xf numFmtId="0" fontId="5" fillId="0" borderId="1" xfId="0" applyFont="1" applyFill="1" applyBorder="1" applyAlignment="1">
      <alignment vertical="center" wrapText="1"/>
    </xf>
    <xf numFmtId="49" fontId="5" fillId="0" borderId="1" xfId="0" applyNumberFormat="1" applyFont="1" applyBorder="1" applyAlignment="1">
      <alignment horizontal="left" vertical="center"/>
    </xf>
    <xf numFmtId="180" fontId="5" fillId="0" borderId="1" xfId="0" applyNumberFormat="1" applyFont="1" applyFill="1" applyBorder="1">
      <alignment vertical="center"/>
    </xf>
    <xf numFmtId="0" fontId="5" fillId="0" borderId="1" xfId="0" applyFont="1" applyFill="1" applyBorder="1" applyAlignment="1">
      <alignment horizontal="left" vertical="center" wrapText="1"/>
    </xf>
    <xf numFmtId="0" fontId="5" fillId="8" borderId="1" xfId="0" applyFont="1" applyFill="1" applyBorder="1">
      <alignment vertical="center"/>
    </xf>
    <xf numFmtId="49" fontId="21" fillId="0" borderId="1" xfId="0" applyNumberFormat="1" applyFont="1" applyBorder="1">
      <alignment vertical="center"/>
    </xf>
    <xf numFmtId="49" fontId="0" fillId="0" borderId="4" xfId="0" applyNumberFormat="1" applyFont="1" applyBorder="1">
      <alignment vertical="center"/>
    </xf>
    <xf numFmtId="179" fontId="5" fillId="0" borderId="1" xfId="0" applyNumberFormat="1" applyFont="1" applyBorder="1">
      <alignment vertical="center"/>
    </xf>
    <xf numFmtId="49" fontId="7" fillId="0" borderId="4" xfId="0" applyNumberFormat="1" applyFont="1" applyBorder="1">
      <alignment vertical="center"/>
    </xf>
    <xf numFmtId="0" fontId="1" fillId="0" borderId="1" xfId="0" applyFont="1" applyBorder="1" applyAlignment="1">
      <alignment horizontal="left" vertical="center"/>
    </xf>
    <xf numFmtId="49" fontId="1" fillId="0" borderId="1" xfId="0" applyNumberFormat="1" applyFont="1" applyBorder="1">
      <alignment vertical="center"/>
    </xf>
    <xf numFmtId="49" fontId="2" fillId="2" borderId="1" xfId="0" applyNumberFormat="1" applyFont="1" applyFill="1" applyBorder="1" applyAlignment="1">
      <alignment horizontal="center" vertical="center" wrapText="1"/>
    </xf>
    <xf numFmtId="0" fontId="4" fillId="3" borderId="1" xfId="0" applyFont="1" applyFill="1" applyBorder="1" applyAlignment="1">
      <alignment vertical="center" wrapText="1"/>
    </xf>
    <xf numFmtId="0" fontId="4" fillId="3" borderId="1" xfId="0" applyFont="1" applyFill="1" applyBorder="1" applyAlignment="1">
      <alignment horizontal="center" vertical="center" wrapText="1"/>
    </xf>
    <xf numFmtId="49" fontId="4" fillId="3" borderId="1" xfId="0" applyNumberFormat="1" applyFont="1" applyFill="1" applyBorder="1" applyAlignment="1">
      <alignment vertical="center" wrapText="1"/>
    </xf>
    <xf numFmtId="14" fontId="4" fillId="3" borderId="1" xfId="0" applyNumberFormat="1" applyFont="1" applyFill="1" applyBorder="1">
      <alignment vertical="center"/>
    </xf>
    <xf numFmtId="0" fontId="4" fillId="15" borderId="1" xfId="0" applyFont="1" applyFill="1" applyBorder="1">
      <alignment vertical="center"/>
    </xf>
    <xf numFmtId="0" fontId="27" fillId="0" borderId="1" xfId="0" applyFont="1" applyBorder="1" applyAlignment="1"/>
    <xf numFmtId="0" fontId="27" fillId="0" borderId="1" xfId="0" applyFont="1" applyBorder="1" applyAlignment="1">
      <alignment horizontal="center" vertical="center"/>
    </xf>
    <xf numFmtId="0" fontId="7" fillId="0" borderId="1" xfId="0" applyFont="1" applyBorder="1" applyAlignment="1">
      <alignment vertical="center" wrapText="1"/>
    </xf>
    <xf numFmtId="49" fontId="7" fillId="0" borderId="1" xfId="0" applyNumberFormat="1" applyFont="1" applyBorder="1" applyAlignment="1">
      <alignment horizontal="center" vertical="center"/>
    </xf>
    <xf numFmtId="14" fontId="4" fillId="0" borderId="1" xfId="0" applyNumberFormat="1" applyFont="1" applyBorder="1" applyAlignment="1">
      <alignment horizontal="left" vertical="center"/>
    </xf>
    <xf numFmtId="49" fontId="7" fillId="0" borderId="1" xfId="0" applyNumberFormat="1" applyFont="1" applyBorder="1" applyAlignment="1"/>
    <xf numFmtId="0" fontId="4" fillId="0" borderId="1" xfId="0" applyFont="1" applyFill="1" applyBorder="1" applyAlignment="1">
      <alignment horizontal="left" vertical="center"/>
    </xf>
    <xf numFmtId="176" fontId="4" fillId="0" borderId="1" xfId="0" applyNumberFormat="1" applyFont="1" applyFill="1" applyBorder="1" applyAlignment="1">
      <alignment horizontal="left" vertical="center"/>
    </xf>
    <xf numFmtId="0" fontId="4" fillId="0" borderId="1" xfId="0" applyFont="1" applyFill="1" applyBorder="1" applyAlignment="1">
      <alignment horizontal="center" vertical="center"/>
    </xf>
    <xf numFmtId="49" fontId="4" fillId="0" borderId="1" xfId="0" applyNumberFormat="1" applyFont="1" applyFill="1" applyBorder="1">
      <alignment vertical="center"/>
    </xf>
    <xf numFmtId="179" fontId="7" fillId="0" borderId="1" xfId="0" applyNumberFormat="1" applyFont="1" applyBorder="1">
      <alignment vertical="center"/>
    </xf>
    <xf numFmtId="0" fontId="4" fillId="0" borderId="2" xfId="0" applyFont="1" applyFill="1" applyBorder="1">
      <alignment vertical="center"/>
    </xf>
    <xf numFmtId="0" fontId="0" fillId="0" borderId="0" xfId="0" applyFont="1" applyFill="1">
      <alignment vertical="center"/>
    </xf>
    <xf numFmtId="0" fontId="0" fillId="14" borderId="0" xfId="0" applyFont="1" applyFill="1">
      <alignment vertical="center"/>
    </xf>
    <xf numFmtId="0" fontId="0" fillId="0" borderId="0" xfId="0" applyFont="1" applyAlignment="1">
      <alignment horizontal="left" vertical="center"/>
    </xf>
    <xf numFmtId="0" fontId="28" fillId="16" borderId="7" xfId="0" applyFont="1" applyFill="1" applyBorder="1" applyAlignment="1">
      <alignment horizontal="center" vertical="center"/>
    </xf>
    <xf numFmtId="0" fontId="0" fillId="0" borderId="7" xfId="0" applyFont="1" applyBorder="1">
      <alignment vertical="center"/>
    </xf>
    <xf numFmtId="0" fontId="28" fillId="0" borderId="0" xfId="0" applyFont="1">
      <alignment vertical="center"/>
    </xf>
    <xf numFmtId="0" fontId="29" fillId="16" borderId="7" xfId="0" applyFont="1" applyFill="1" applyBorder="1" applyAlignment="1">
      <alignment horizontal="left" vertical="center"/>
    </xf>
    <xf numFmtId="0" fontId="30" fillId="0" borderId="0" xfId="0" applyFont="1" applyAlignment="1">
      <alignment horizontal="left" vertical="center"/>
    </xf>
    <xf numFmtId="49" fontId="8" fillId="0" borderId="7" xfId="0" applyNumberFormat="1" applyFont="1" applyFill="1" applyBorder="1" applyAlignment="1">
      <alignment horizontal="left" vertical="center"/>
    </xf>
    <xf numFmtId="0" fontId="29" fillId="0" borderId="9" xfId="0" applyFont="1" applyFill="1" applyBorder="1" applyAlignment="1">
      <alignment horizontal="left" vertical="center"/>
    </xf>
    <xf numFmtId="0" fontId="0" fillId="0" borderId="7" xfId="0" applyFont="1" applyFill="1" applyBorder="1">
      <alignment vertical="center"/>
    </xf>
    <xf numFmtId="49" fontId="8" fillId="16" borderId="7" xfId="0" applyNumberFormat="1" applyFont="1" applyFill="1" applyBorder="1" applyAlignment="1">
      <alignment horizontal="left" vertical="center"/>
    </xf>
    <xf numFmtId="0" fontId="8" fillId="16" borderId="7" xfId="0" applyFont="1" applyFill="1" applyBorder="1" applyAlignment="1">
      <alignment horizontal="left" vertical="center"/>
    </xf>
    <xf numFmtId="0" fontId="8" fillId="0" borderId="7" xfId="0" applyFont="1" applyFill="1" applyBorder="1" applyAlignment="1">
      <alignment horizontal="left" vertical="center"/>
    </xf>
    <xf numFmtId="10" fontId="29" fillId="0" borderId="7" xfId="0" applyNumberFormat="1" applyFont="1" applyFill="1" applyBorder="1" applyAlignment="1">
      <alignment horizontal="left" vertical="center"/>
    </xf>
    <xf numFmtId="0" fontId="0" fillId="0" borderId="10" xfId="0" applyFont="1" applyFill="1" applyBorder="1">
      <alignment vertical="center"/>
    </xf>
    <xf numFmtId="10" fontId="0" fillId="0" borderId="0" xfId="0" applyNumberFormat="1" applyFont="1">
      <alignment vertical="center"/>
    </xf>
    <xf numFmtId="49" fontId="8" fillId="0" borderId="7" xfId="0" applyNumberFormat="1" applyFont="1" applyBorder="1" applyAlignment="1">
      <alignment horizontal="left" vertical="center"/>
    </xf>
    <xf numFmtId="0" fontId="29" fillId="16" borderId="9" xfId="0" applyFont="1" applyFill="1" applyBorder="1" applyAlignment="1">
      <alignment horizontal="left" vertical="center"/>
    </xf>
    <xf numFmtId="10" fontId="29" fillId="0" borderId="7" xfId="0" applyNumberFormat="1" applyFont="1" applyBorder="1" applyAlignment="1">
      <alignment horizontal="left" vertical="center"/>
    </xf>
    <xf numFmtId="0" fontId="8" fillId="0" borderId="7" xfId="0" applyFont="1" applyBorder="1" applyAlignment="1">
      <alignment horizontal="left" vertical="center"/>
    </xf>
    <xf numFmtId="49" fontId="8" fillId="17" borderId="7" xfId="0" applyNumberFormat="1" applyFont="1" applyFill="1" applyBorder="1" applyAlignment="1">
      <alignment horizontal="left" vertical="center"/>
    </xf>
    <xf numFmtId="49" fontId="8" fillId="17" borderId="8" xfId="0" applyNumberFormat="1" applyFont="1" applyFill="1" applyBorder="1" applyAlignment="1">
      <alignment horizontal="left" vertical="center"/>
    </xf>
    <xf numFmtId="49" fontId="8" fillId="0" borderId="8" xfId="0" applyNumberFormat="1" applyFont="1" applyFill="1" applyBorder="1" applyAlignment="1">
      <alignment horizontal="left" vertical="center"/>
    </xf>
    <xf numFmtId="49" fontId="8" fillId="14" borderId="7" xfId="0" applyNumberFormat="1" applyFont="1" applyFill="1" applyBorder="1" applyAlignment="1">
      <alignment horizontal="left" vertical="center"/>
    </xf>
    <xf numFmtId="0" fontId="8" fillId="14" borderId="7" xfId="0" applyFont="1" applyFill="1" applyBorder="1" applyAlignment="1">
      <alignment horizontal="left" vertical="center"/>
    </xf>
    <xf numFmtId="49" fontId="8" fillId="14" borderId="8" xfId="0" applyNumberFormat="1" applyFont="1" applyFill="1" applyBorder="1" applyAlignment="1">
      <alignment horizontal="left" vertical="center"/>
    </xf>
    <xf numFmtId="10" fontId="29" fillId="14" borderId="7" xfId="0" applyNumberFormat="1" applyFont="1" applyFill="1" applyBorder="1" applyAlignment="1">
      <alignment horizontal="left" vertical="center"/>
    </xf>
    <xf numFmtId="0" fontId="28" fillId="18" borderId="9" xfId="0" applyFont="1" applyFill="1" applyBorder="1" applyAlignment="1">
      <alignment horizontal="center" vertical="center"/>
    </xf>
    <xf numFmtId="0" fontId="0" fillId="0" borderId="11" xfId="0" applyFont="1" applyBorder="1">
      <alignment vertical="center"/>
    </xf>
    <xf numFmtId="0" fontId="29" fillId="18" borderId="7" xfId="0" applyFont="1" applyFill="1" applyBorder="1" applyAlignment="1">
      <alignment horizontal="left" vertical="center"/>
    </xf>
    <xf numFmtId="0" fontId="29" fillId="19" borderId="7" xfId="0" applyFont="1" applyFill="1" applyBorder="1" applyAlignment="1">
      <alignment horizontal="left" vertical="center"/>
    </xf>
    <xf numFmtId="0" fontId="29" fillId="18" borderId="12" xfId="0" applyFont="1" applyFill="1" applyBorder="1" applyAlignment="1">
      <alignment horizontal="left" vertical="center"/>
    </xf>
    <xf numFmtId="0" fontId="29" fillId="18" borderId="13" xfId="0" applyFont="1" applyFill="1" applyBorder="1" applyAlignment="1">
      <alignment horizontal="left" vertical="center"/>
    </xf>
    <xf numFmtId="49" fontId="8" fillId="18" borderId="7" xfId="0" applyNumberFormat="1" applyFont="1" applyFill="1" applyBorder="1" applyAlignment="1">
      <alignment horizontal="left" vertical="center"/>
    </xf>
    <xf numFmtId="0" fontId="8" fillId="18" borderId="7" xfId="0" applyFont="1" applyFill="1" applyBorder="1" applyAlignment="1">
      <alignment horizontal="left" vertical="center"/>
    </xf>
    <xf numFmtId="0" fontId="0" fillId="18" borderId="7" xfId="0" applyFont="1" applyFill="1" applyBorder="1">
      <alignment vertical="center"/>
    </xf>
    <xf numFmtId="0" fontId="0" fillId="0" borderId="9" xfId="0" applyFont="1" applyFill="1" applyBorder="1">
      <alignment vertical="center"/>
    </xf>
    <xf numFmtId="0" fontId="0" fillId="14" borderId="7" xfId="0" applyFont="1" applyFill="1" applyBorder="1">
      <alignment vertical="center"/>
    </xf>
    <xf numFmtId="0" fontId="0" fillId="14" borderId="10" xfId="0" applyFont="1" applyFill="1" applyBorder="1">
      <alignment vertical="center"/>
    </xf>
    <xf numFmtId="0" fontId="0" fillId="14" borderId="9" xfId="0" applyFont="1" applyFill="1" applyBorder="1">
      <alignment vertical="center"/>
    </xf>
    <xf numFmtId="0" fontId="28" fillId="18" borderId="0" xfId="0" applyFont="1" applyFill="1" applyAlignment="1">
      <alignment horizontal="center" vertical="center"/>
    </xf>
    <xf numFmtId="0" fontId="7" fillId="18" borderId="7" xfId="0" applyFont="1" applyFill="1" applyBorder="1">
      <alignment vertical="center"/>
    </xf>
    <xf numFmtId="0" fontId="7" fillId="14" borderId="7" xfId="0" applyFont="1" applyFill="1" applyBorder="1">
      <alignment vertical="center"/>
    </xf>
    <xf numFmtId="0" fontId="7" fillId="0" borderId="10" xfId="0" applyFont="1" applyFill="1" applyBorder="1">
      <alignment vertical="center"/>
    </xf>
    <xf numFmtId="0" fontId="0" fillId="0" borderId="9" xfId="0" applyFont="1" applyBorder="1">
      <alignment vertical="center"/>
    </xf>
    <xf numFmtId="0" fontId="7" fillId="0" borderId="9" xfId="0" applyFont="1" applyBorder="1">
      <alignment vertical="center"/>
    </xf>
    <xf numFmtId="0" fontId="7" fillId="0" borderId="7" xfId="0" applyFont="1" applyFill="1" applyBorder="1">
      <alignment vertical="center"/>
    </xf>
    <xf numFmtId="0" fontId="7" fillId="0" borderId="9" xfId="0" applyFont="1" applyFill="1" applyBorder="1">
      <alignment vertical="center"/>
    </xf>
    <xf numFmtId="0" fontId="7" fillId="0" borderId="7" xfId="0" applyFont="1" applyBorder="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1">
    <dxf>
      <font>
        <b val="0"/>
        <i val="0"/>
        <strike val="0"/>
      </font>
      <fill>
        <patternFill patternType="solid">
          <fgColor rgb="FFFFFF00"/>
          <bgColor rgb="FFFFFF00"/>
        </patternFill>
      </fill>
    </dxf>
    <dxf>
      <font>
        <b val="0"/>
        <i val="0"/>
        <strike val="0"/>
      </font>
      <fill>
        <patternFill patternType="solid">
          <bgColor rgb="FFFFE270"/>
        </patternFill>
      </fill>
    </dxf>
    <dxf>
      <font>
        <b val="0"/>
        <i val="0"/>
        <strike val="0"/>
      </font>
      <fill>
        <patternFill patternType="solid">
          <bgColor rgb="FFFFFF00"/>
        </patternFill>
      </fill>
    </dxf>
    <dxf>
      <font>
        <color rgb="FFDE322C"/>
      </font>
      <fill>
        <patternFill patternType="solid">
          <bgColor rgb="FFFFE9E8"/>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20</xdr:col>
      <xdr:colOff>0</xdr:colOff>
      <xdr:row>1</xdr:row>
      <xdr:rowOff>91440</xdr:rowOff>
    </xdr:from>
    <xdr:ext cx="1981200" cy="198120"/>
    <xdr:pic>
      <xdr:nvPicPr>
        <xdr:cNvPr id="4" name="4"/>
        <xdr:cNvPicPr/>
      </xdr:nvPicPr>
      <xdr:blipFill>
        <a:blip r:embed="rId1" r:link="rId2"/>
        <a:stretch>
          <a:fillRect/>
        </a:stretch>
      </xdr:blipFill>
      <xdr:spPr>
        <a:xfrm>
          <a:off x="28395930" y="377190"/>
          <a:ext cx="1981200" cy="19812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4</xdr:col>
      <xdr:colOff>3641174</xdr:colOff>
      <xdr:row>56</xdr:row>
      <xdr:rowOff>0</xdr:rowOff>
    </xdr:from>
    <xdr:ext cx="366226" cy="381000"/>
    <xdr:pic>
      <xdr:nvPicPr>
        <xdr:cNvPr id="3" name="3"/>
        <xdr:cNvPicPr/>
      </xdr:nvPicPr>
      <xdr:blipFill>
        <a:blip r:embed="rId1" r:link="rId2"/>
        <a:stretch>
          <a:fillRect/>
        </a:stretch>
      </xdr:blipFill>
      <xdr:spPr>
        <a:xfrm>
          <a:off x="7851775" y="15989300"/>
          <a:ext cx="365760" cy="3810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hyperlink" Target="https://www.yicai.com/news/100896844.html" TargetMode="External"/></Relationships>
</file>

<file path=xl/worksheets/_rels/sheet3.xml.rels><?xml version="1.0" encoding="UTF-8" standalone="yes"?>
<Relationships xmlns="http://schemas.openxmlformats.org/package/2006/relationships"><Relationship Id="rId5" Type="http://schemas.openxmlformats.org/officeDocument/2006/relationships/hyperlink" Target="http://www.yt-tx.com/" TargetMode="External"/><Relationship Id="rId4" Type="http://schemas.openxmlformats.org/officeDocument/2006/relationships/hyperlink" Target="https://doc.weixin.qq.com/sheet/e3_ASAA1AbiAJYCNDJSpZvldRT2ZOT06?scode=AJ4AjwdXAAw9KL7yFtASAA1AbiAJY&amp;tab=BB08J2" TargetMode="External"/><Relationship Id="rId3" Type="http://schemas.openxmlformats.org/officeDocument/2006/relationships/hyperlink" Target="https://moneypin.biz/bizno/detail/6178198806/"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5" Type="http://schemas.openxmlformats.org/officeDocument/2006/relationships/hyperlink" Target="https://doc.weixin.qq.com/sheet/e3_ASAA1AbiAJYCNisa1r4dsShe4Fnb0?scode=AJ4AjwdXAAw1ubCBWmASAA1AbiAJY&amp;tab=BB08J2" TargetMode="External"/><Relationship Id="rId4" Type="http://schemas.openxmlformats.org/officeDocument/2006/relationships/hyperlink" Target="https://doc.weixin.qq.com/sheet/e3_ASAA1AbiAJYCN2i7RXl1aQQuKKhr2?scode=AJ4AjwdXAAwEcZu8ONASAA1AbiAJY&amp;tab=j8p3dv" TargetMode="External"/><Relationship Id="rId3" Type="http://schemas.openxmlformats.org/officeDocument/2006/relationships/hyperlink" Target="https://doc.weixin.qq.com/sheet/e3_ASAA1AbiAJYCN1BBlDy1kSPaYFHFu?scode=AJ4AjwdXAAwq0B1FOBASAA1AbiAJY&amp;tab=BB08J2" TargetMode="External"/><Relationship Id="rId2" Type="http://schemas.openxmlformats.org/officeDocument/2006/relationships/hyperlink" Target="http://www.voltronicpower.com/" TargetMode="External"/><Relationship Id="rId1" Type="http://schemas.openxmlformats.org/officeDocument/2006/relationships/hyperlink" Target="https://doc.weixin.qq.com/sheet/e3_ARsAbAYqALo8CVbgs4hQiGoct1qW2?scode=AJ4AjwdXAAwakrBvVtARsAbAYqALo&amp;tab=wdd1w0" TargetMode="External"/></Relationships>
</file>

<file path=xl/worksheets/_rels/sheet5.xml.rels><?xml version="1.0" encoding="UTF-8" standalone="yes"?>
<Relationships xmlns="http://schemas.openxmlformats.org/package/2006/relationships"><Relationship Id="rId4" Type="http://schemas.openxmlformats.org/officeDocument/2006/relationships/hyperlink" Target="https://doc.weixin.qq.com/sheet/e3_ASAA1AbiAJYCNlwbjw22cR7qUojqH?scode=AJ4AjwdXAAwp0hmqvPAd4A1waMADk&amp;tab=qlskeh" TargetMode="External"/><Relationship Id="rId3" Type="http://schemas.openxmlformats.org/officeDocument/2006/relationships/hyperlink" Target="https://doc.weixin.qq.com/sheet/e3_Ad4A1waMADkCNG3cSMAiFT6qkE82V?scode=AJ4AjwdXAAwt2t6SkgAd4A1waMADk&amp;tab=BB08J2" TargetMode="External"/><Relationship Id="rId2" Type="http://schemas.openxmlformats.org/officeDocument/2006/relationships/hyperlink" Target="https://doc.weixin.qq.com/sheet/e3_ASAA1AbiAJYCNlwbjw22cR7qUojqH?scode=AJ4AjwdXAAwzPOOI4kASAA1AbiAJY&amp;tab=BB08J2" TargetMode="External"/><Relationship Id="rId1" Type="http://schemas.openxmlformats.org/officeDocument/2006/relationships/hyperlink" Target="https://drive.weixin.qq.com/s?k=AJ4AjwdXAAwjcFAJMmASAA1AbiAJY"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drive.weixin.qq.com/s?k=AJ4AjwdXAAwHrBE8VaARsAbAYqALo" TargetMode="External"/><Relationship Id="rId2" Type="http://schemas.openxmlformats.org/officeDocument/2006/relationships/hyperlink" Target="https://drive.weixin.qq.com/s?k=AJ4AjwdXAAw1wl4hkMASAA1AbiAJY" TargetMode="Externa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9" Type="http://schemas.openxmlformats.org/officeDocument/2006/relationships/hyperlink" Target="https://drive.weixin.qq.com/s?k=AJ4AjwdXAAw8QyPRcvARsAbAYqALo" TargetMode="External"/><Relationship Id="rId8" Type="http://schemas.openxmlformats.org/officeDocument/2006/relationships/hyperlink" Target="https://drive.weixin.qq.com/s?k=AJ4AjwdXAAwo0GOtvcARsAbAYqALo" TargetMode="External"/><Relationship Id="rId7" Type="http://schemas.openxmlformats.org/officeDocument/2006/relationships/hyperlink" Target="https://drive.weixin.qq.com/s?k=AJ4AjwdXAAwg3AXZU3ARsAbAYqALo" TargetMode="External"/><Relationship Id="rId6" Type="http://schemas.openxmlformats.org/officeDocument/2006/relationships/hyperlink" Target="https://drive.weixin.qq.com/s?k=AJ4AjwdXAAwiu7JiTgARsAbAYqALo" TargetMode="External"/><Relationship Id="rId5" Type="http://schemas.openxmlformats.org/officeDocument/2006/relationships/hyperlink" Target="https://drive.weixin.qq.com/s?k=AJ4AjwdXAAw6yfMMmrARsAbAYqALo" TargetMode="External"/><Relationship Id="rId4" Type="http://schemas.openxmlformats.org/officeDocument/2006/relationships/hyperlink" Target="https://drive.weixin.qq.com/s?k=AJ4AjwdXAAwQ5kcGmtARsAbAYqALo" TargetMode="External"/><Relationship Id="rId3" Type="http://schemas.openxmlformats.org/officeDocument/2006/relationships/hyperlink" Target="https://drive.weixin.qq.com/s?k=AJ4AjwdXAAwZGDOKixARsAbAYqALo" TargetMode="External"/><Relationship Id="rId2" Type="http://schemas.openxmlformats.org/officeDocument/2006/relationships/hyperlink" Target="https://doc.weixin.qq.com/smartsheet/s3_Ab0AiAb_ADwIT5LOHYOQn0iaH6ZSf?scode=AJ4AjwdXAAw70HSEeRARsAbAYqALo&amp;tab=tBfiwI&amp;viewId=vsI4nC" TargetMode="External"/><Relationship Id="rId11" Type="http://schemas.openxmlformats.org/officeDocument/2006/relationships/hyperlink" Target="https://drive.weixin.qq.com/s?k=AJ4AjwdXAAw0rtOh60ARsAbAYqALo" TargetMode="External"/><Relationship Id="rId10" Type="http://schemas.openxmlformats.org/officeDocument/2006/relationships/hyperlink" Target="https://drive.weixin.qq.com/s?k=AJ4AjwdXAAwAFcOb9yARsAbAYqALo" TargetMode="Externa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hyperlink" Target="https://doc.weixin.qq.com/sheet/e3_ASAA1AbiAJYCNQsKptrB0Q3aAM8Wn?scode=AJ4AjwdXAAwibkF1UyASAA1AbiAJY&amp;tab=1hdv4u" TargetMode="External"/><Relationship Id="rId2" Type="http://schemas.openxmlformats.org/officeDocument/2006/relationships/hyperlink" Target="https://doc.weixin.qq.com/sheet/e3_ASAA1AbiAJYCNdGv2zNtySu2M4PMH?scode=AJ4AjwdXAAwyIu04ejASAA1AbiAJY&amp;tab=BB08J2" TargetMode="External"/><Relationship Id="rId1" Type="http://schemas.openxmlformats.org/officeDocument/2006/relationships/hyperlink" Target="https://doc.weixin.qq.com/sheet/e3_ASAA1AbiAJYS90g1lnPTKefDmD4Jc?scode=AJ4AjwdXAAwwdlIc6WASAA1AbiAJY&amp;tab=BB08J2" TargetMode="External"/></Relationships>
</file>

<file path=xl/worksheets/_rels/sheet10.xml.rels><?xml version="1.0" encoding="UTF-8" standalone="yes"?>
<Relationships xmlns="http://schemas.openxmlformats.org/package/2006/relationships"><Relationship Id="rId4" Type="http://schemas.openxmlformats.org/officeDocument/2006/relationships/hyperlink" Target="https://doc.weixin.qq.com/sheet/e3_ASAA1AbiAJYCNEfQaFtW1Qwy4SM8c?scode=AJ4AjwdXAAwxXXc2sbASAA1AbiAJY&amp;tab=BB08J2" TargetMode="External"/><Relationship Id="rId3" Type="http://schemas.openxmlformats.org/officeDocument/2006/relationships/hyperlink" Target="https://doc.weixin.qq.com/doc/w3_ASAA1AbiAJYCNovqxbL1rRjimbGoZ?scode=AJ4AjwdXAAwmGea8f1" TargetMode="External"/><Relationship Id="rId2" Type="http://schemas.openxmlformats.org/officeDocument/2006/relationships/hyperlink" Target="https://doc.weixin.qq.com/doc/w3_ASAA1AbiAJYCNqN92oL3XQYSTB7Il?scode=AJ4AjwdXAAwX0nj8IgASAA1AbiAJY" TargetMode="External"/><Relationship Id="rId1" Type="http://schemas.openxmlformats.org/officeDocument/2006/relationships/hyperlink" Target="https://doc.weixin.qq.com/doc/w3_ASAA1AbiAJYCNwLF1WgeYQEu2gj8p?scode=AJ4AjwdXAAwWVFlraxASAA1AbiAJ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月度数据统计">
    <tabColor rgb="FFFFFFFF"/>
  </sheetPr>
  <dimension ref="A1:AG93"/>
  <sheetViews>
    <sheetView workbookViewId="0">
      <pane xSplit="1" topLeftCell="B1" activePane="topRight" state="frozen"/>
      <selection/>
      <selection pane="topRight" activeCell="A1" sqref="A1:E1"/>
    </sheetView>
  </sheetViews>
  <sheetFormatPr defaultColWidth="9.81818181818182" defaultRowHeight="13"/>
  <cols>
    <col min="1" max="1" width="16.3272727272727" style="253" customWidth="1"/>
    <col min="2" max="2" width="14.9727272727273" customWidth="1"/>
    <col min="3" max="3" width="16.3272727272727" customWidth="1"/>
    <col min="4" max="4" width="19.4454545454545" customWidth="1"/>
    <col min="5" max="5" width="22.7909090909091" customWidth="1"/>
    <col min="6" max="6" width="8.4" customWidth="1"/>
    <col min="7" max="7" width="17.2636363636364" customWidth="1"/>
    <col min="8" max="8" width="16.3272727272727" customWidth="1"/>
    <col min="13" max="14" width="14.1636363636364" customWidth="1"/>
    <col min="16" max="16" width="10.5272727272727" customWidth="1"/>
    <col min="17" max="17" width="14.6363636363636" customWidth="1"/>
    <col min="18" max="18" width="5.52727272727273" customWidth="1"/>
    <col min="19" max="19" width="11.5272727272727" customWidth="1"/>
    <col min="20" max="20" width="20.9909090909091" customWidth="1"/>
    <col min="21" max="21" width="4.93636363636364" customWidth="1"/>
    <col min="22" max="22" width="14.6363636363636" customWidth="1"/>
    <col min="23" max="25" width="19.1909090909091" customWidth="1"/>
    <col min="28" max="29" width="14.1636363636364" customWidth="1"/>
  </cols>
  <sheetData>
    <row r="1" ht="21" customHeight="1" spans="1:33">
      <c r="A1" s="254" t="s">
        <v>0</v>
      </c>
      <c r="B1" s="255"/>
      <c r="C1" s="255"/>
      <c r="D1" s="255"/>
      <c r="E1" s="255"/>
      <c r="G1" s="254" t="s">
        <v>1</v>
      </c>
      <c r="H1" s="255"/>
      <c r="I1" s="255"/>
      <c r="J1" s="255"/>
      <c r="K1" s="256"/>
      <c r="L1" s="257" t="s">
        <v>2</v>
      </c>
      <c r="M1" s="257" t="s">
        <v>3</v>
      </c>
      <c r="N1" s="257" t="s">
        <v>4</v>
      </c>
      <c r="X1" s="256"/>
    </row>
    <row r="2" ht="21" customHeight="1" spans="1:33">
      <c r="A2" s="257" t="s">
        <v>2</v>
      </c>
      <c r="B2" s="257" t="s">
        <v>5</v>
      </c>
      <c r="C2" s="257" t="s">
        <v>6</v>
      </c>
      <c r="D2" s="257" t="s">
        <v>7</v>
      </c>
      <c r="E2" s="257" t="s">
        <v>8</v>
      </c>
      <c r="F2" s="258" t="s">
        <v>9</v>
      </c>
      <c r="G2" s="257" t="s">
        <v>2</v>
      </c>
      <c r="H2" s="257" t="s">
        <v>10</v>
      </c>
      <c r="I2" s="257" t="s">
        <v>11</v>
      </c>
      <c r="J2" s="257" t="s">
        <v>12</v>
      </c>
      <c r="K2" s="258" t="s">
        <v>9</v>
      </c>
      <c r="L2" s="259" t="s">
        <v>13</v>
      </c>
      <c r="M2" s="260">
        <v>64</v>
      </c>
      <c r="N2" s="261">
        <v>0</v>
      </c>
    </row>
    <row r="3" ht="19.5" customHeight="1" spans="1:33">
      <c r="A3" s="262" t="s">
        <v>14</v>
      </c>
      <c r="B3" s="263">
        <f>COUNTIFS(Recall!C:C,A3)</f>
        <v>9</v>
      </c>
      <c r="C3" s="263">
        <f>COUNTIFS(警方协查!C:C,A3)</f>
        <v>6</v>
      </c>
      <c r="D3" s="263">
        <f>COUNTIFS(KYC调单!C:C,A3,KYC调单!M:M,"=Retrieval Request")+COUNTIFS(单笔交易!C:C,A3,单笔交易!Q:Q,"=Retrieval Request")+COUNTIF(账户调查!C:C,A3)+COUNTIF(结汇!C:C,A3)</f>
        <v>17</v>
      </c>
      <c r="E3" s="263">
        <f>COUNTIFS(KYC调单!C:C,A3,KYC调单!M:M,"Personal Information")+COUNTIFS(单笔交易!C:C,A3,单笔交易!Q:Q,"Personal Information")</f>
        <v>25</v>
      </c>
      <c r="F3" s="258">
        <f t="shared" ref="F3:F20" si="0">SUM(B3:E3)</f>
        <v>57</v>
      </c>
      <c r="G3" s="259" t="s">
        <v>14</v>
      </c>
      <c r="H3" s="264">
        <f>COUNTIFS(KYC调单!C:C,G3,KYC调单!D:D,$H$2)+COUNTIFS(单笔交易!C:C,G3,单笔交易!D:D,$H$2)+COUNTIFS(账户调查!C:C,G3,账户调查!D:D,$H$2)+COUNTIFS(警方协查!C:C,G3,警方协查!F:F,$H$2)+COUNTIFS(Recall!C:C,G3,Recall!F:F,$H$2)</f>
        <v>38</v>
      </c>
      <c r="I3" s="264">
        <f>COUNTIFS(KYC调单!C:C,G3,KYC调单!D:D,$I$2)+COUNTIFS(单笔交易!C:C,G3,单笔交易!D:D,$I$2)+COUNTIFS(账户调查!C:C,G3,账户调查!D:D,$I$2)+COUNTIFS(警方协查!C:C,G3,警方协查!F:F,$I$2)+COUNTIFS(Recall!C:C,G3,Recall!F:F,$I$2)</f>
        <v>12</v>
      </c>
      <c r="J3" s="264">
        <f>COUNTIFS(KYC调单!C:C,G3,KYC调单!D:D,$J$2)+COUNTIFS(单笔交易!C:C,G3,单笔交易!D:D,$J$2)+COUNTIFS(账户调查!C:C,G3,账户调查!D:D,$J$2)+COUNTIF(结汇!C:C,G3)+COUNTIFS(警方协查!C:C,G3,警方协查!F:F,$J$2)+COUNTIFS(Recall!C:C,G3,Recall!F:F,$J$2)</f>
        <v>7</v>
      </c>
      <c r="K3" s="258">
        <f t="shared" ref="K3:K20" si="1">SUM(H3:J3)</f>
        <v>57</v>
      </c>
      <c r="L3" s="259" t="s">
        <v>14</v>
      </c>
      <c r="M3" s="260">
        <f t="shared" ref="M3:M20" si="2">F3</f>
        <v>57</v>
      </c>
      <c r="N3" s="265">
        <f t="shared" ref="N3:N20" si="3">(M3-M2)/M2</f>
        <v>-0.109375</v>
      </c>
      <c r="X3" s="266"/>
      <c r="AG3" s="267"/>
    </row>
    <row r="4" ht="19.5" customHeight="1" spans="1:33">
      <c r="A4" s="262" t="s">
        <v>15</v>
      </c>
      <c r="B4" s="263">
        <f>COUNTIFS(Recall!C:C,A4)</f>
        <v>12</v>
      </c>
      <c r="C4" s="263">
        <f>COUNTIFS(警方协查!C:C,A4)</f>
        <v>0</v>
      </c>
      <c r="D4" s="263">
        <f>COUNTIFS(KYC调单!C:C,A4,KYC调单!M:M,"=Retrieval Request")+COUNTIFS(单笔交易!C:C,A4,单笔交易!Q:Q,"=Retrieval Request")+COUNTIF(账户调查!C:C,A4)+COUNTIF(结汇!C:C,A4)</f>
        <v>11</v>
      </c>
      <c r="E4" s="263">
        <f>COUNTIFS(KYC调单!C:C,A4,KYC调单!M:M,"Personal Information")+COUNTIFS(单笔交易!C:C,A4,单笔交易!Q:Q,"Personal Information")</f>
        <v>19</v>
      </c>
      <c r="F4" s="258">
        <f t="shared" si="0"/>
        <v>42</v>
      </c>
      <c r="G4" s="259" t="s">
        <v>15</v>
      </c>
      <c r="H4" s="264">
        <f>COUNTIFS(KYC调单!C:C,G4,KYC调单!D:D,$H$2)+COUNTIFS(单笔交易!C:C,G4,单笔交易!D:D,$H$2)+COUNTIFS(账户调查!C:C,G4,账户调查!D:D,$H$2)+COUNTIFS(警方协查!C:C,G4,警方协查!F:F,$H$2)+COUNTIFS(Recall!C:C,G4,Recall!F:F,$H$2)</f>
        <v>21</v>
      </c>
      <c r="I4" s="264">
        <f>COUNTIFS(KYC调单!C:C,G4,KYC调单!D:D,$I$2)+COUNTIFS(单笔交易!C:C,G4,单笔交易!D:D,$I$2)+COUNTIFS(账户调查!C:C,G4,账户调查!D:D,$I$2)+COUNTIFS(警方协查!C:C,G4,警方协查!F:F,$I$2)+COUNTIFS(Recall!C:C,G4,Recall!F:F,$I$2)</f>
        <v>9</v>
      </c>
      <c r="J4" s="264">
        <f>COUNTIFS(KYC调单!C:C,G4,KYC调单!D:D,$J$2)+COUNTIFS(单笔交易!C:C,G4,单笔交易!D:D,$J$2)+COUNTIFS(账户调查!C:C,G4,账户调查!D:D,$J$2)+COUNTIF(结汇!C:C,G4)+COUNTIFS(警方协查!C:C,G4,警方协查!F:F,$J$2)+COUNTIFS(Recall!C:C,G4,Recall!F:F,$J$2)</f>
        <v>12</v>
      </c>
      <c r="K4" s="258">
        <f t="shared" si="1"/>
        <v>42</v>
      </c>
      <c r="L4" s="259" t="s">
        <v>15</v>
      </c>
      <c r="M4" s="260">
        <f t="shared" si="2"/>
        <v>42</v>
      </c>
      <c r="N4" s="265">
        <f t="shared" si="3"/>
        <v>-0.263157894736842</v>
      </c>
      <c r="AG4" s="267"/>
    </row>
    <row r="5" ht="19.5" customHeight="1" spans="1:33">
      <c r="A5" s="262" t="s">
        <v>16</v>
      </c>
      <c r="B5" s="263">
        <f>COUNTIFS(Recall!C:C,A5)</f>
        <v>15</v>
      </c>
      <c r="C5" s="263">
        <f>COUNTIFS(警方协查!C:C,A5)</f>
        <v>2</v>
      </c>
      <c r="D5" s="263">
        <f>COUNTIFS(KYC调单!C:C,A5,KYC调单!M:M,"=Retrieval Request")+COUNTIFS(单笔交易!C:C,A5,单笔交易!Q:Q,"=Retrieval Request")+COUNTIF(账户调查!C:C,A5)+COUNTIF(结汇!C:C,A5)</f>
        <v>22</v>
      </c>
      <c r="E5" s="263">
        <f>COUNTIFS(KYC调单!C:C,A5,KYC调单!M:M,"Personal Information")+COUNTIFS(单笔交易!C:C,A5,单笔交易!Q:Q,"Personal Information")</f>
        <v>21</v>
      </c>
      <c r="F5" s="258">
        <f t="shared" si="0"/>
        <v>60</v>
      </c>
      <c r="G5" s="259" t="s">
        <v>16</v>
      </c>
      <c r="H5" s="264">
        <f>COUNTIFS(KYC调单!C:C,G5,KYC调单!D:D,$H$2)+COUNTIFS(单笔交易!C:C,G5,单笔交易!D:D,$H$2)+COUNTIFS(账户调查!C:C,G5,账户调查!D:D,$H$2)+COUNTIFS(警方协查!C:C,G5,警方协查!F:F,$H$2)+COUNTIFS(Recall!C:C,G5,Recall!F:F,$H$2)</f>
        <v>28</v>
      </c>
      <c r="I5" s="264">
        <f>COUNTIFS(KYC调单!C:C,G5,KYC调单!D:D,$I$2)+COUNTIFS(单笔交易!C:C,G5,单笔交易!D:D,$I$2)+COUNTIFS(账户调查!C:C,G5,账户调查!D:D,$I$2)+COUNTIFS(警方协查!C:C,G5,警方协查!F:F,$I$2)+COUNTIFS(Recall!C:C,G5,Recall!F:F,$I$2)</f>
        <v>9</v>
      </c>
      <c r="J5" s="264">
        <f>COUNTIFS(KYC调单!C:C,G5,KYC调单!D:D,$J$2)+COUNTIFS(单笔交易!C:C,G5,单笔交易!D:D,$J$2)+COUNTIFS(账户调查!C:C,G5,账户调查!D:D,$J$2)+COUNTIF(结汇!C:C,G5)+COUNTIFS(警方协查!C:C,G5,警方协查!F:F,$J$2)+COUNTIFS(Recall!C:C,G5,Recall!F:F,$J$2)</f>
        <v>23</v>
      </c>
      <c r="K5" s="258">
        <f t="shared" si="1"/>
        <v>60</v>
      </c>
      <c r="L5" s="259" t="s">
        <v>16</v>
      </c>
      <c r="M5" s="260">
        <f t="shared" si="2"/>
        <v>60</v>
      </c>
      <c r="N5" s="265">
        <f t="shared" si="3"/>
        <v>0.428571428571429</v>
      </c>
      <c r="AG5" s="267"/>
    </row>
    <row r="6" ht="19.5" customHeight="1" spans="1:33">
      <c r="A6" s="262" t="s">
        <v>17</v>
      </c>
      <c r="B6" s="263">
        <f>COUNTIFS(Recall!C:C,A6)</f>
        <v>2</v>
      </c>
      <c r="C6" s="263">
        <f>COUNTIFS(警方协查!C:C,A6)</f>
        <v>5</v>
      </c>
      <c r="D6" s="263">
        <f>COUNTIFS(KYC调单!C:C,A6,KYC调单!M:M,"=Retrieval Request")+COUNTIFS(单笔交易!C:C,A6,单笔交易!Q:Q,"=Retrieval Request")+COUNTIF(账户调查!C:C,A6)+COUNTIF(结汇!C:C,A6)</f>
        <v>20</v>
      </c>
      <c r="E6" s="263">
        <f>COUNTIFS(KYC调单!C:C,A6,KYC调单!M:M,"Personal Information")+COUNTIFS(单笔交易!C:C,A6,单笔交易!Q:Q,"Personal Information")</f>
        <v>29</v>
      </c>
      <c r="F6" s="258">
        <f t="shared" si="0"/>
        <v>56</v>
      </c>
      <c r="G6" s="259" t="s">
        <v>17</v>
      </c>
      <c r="H6" s="264">
        <f>COUNTIFS(KYC调单!C:C,G6,KYC调单!D:D,$H$2)+COUNTIFS(单笔交易!C:C,G6,单笔交易!D:D,$H$2)+COUNTIFS(账户调查!C:C,G6,账户调查!D:D,$H$2)+COUNTIFS(警方协查!C:C,G6,警方协查!F:F,$H$2)+COUNTIFS(Recall!C:C,G6,Recall!F:F,$H$2)</f>
        <v>22</v>
      </c>
      <c r="I6" s="264">
        <f>COUNTIFS(KYC调单!C:C,G6,KYC调单!D:D,$I$2)+COUNTIFS(单笔交易!C:C,G6,单笔交易!D:D,$I$2)+COUNTIFS(账户调查!C:C,G6,账户调查!D:D,$I$2)+COUNTIFS(警方协查!C:C,G6,警方协查!F:F,$I$2)+COUNTIFS(Recall!C:C,G6,Recall!F:F,$I$2)</f>
        <v>14</v>
      </c>
      <c r="J6" s="264">
        <f>COUNTIFS(KYC调单!C:C,G6,KYC调单!D:D,$J$2)+COUNTIFS(单笔交易!C:C,G6,单笔交易!D:D,$J$2)+COUNTIFS(账户调查!C:C,G6,账户调查!D:D,$J$2)+COUNTIF(结汇!C:C,G6)+COUNTIFS(警方协查!C:C,G6,警方协查!F:F,$J$2)+COUNTIFS(Recall!C:C,G6,Recall!F:F,$J$2)</f>
        <v>20</v>
      </c>
      <c r="K6" s="258">
        <f t="shared" si="1"/>
        <v>56</v>
      </c>
      <c r="L6" s="259" t="s">
        <v>17</v>
      </c>
      <c r="M6" s="260">
        <f t="shared" si="2"/>
        <v>56</v>
      </c>
      <c r="N6" s="265">
        <f t="shared" si="3"/>
        <v>-0.0666666666666667</v>
      </c>
      <c r="AG6" s="267"/>
    </row>
    <row r="7" ht="19.5" customHeight="1" spans="1:33">
      <c r="A7" s="262" t="s">
        <v>18</v>
      </c>
      <c r="B7" s="263">
        <f>COUNTIFS(Recall!C:C,A7)</f>
        <v>11</v>
      </c>
      <c r="C7" s="263">
        <f>COUNTIFS(警方协查!C:C,A7)</f>
        <v>1</v>
      </c>
      <c r="D7" s="263">
        <f>COUNTIFS(KYC调单!C:C,A7,KYC调单!M:M,"=Retrieval Request")+COUNTIFS(单笔交易!C:C,A7,单笔交易!Q:Q,"=Retrieval Request")+COUNTIF(账户调查!C:C,A7)+COUNTIF(结汇!C:C,A7)</f>
        <v>22</v>
      </c>
      <c r="E7" s="263">
        <f>COUNTIFS(KYC调单!C:C,A7,KYC调单!M:M,"Personal Information")+COUNTIFS(单笔交易!C:C,A7,单笔交易!Q:Q,"Personal Information")</f>
        <v>32</v>
      </c>
      <c r="F7" s="258">
        <f t="shared" si="0"/>
        <v>66</v>
      </c>
      <c r="G7" s="259" t="s">
        <v>18</v>
      </c>
      <c r="H7" s="264">
        <f>COUNTIFS(KYC调单!C:C,G7,KYC调单!D:D,$H$2)+COUNTIFS(单笔交易!C:C,G7,单笔交易!D:D,$H$2)+COUNTIFS(账户调查!C:C,G7,账户调查!D:D,$H$2)+COUNTIFS(警方协查!C:C,G7,警方协查!F:F,$H$2)+COUNTIFS(Recall!C:C,G7,Recall!F:F,$H$2)</f>
        <v>25</v>
      </c>
      <c r="I7" s="264">
        <f>COUNTIFS(KYC调单!C:C,G7,KYC调单!D:D,$I$2)+COUNTIFS(单笔交易!C:C,G7,单笔交易!D:D,$I$2)+COUNTIFS(账户调查!C:C,G7,账户调查!D:D,$I$2)+COUNTIFS(警方协查!C:C,G7,警方协查!F:F,$I$2)+COUNTIFS(Recall!C:C,G7,Recall!F:F,$I$2)</f>
        <v>20</v>
      </c>
      <c r="J7" s="264">
        <f>COUNTIFS(KYC调单!C:C,G7,KYC调单!D:D,$J$2)+COUNTIFS(单笔交易!C:C,G7,单笔交易!D:D,$J$2)+COUNTIFS(账户调查!C:C,G7,账户调查!D:D,$J$2)+COUNTIF(结汇!C:C,G7)+COUNTIFS(警方协查!C:C,G7,警方协查!F:F,$J$2)+COUNTIFS(Recall!C:C,G7,Recall!F:F,$J$2)</f>
        <v>21</v>
      </c>
      <c r="K7" s="258">
        <f t="shared" si="1"/>
        <v>66</v>
      </c>
      <c r="L7" s="259" t="s">
        <v>18</v>
      </c>
      <c r="M7" s="260">
        <f t="shared" si="2"/>
        <v>66</v>
      </c>
      <c r="N7" s="265">
        <f t="shared" si="3"/>
        <v>0.178571428571429</v>
      </c>
      <c r="AG7" s="267"/>
    </row>
    <row r="8" ht="19.5" customHeight="1" spans="1:33">
      <c r="A8" s="262" t="s">
        <v>19</v>
      </c>
      <c r="B8" s="263">
        <f>COUNTIFS(Recall!C:C,A8)</f>
        <v>15</v>
      </c>
      <c r="C8" s="263">
        <f>COUNTIFS(警方协查!C:C,A8)</f>
        <v>7</v>
      </c>
      <c r="D8" s="263">
        <f>COUNTIFS(KYC调单!C:C,A8,KYC调单!M:M,"=Retrieval Request")+COUNTIFS(单笔交易!C:C,A8,单笔交易!Q:Q,"=Retrieval Request")+COUNTIF(账户调查!C:C,A8)+COUNTIF(结汇!C:C,A8)</f>
        <v>17</v>
      </c>
      <c r="E8" s="263">
        <f>COUNTIFS(KYC调单!C:C,A8,KYC调单!M:M,"Personal Information")+COUNTIFS(单笔交易!C:C,A8,单笔交易!Q:Q,"Personal Information")</f>
        <v>36</v>
      </c>
      <c r="F8" s="258">
        <f t="shared" si="0"/>
        <v>75</v>
      </c>
      <c r="G8" s="259" t="s">
        <v>19</v>
      </c>
      <c r="H8" s="264">
        <f>COUNTIFS(KYC调单!C:C,G8,KYC调单!D:D,$H$2)+COUNTIFS(单笔交易!C:C,G8,单笔交易!D:D,$H$2)+COUNTIFS(账户调查!C:C,G8,账户调查!D:D,$H$2)+COUNTIFS(警方协查!C:C,G8,警方协查!F:F,$H$2)+COUNTIFS(Recall!C:C,G8,Recall!F:F,$H$2)</f>
        <v>24</v>
      </c>
      <c r="I8" s="264">
        <f>COUNTIFS(KYC调单!C:C,G8,KYC调单!D:D,$I$2)+COUNTIFS(单笔交易!C:C,G8,单笔交易!D:D,$I$2)+COUNTIFS(账户调查!C:C,G8,账户调查!D:D,$I$2)+COUNTIFS(警方协查!C:C,G8,警方协查!F:F,$I$2)+COUNTIFS(Recall!C:C,G8,Recall!F:F,$I$2)</f>
        <v>25</v>
      </c>
      <c r="J8" s="264">
        <f>COUNTIFS(KYC调单!C:C,G8,KYC调单!D:D,$J$2)+COUNTIFS(单笔交易!C:C,G8,单笔交易!D:D,$J$2)+COUNTIFS(账户调查!C:C,G8,账户调查!D:D,$J$2)+COUNTIF(结汇!C:C,G8)+COUNTIFS(警方协查!C:C,G8,警方协查!F:F,$J$2)+COUNTIFS(Recall!C:C,G8,Recall!F:F,$J$2)</f>
        <v>26</v>
      </c>
      <c r="K8" s="258">
        <f t="shared" si="1"/>
        <v>75</v>
      </c>
      <c r="L8" s="268" t="s">
        <v>19</v>
      </c>
      <c r="M8" s="269">
        <f t="shared" si="2"/>
        <v>75</v>
      </c>
      <c r="N8" s="270">
        <f t="shared" si="3"/>
        <v>0.136363636363636</v>
      </c>
      <c r="AG8" s="267"/>
    </row>
    <row r="9" ht="19.5" customHeight="1" spans="1:33">
      <c r="A9" s="268" t="s">
        <v>20</v>
      </c>
      <c r="B9" s="271">
        <f>COUNTIFS(Recall!C:C,A9)</f>
        <v>15</v>
      </c>
      <c r="C9" s="271">
        <f>COUNTIFS(警方协查!C:C,A9)</f>
        <v>11</v>
      </c>
      <c r="D9" s="271">
        <f>COUNTIFS(KYC调单!C:C,A9,KYC调单!M:M,"=Retrieval Request")+COUNTIFS(单笔交易!C:C,A9,单笔交易!Q:Q,"=Retrieval Request")+COUNTIF(账户调查!C:C,A9)+COUNTIF(结汇!C:C,A9)</f>
        <v>34</v>
      </c>
      <c r="E9" s="271">
        <f>COUNTIFS(KYC调单!C:C,A9,KYC调单!M:M,"Personal Information")+COUNTIFS(单笔交易!C:C,A9,单笔交易!Q:Q,"Personal Information")</f>
        <v>26</v>
      </c>
      <c r="F9" s="258">
        <f t="shared" si="0"/>
        <v>86</v>
      </c>
      <c r="G9" s="259" t="s">
        <v>20</v>
      </c>
      <c r="H9" s="264">
        <f>COUNTIFS(KYC调单!C:C,G9,KYC调单!D:D,$H$2)+COUNTIFS(单笔交易!C:C,G9,单笔交易!D:D,$H$2)+COUNTIFS(账户调查!C:C,G9,账户调查!D:D,$H$2)+COUNTIFS(警方协查!C:C,G9,警方协查!F:F,$H$2)+COUNTIFS(Recall!C:C,G9,Recall!F:F,$H$2)</f>
        <v>32</v>
      </c>
      <c r="I9" s="264">
        <f>COUNTIFS(KYC调单!C:C,G9,KYC调单!D:D,$I$2)+COUNTIFS(单笔交易!C:C,G9,单笔交易!D:D,$I$2)+COUNTIFS(账户调查!C:C,G9,账户调查!D:D,$I$2)+COUNTIFS(警方协查!C:C,G9,警方协查!F:F,$I$2)+COUNTIFS(Recall!C:C,G9,Recall!F:F,$I$2)</f>
        <v>28</v>
      </c>
      <c r="J9" s="264">
        <f>COUNTIFS(KYC调单!C:C,G9,KYC调单!D:D,$J$2)+COUNTIFS(单笔交易!C:C,G9,单笔交易!D:D,$J$2)+COUNTIFS(账户调查!C:C,G9,账户调查!D:D,$J$2)+COUNTIF(结汇!C:C,G9)+COUNTIFS(警方协查!C:C,G9,警方协查!F:F,$J$2)+COUNTIFS(Recall!C:C,G9,Recall!F:F,$J$2)</f>
        <v>26</v>
      </c>
      <c r="K9" s="258">
        <f t="shared" si="1"/>
        <v>86</v>
      </c>
      <c r="L9" s="268" t="s">
        <v>20</v>
      </c>
      <c r="M9" s="269">
        <f t="shared" si="2"/>
        <v>86</v>
      </c>
      <c r="N9" s="270">
        <f t="shared" si="3"/>
        <v>0.146666666666667</v>
      </c>
      <c r="Y9" s="251"/>
    </row>
    <row r="10" ht="19.5" customHeight="1" spans="1:33">
      <c r="A10" s="268" t="s">
        <v>21</v>
      </c>
      <c r="B10" s="271">
        <f>COUNTIFS(Recall!C:C,A10)</f>
        <v>12</v>
      </c>
      <c r="C10" s="271">
        <f>COUNTIFS(警方协查!C:C,A10)</f>
        <v>5</v>
      </c>
      <c r="D10" s="271">
        <f>COUNTIFS(KYC调单!C:C,A10,KYC调单!M:M,"=Retrieval Request")+COUNTIFS(单笔交易!C:C,A10,单笔交易!Q:Q,"=Retrieval Request")+COUNTIF(账户调查!C:C,A10)+COUNTIF(结汇!C:C,A10)</f>
        <v>27</v>
      </c>
      <c r="E10" s="271">
        <f>COUNTIFS(KYC调单!C:C,A10,KYC调单!M:M,"Personal Information")+COUNTIFS(单笔交易!C:C,A10,单笔交易!Q:Q,"Personal Information")</f>
        <v>25</v>
      </c>
      <c r="F10" s="258">
        <f t="shared" si="0"/>
        <v>69</v>
      </c>
      <c r="G10" s="268" t="s">
        <v>21</v>
      </c>
      <c r="H10" s="271">
        <f>COUNTIFS(KYC调单!C:C,G10,KYC调单!D:D,$H$2)+COUNTIFS(单笔交易!C:C,G10,单笔交易!D:D,$H$2)+COUNTIFS(账户调查!C:C,G10,账户调查!D:D,$H$2)+COUNTIFS(警方协查!C:C,G10,警方协查!F:F,$H$2)+COUNTIFS(Recall!C:C,G10,Recall!F:F,$H$2)</f>
        <v>22</v>
      </c>
      <c r="I10" s="271">
        <f>COUNTIFS(KYC调单!C:C,G10,KYC调单!D:D,$I$2)+COUNTIFS(单笔交易!C:C,G10,单笔交易!D:D,$I$2)+COUNTIFS(账户调查!C:C,G10,账户调查!D:D,$I$2)+COUNTIFS(警方协查!C:C,G10,警方协查!F:F,$I$2)+COUNTIFS(Recall!C:C,G10,Recall!F:F,$I$2)</f>
        <v>24</v>
      </c>
      <c r="J10" s="271">
        <f>COUNTIFS(KYC调单!C:C,G10,KYC调单!D:D,$J$2)+COUNTIFS(单笔交易!C:C,G10,单笔交易!D:D,$J$2)+COUNTIFS(账户调查!C:C,G10,账户调查!D:D,$J$2)+COUNTIF(结汇!C:C,G10)+COUNTIFS(警方协查!C:C,G10,警方协查!F:F,$J$2)+COUNTIFS(Recall!C:C,G10,Recall!F:F,$J$2)</f>
        <v>23</v>
      </c>
      <c r="K10" s="258">
        <f t="shared" si="1"/>
        <v>69</v>
      </c>
      <c r="L10" s="268" t="s">
        <v>21</v>
      </c>
      <c r="M10" s="269">
        <f t="shared" si="2"/>
        <v>69</v>
      </c>
      <c r="N10" s="270">
        <f t="shared" si="3"/>
        <v>-0.197674418604651</v>
      </c>
    </row>
    <row r="11" s="251" customFormat="1" ht="19.5" customHeight="1" spans="1:33">
      <c r="A11" s="259" t="s">
        <v>22</v>
      </c>
      <c r="B11" s="264">
        <f>COUNTIFS(Recall!C:C,A11)</f>
        <v>10</v>
      </c>
      <c r="C11" s="264">
        <f>COUNTIFS(警方协查!C:C,A11)</f>
        <v>9</v>
      </c>
      <c r="D11" s="264">
        <f>COUNTIFS(KYC调单!C:C,A11,KYC调单!M:M,"=Retrieval Request")+COUNTIFS(单笔交易!C:C,A11,单笔交易!Q:Q,"=Retrieval Request")+COUNTIF(账户调查!C:C,A11)+COUNTIF(结汇!C:C,A11)</f>
        <v>29</v>
      </c>
      <c r="E11" s="264">
        <f>COUNTIFS(KYC调单!C:C,A11,KYC调单!M:M,"Personal Information")+COUNTIFS(单笔交易!C:C,A11,单笔交易!Q:Q,"Personal Information")</f>
        <v>28</v>
      </c>
      <c r="F11" s="258">
        <f t="shared" si="0"/>
        <v>76</v>
      </c>
      <c r="G11" s="259" t="s">
        <v>22</v>
      </c>
      <c r="H11" s="264">
        <f>COUNTIFS(KYC调单!C:C,G11,KYC调单!D:D,$H$2)+COUNTIFS(单笔交易!C:C,G11,单笔交易!D:D,$H$2)+COUNTIFS(账户调查!C:C,G11,账户调查!D:D,$H$2)+COUNTIFS(警方协查!C:C,G11,警方协查!F:F,$H$2)+COUNTIFS(Recall!C:C,G11,Recall!F:F,$H$2)</f>
        <v>23</v>
      </c>
      <c r="I11" s="264">
        <f>COUNTIFS(KYC调单!C:C,G11,KYC调单!D:D,$I$2)+COUNTIFS(单笔交易!C:C,G11,单笔交易!D:D,$I$2)+COUNTIFS(账户调查!C:C,G11,账户调查!D:D,$I$2)+COUNTIFS(警方协查!C:C,G11,警方协查!F:F,$I$2)+COUNTIFS(Recall!C:C,G11,Recall!F:F,$I$2)</f>
        <v>23</v>
      </c>
      <c r="J11" s="264">
        <f>COUNTIFS(KYC调单!C:C,G11,KYC调单!D:D,$J$2)+COUNTIFS(单笔交易!C:C,G11,单笔交易!D:D,$J$2)+COUNTIFS(账户调查!C:C,G11,账户调查!D:D,$J$2)+COUNTIF(结汇!C:C,G11)+COUNTIFS(警方协查!C:C,G11,警方协查!F:F,$J$2)+COUNTIFS(Recall!C:C,G11,Recall!F:F,$J$2)</f>
        <v>30</v>
      </c>
      <c r="K11" s="258">
        <f t="shared" si="1"/>
        <v>76</v>
      </c>
      <c r="L11" s="259" t="s">
        <v>22</v>
      </c>
      <c r="M11" s="269">
        <f t="shared" si="2"/>
        <v>76</v>
      </c>
      <c r="N11" s="265">
        <f t="shared" si="3"/>
        <v>0.101449275362319</v>
      </c>
      <c r="Y11"/>
    </row>
    <row r="12" s="251" customFormat="1" ht="19.5" customHeight="1" spans="1:33">
      <c r="A12" s="259" t="s">
        <v>23</v>
      </c>
      <c r="B12" s="264">
        <f>COUNTIFS(Recall!C:C,A12)</f>
        <v>7</v>
      </c>
      <c r="C12" s="264">
        <f>COUNTIFS(警方协查!C:C,A12)</f>
        <v>13</v>
      </c>
      <c r="D12" s="264">
        <f>COUNTIFS(KYC调单!C:C,A12,KYC调单!M:M,"=Retrieval Request")+COUNTIFS(单笔交易!C:C,A12,单笔交易!Q:Q,"=Retrieval Request")+COUNTIF(账户调查!C:C,A12)+COUNTIF(结汇!C:C,A12)</f>
        <v>32</v>
      </c>
      <c r="E12" s="264">
        <f>COUNTIFS(KYC调单!C:C,A12,KYC调单!M:M,"Personal Information")+COUNTIFS(单笔交易!C:C,A12,单笔交易!Q:Q,"Personal Information")</f>
        <v>31</v>
      </c>
      <c r="F12" s="258">
        <f t="shared" si="0"/>
        <v>83</v>
      </c>
      <c r="G12" s="259" t="s">
        <v>23</v>
      </c>
      <c r="H12" s="264">
        <f>COUNTIFS(KYC调单!C:C,G12,KYC调单!D:D,$H$2)+COUNTIFS(单笔交易!C:C,G12,单笔交易!D:D,$H$2)+COUNTIFS(账户调查!C:C,G12,账户调查!D:D,$H$2)+COUNTIFS(警方协查!C:C,G12,警方协查!F:F,$H$2)+COUNTIFS(Recall!C:C,G12,Recall!F:F,$H$2)</f>
        <v>25</v>
      </c>
      <c r="I12" s="264">
        <f>COUNTIFS(KYC调单!C:C,G12,KYC调单!D:D,$I$2)+COUNTIFS(单笔交易!C:C,G12,单笔交易!D:D,$I$2)+COUNTIFS(账户调查!C:C,G12,账户调查!D:D,$I$2)+COUNTIFS(警方协查!C:C,G12,警方协查!F:F,$I$2)+COUNTIFS(Recall!C:C,G12,Recall!F:F,$I$2)</f>
        <v>24</v>
      </c>
      <c r="J12" s="264">
        <f>COUNTIFS(KYC调单!C:C,G12,KYC调单!D:D,$J$2)+COUNTIFS(单笔交易!C:C,G12,单笔交易!D:D,$J$2)+COUNTIFS(账户调查!C:C,G12,账户调查!D:D,$J$2)+COUNTIF(结汇!C:C,G12)+COUNTIFS(警方协查!C:C,G12,警方协查!F:F,$J$2)+COUNTIFS(Recall!C:C,G12,Recall!F:F,$J$2)</f>
        <v>34</v>
      </c>
      <c r="K12" s="258">
        <f t="shared" si="1"/>
        <v>83</v>
      </c>
      <c r="L12" s="259" t="s">
        <v>23</v>
      </c>
      <c r="M12" s="269">
        <f t="shared" si="2"/>
        <v>83</v>
      </c>
      <c r="N12" s="265">
        <f t="shared" si="3"/>
        <v>0.0921052631578947</v>
      </c>
      <c r="Y12"/>
    </row>
    <row r="13" s="251" customFormat="1" ht="19.5" customHeight="1" spans="1:33">
      <c r="A13" s="259" t="s">
        <v>24</v>
      </c>
      <c r="B13" s="264">
        <f>COUNTIFS(Recall!C:C,A13)</f>
        <v>16</v>
      </c>
      <c r="C13" s="264">
        <f>COUNTIFS(警方协查!C:C,A13)</f>
        <v>14</v>
      </c>
      <c r="D13" s="264">
        <f>COUNTIFS(KYC调单!C:C,A13,KYC调单!M:M,"=Retrieval Request")+COUNTIFS(单笔交易!C:C,A13,单笔交易!Q:Q,"=Retrieval Request")+COUNTIF(账户调查!C:C,A13)+COUNTIF(结汇!C:C,A13)</f>
        <v>43</v>
      </c>
      <c r="E13" s="264">
        <f>COUNTIFS(KYC调单!C:C,A13,KYC调单!M:M,"Personal Information")+COUNTIFS(单笔交易!C:C,A13,单笔交易!Q:Q,"Personal Information")</f>
        <v>19</v>
      </c>
      <c r="F13" s="258">
        <f t="shared" si="0"/>
        <v>92</v>
      </c>
      <c r="G13" s="272" t="s">
        <v>24</v>
      </c>
      <c r="H13" s="264">
        <f>COUNTIFS(KYC调单!C:C,G13,KYC调单!D:D,$H$2)+COUNTIFS(单笔交易!C:C,G13,单笔交易!D:D,$H$2)+COUNTIFS(账户调查!C:C,G13,账户调查!D:D,$H$2)+COUNTIFS(警方协查!C:C,G13,警方协查!F:F,$H$2)+COUNTIFS(Recall!C:C,G13,Recall!F:F,$H$2)</f>
        <v>36</v>
      </c>
      <c r="I13" s="264">
        <f>COUNTIFS(KYC调单!C:C,G13,KYC调单!D:D,$I$2)+COUNTIFS(单笔交易!C:C,G13,单笔交易!D:D,$I$2)+COUNTIFS(账户调查!C:C,G13,账户调查!D:D,$I$2)+COUNTIFS(警方协查!C:C,G13,警方协查!F:F,$I$2)+COUNTIFS(Recall!C:C,G13,Recall!F:F,$I$2)</f>
        <v>36</v>
      </c>
      <c r="J13" s="264">
        <f>COUNTIFS(KYC调单!C:C,G13,KYC调单!D:D,$J$2)+COUNTIFS(单笔交易!C:C,G13,单笔交易!D:D,$J$2)+COUNTIFS(账户调查!C:C,G13,账户调查!D:D,$J$2)+COUNTIF(结汇!C:C,G13)+COUNTIFS(警方协查!C:C,G13,警方协查!F:F,$J$2)+COUNTIFS(Recall!C:C,G13,Recall!F:F,$J$2)</f>
        <v>20</v>
      </c>
      <c r="K13" s="258">
        <f t="shared" si="1"/>
        <v>92</v>
      </c>
      <c r="L13" s="259" t="s">
        <v>24</v>
      </c>
      <c r="M13" s="269">
        <f t="shared" si="2"/>
        <v>92</v>
      </c>
      <c r="N13" s="265">
        <f t="shared" si="3"/>
        <v>0.108433734939759</v>
      </c>
    </row>
    <row r="14" s="251" customFormat="1" ht="19.5" customHeight="1" spans="1:33">
      <c r="A14" s="259" t="s">
        <v>25</v>
      </c>
      <c r="B14" s="264">
        <f>COUNTIFS(Recall!C:C,A14)</f>
        <v>36</v>
      </c>
      <c r="C14" s="264">
        <f>COUNTIFS(警方协查!C:C,A14)</f>
        <v>9</v>
      </c>
      <c r="D14" s="264">
        <f>COUNTIFS(KYC调单!C:C,A14,KYC调单!M:M,"=Retrieval Request")+COUNTIFS(单笔交易!C:C,A14,单笔交易!Q:Q,"=Retrieval Request")+COUNTIF(账户调查!C:C,A14)+COUNTIF(结汇!C:C,A14)</f>
        <v>49</v>
      </c>
      <c r="E14" s="264">
        <f>COUNTIFS(KYC调单!C:C,A14,KYC调单!M:M,"Personal Information")+COUNTIFS(单笔交易!C:C,A14,单笔交易!Q:Q,"Personal Information")</f>
        <v>24</v>
      </c>
      <c r="F14" s="258">
        <f t="shared" si="0"/>
        <v>118</v>
      </c>
      <c r="G14" s="273" t="s">
        <v>25</v>
      </c>
      <c r="H14" s="264">
        <f>COUNTIFS(KYC调单!C:C,G14,KYC调单!D:D,$H$2)+COUNTIFS(单笔交易!C:C,G14,单笔交易!D:D,$H$2)+COUNTIFS(账户调查!C:C,G14,账户调查!D:D,$H$2)+COUNTIFS(警方协查!C:C,G14,警方协查!F:F,$H$2)+COUNTIFS(Recall!C:C,G14,Recall!F:F,$H$2)</f>
        <v>35</v>
      </c>
      <c r="I14" s="264">
        <f>COUNTIFS(KYC调单!C:C,G14,KYC调单!D:D,$I$2)+COUNTIFS(单笔交易!C:C,G14,单笔交易!D:D,$I$2)+COUNTIFS(账户调查!C:C,G14,账户调查!D:D,$I$2)+COUNTIFS(警方协查!C:C,G14,警方协查!F:F,$I$2)+COUNTIFS(Recall!C:C,G14,Recall!F:F,$I$2)</f>
        <v>59</v>
      </c>
      <c r="J14" s="264">
        <f>COUNTIFS(KYC调单!C:C,G14,KYC调单!D:D,$J$2)+COUNTIFS(单笔交易!C:C,G14,单笔交易!D:D,$J$2)+COUNTIFS(账户调查!C:C,G14,账户调查!D:D,$J$2)+COUNTIF(结汇!C:C,G14)+COUNTIFS(警方协查!C:C,G14,警方协查!F:F,$J$2)+COUNTIFS(Recall!C:C,G14,Recall!F:F,$J$2)</f>
        <v>24</v>
      </c>
      <c r="K14" s="258">
        <f t="shared" si="1"/>
        <v>118</v>
      </c>
      <c r="L14" s="259" t="s">
        <v>25</v>
      </c>
      <c r="M14" s="269">
        <f t="shared" si="2"/>
        <v>118</v>
      </c>
      <c r="N14" s="265">
        <f t="shared" si="3"/>
        <v>0.282608695652174</v>
      </c>
    </row>
    <row r="15" s="251" customFormat="1" ht="15.5" spans="1:33">
      <c r="A15" s="259" t="s">
        <v>26</v>
      </c>
      <c r="B15" s="264">
        <f>COUNTIFS(Recall!C:C,A15)</f>
        <v>38</v>
      </c>
      <c r="C15" s="264">
        <f>COUNTIFS(警方协查!C:C,A15)</f>
        <v>19</v>
      </c>
      <c r="D15" s="264">
        <f>COUNTIFS(KYC调单!C:C,A15,KYC调单!M:M,"=Retrieval Request")+COUNTIFS(单笔交易!C:C,A15,单笔交易!Q:Q,"=Retrieval Request")+COUNTIF(账户调查!C:C,A15)+COUNTIF(结汇!C:C,A15)</f>
        <v>33</v>
      </c>
      <c r="E15" s="264">
        <f>COUNTIFS(KYC调单!C:C,A15,KYC调单!M:M,"Personal Information")+COUNTIFS(单笔交易!C:C,A15,单笔交易!Q:Q,"Personal Information")</f>
        <v>19</v>
      </c>
      <c r="F15" s="258">
        <f t="shared" si="0"/>
        <v>109</v>
      </c>
      <c r="G15" s="273" t="s">
        <v>26</v>
      </c>
      <c r="H15" s="264">
        <f>COUNTIFS(KYC调单!C:C,G15,KYC调单!D:D,$H$2)+COUNTIFS(单笔交易!C:C,G15,单笔交易!D:D,$H$2)+COUNTIFS(账户调查!C:C,G15,账户调查!D:D,$H$2)+COUNTIFS(警方协查!C:C,G15,警方协查!F:F,$H$2)+COUNTIFS(Recall!C:C,G15,Recall!F:F,$H$2)</f>
        <v>56</v>
      </c>
      <c r="I15" s="264">
        <f>COUNTIFS(KYC调单!C:C,G15,KYC调单!D:D,$I$2)+COUNTIFS(单笔交易!C:C,G15,单笔交易!D:D,$I$2)+COUNTIFS(账户调查!C:C,G15,账户调查!D:D,$I$2)+COUNTIFS(警方协查!C:C,G15,警方协查!F:F,$I$2)+COUNTIFS(Recall!C:C,G15,Recall!F:F,$I$2)</f>
        <v>34</v>
      </c>
      <c r="J15" s="264">
        <f>COUNTIFS(KYC调单!C:C,G15,KYC调单!D:D,$J$2)+COUNTIFS(单笔交易!C:C,G15,单笔交易!D:D,$J$2)+COUNTIFS(账户调查!C:C,G15,账户调查!D:D,$J$2)+COUNTIF(结汇!C:C,G15)+COUNTIFS(警方协查!C:C,G15,警方协查!F:F,$J$2)+COUNTIFS(Recall!C:C,G15,Recall!F:F,$J$2)</f>
        <v>19</v>
      </c>
      <c r="K15" s="258">
        <f t="shared" si="1"/>
        <v>109</v>
      </c>
      <c r="L15" s="259" t="s">
        <v>26</v>
      </c>
      <c r="M15" s="269">
        <f t="shared" si="2"/>
        <v>109</v>
      </c>
      <c r="N15" s="265">
        <f t="shared" si="3"/>
        <v>-0.076271186440678</v>
      </c>
    </row>
    <row r="16" ht="15.5" spans="1:33">
      <c r="A16" s="259" t="s">
        <v>27</v>
      </c>
      <c r="B16" s="264">
        <f>COUNTIFS(Recall!C:C,A16)</f>
        <v>47</v>
      </c>
      <c r="C16" s="264">
        <f>COUNTIFS(警方协查!C:C,A16)</f>
        <v>20</v>
      </c>
      <c r="D16" s="264">
        <f>COUNTIFS(KYC调单!C:C,A16,KYC调单!M:M,"=Retrieval Request")+COUNTIFS(单笔交易!C:C,A16,单笔交易!Q:Q,"=Retrieval Request")+COUNTIF(账户调查!C:C,A16)+COUNTIF(结汇!C:C,A16)</f>
        <v>36</v>
      </c>
      <c r="E16" s="264">
        <f>COUNTIFS(KYC调单!C:C,A16,KYC调单!M:M,"Personal Information")+COUNTIFS(单笔交易!C:C,A16,单笔交易!Q:Q,"Personal Information")</f>
        <v>19</v>
      </c>
      <c r="F16" s="258">
        <f t="shared" si="0"/>
        <v>122</v>
      </c>
      <c r="G16" s="273" t="s">
        <v>27</v>
      </c>
      <c r="H16" s="264">
        <f>COUNTIFS(KYC调单!C:C,G16,KYC调单!D:D,$H$2)+COUNTIFS(单笔交易!C:C,G16,单笔交易!D:D,$H$2)+COUNTIFS(账户调查!C:C,G16,账户调查!D:D,$H$2)+COUNTIFS(警方协查!C:C,G16,警方协查!F:F,$H$2)+COUNTIFS(Recall!C:C,G16,Recall!F:F,$H$2)</f>
        <v>41</v>
      </c>
      <c r="I16" s="264">
        <f>COUNTIFS(KYC调单!C:C,G16,KYC调单!D:D,$I$2)+COUNTIFS(单笔交易!C:C,G16,单笔交易!D:D,$I$2)+COUNTIFS(账户调查!C:C,G16,账户调查!D:D,$I$2)+COUNTIFS(警方协查!C:C,G16,警方协查!F:F,$I$2)+COUNTIFS(Recall!C:C,G16,Recall!F:F,$I$2)</f>
        <v>54</v>
      </c>
      <c r="J16" s="264">
        <f>COUNTIFS(KYC调单!C:C,G16,KYC调单!D:D,$J$2)+COUNTIFS(单笔交易!C:C,G16,单笔交易!D:D,$J$2)+COUNTIFS(账户调查!C:C,G16,账户调查!D:D,$J$2)+COUNTIF(结汇!C:C,G16)+COUNTIFS(警方协查!C:C,G16,警方协查!F:F,$J$2)+COUNTIFS(Recall!C:C,G16,Recall!F:F,$J$2)</f>
        <v>27</v>
      </c>
      <c r="K16" s="258">
        <f t="shared" si="1"/>
        <v>122</v>
      </c>
      <c r="L16" s="259" t="s">
        <v>27</v>
      </c>
      <c r="M16" s="269">
        <f t="shared" si="2"/>
        <v>122</v>
      </c>
      <c r="N16" s="265">
        <f t="shared" si="3"/>
        <v>0.119266055045872</v>
      </c>
      <c r="X16" s="251"/>
      <c r="Y16" s="251"/>
    </row>
    <row r="17" ht="15.5" spans="1:25">
      <c r="A17" s="259" t="s">
        <v>28</v>
      </c>
      <c r="B17" s="264">
        <f>COUNTIFS(Recall!C:C,A17)</f>
        <v>21</v>
      </c>
      <c r="C17" s="264">
        <f>COUNTIFS(警方协查!C:C,A17)</f>
        <v>19</v>
      </c>
      <c r="D17" s="264">
        <f>COUNTIFS(KYC调单!C:C,A17,KYC调单!M:M,"=Retrieval Request")+COUNTIFS(单笔交易!C:C,A17,单笔交易!Q:Q,"=Retrieval Request")+COUNTIF(账户调查!C:C,A17)+COUNTIF(结汇!C:C,A17)</f>
        <v>33</v>
      </c>
      <c r="E17" s="264">
        <f>COUNTIFS(KYC调单!C:C,A17,KYC调单!M:M,"Personal Information")+COUNTIFS(单笔交易!C:C,A17,单笔交易!Q:Q,"Personal Information")</f>
        <v>17</v>
      </c>
      <c r="F17" s="258">
        <f t="shared" si="0"/>
        <v>90</v>
      </c>
      <c r="G17" s="274" t="s">
        <v>28</v>
      </c>
      <c r="H17" s="264">
        <f>COUNTIFS(KYC调单!C:C,G17,KYC调单!D:D,$H$2)+COUNTIFS(单笔交易!C:C,G17,单笔交易!D:D,$H$2)+COUNTIFS(账户调查!C:C,G17,账户调查!D:D,$H$2)+COUNTIFS(警方协查!C:C,G17,警方协查!F:F,$H$2)+COUNTIFS(Recall!C:C,G17,Recall!F:F,$H$2)</f>
        <v>26</v>
      </c>
      <c r="I17" s="264">
        <f>COUNTIFS(KYC调单!C:C,G17,KYC调单!D:D,$I$2)+COUNTIFS(单笔交易!C:C,G17,单笔交易!D:D,$I$2)+COUNTIFS(账户调查!C:C,G17,账户调查!D:D,$I$2)+COUNTIFS(警方协查!C:C,G17,警方协查!F:F,$I$2)+COUNTIFS(Recall!C:C,G17,Recall!F:F,$I$2)</f>
        <v>22</v>
      </c>
      <c r="J17" s="264">
        <f>COUNTIFS(KYC调单!C:C,G17,KYC调单!D:D,$J$2)+COUNTIFS(单笔交易!C:C,G17,单笔交易!D:D,$J$2)+COUNTIFS(账户调查!C:C,G17,账户调查!D:D,$J$2)+COUNTIF(结汇!C:C,G17)+COUNTIFS(警方协查!C:C,G17,警方协查!F:F,$J$2)+COUNTIFS(Recall!C:C,G17,Recall!F:F,$J$2)</f>
        <v>42</v>
      </c>
      <c r="K17" s="258">
        <f t="shared" si="1"/>
        <v>90</v>
      </c>
      <c r="L17" s="259" t="s">
        <v>28</v>
      </c>
      <c r="M17" s="269">
        <f t="shared" si="2"/>
        <v>90</v>
      </c>
      <c r="N17" s="265">
        <f t="shared" si="3"/>
        <v>-0.262295081967213</v>
      </c>
      <c r="X17" s="251"/>
      <c r="Y17" s="251"/>
    </row>
    <row r="18" ht="15.5" spans="1:25">
      <c r="A18" s="259" t="s">
        <v>29</v>
      </c>
      <c r="B18" s="264">
        <f>COUNTIFS(Recall!C:C,A18)</f>
        <v>15</v>
      </c>
      <c r="C18" s="264">
        <f>COUNTIFS(警方协查!C:C,A18)</f>
        <v>18</v>
      </c>
      <c r="D18" s="264">
        <f>COUNTIFS(KYC调单!C:C,A18,KYC调单!M:M,"=Retrieval Request")+COUNTIFS(单笔交易!C:C,A18,单笔交易!Q:Q,"=Retrieval Request")+COUNTIF(账户调查!C:C,A18)+COUNTIF(结汇!C:C,A18)</f>
        <v>50</v>
      </c>
      <c r="E18" s="264">
        <f>COUNTIFS(KYC调单!C:C,A18,KYC调单!M:M,"Personal Information")+COUNTIFS(单笔交易!C:C,A18,单笔交易!Q:Q,"Personal Information")</f>
        <v>20</v>
      </c>
      <c r="F18" s="258">
        <f t="shared" si="0"/>
        <v>103</v>
      </c>
      <c r="G18" s="274" t="s">
        <v>29</v>
      </c>
      <c r="H18" s="264">
        <f>COUNTIFS(KYC调单!C:C,G18,KYC调单!D:D,$H$2)+COUNTIFS(单笔交易!C:C,G18,单笔交易!D:D,$H$2)+COUNTIFS(账户调查!C:C,G18,账户调查!D:D,$H$2)+COUNTIFS(警方协查!C:C,G18,警方协查!F:F,$H$2)+COUNTIFS(Recall!C:C,G18,Recall!F:F,$H$2)</f>
        <v>45</v>
      </c>
      <c r="I18" s="264">
        <f>COUNTIFS(KYC调单!C:C,G18,KYC调单!D:D,$I$2)+COUNTIFS(单笔交易!C:C,G18,单笔交易!D:D,$I$2)+COUNTIFS(账户调查!C:C,G18,账户调查!D:D,$I$2)+COUNTIFS(警方协查!C:C,G18,警方协查!F:F,$I$2)+COUNTIFS(Recall!C:C,G18,Recall!F:F,$I$2)</f>
        <v>26</v>
      </c>
      <c r="J18" s="264">
        <f>COUNTIFS(KYC调单!C:C,G18,KYC调单!D:D,$J$2)+COUNTIFS(单笔交易!C:C,G18,单笔交易!D:D,$J$2)+COUNTIFS(账户调查!C:C,G18,账户调查!D:D,$J$2)+COUNTIF(结汇!C:C,G18)+COUNTIFS(警方协查!C:C,G18,警方协查!F:F,$J$2)+COUNTIFS(Recall!C:C,G18,Recall!F:F,$J$2)</f>
        <v>32</v>
      </c>
      <c r="K18" s="258">
        <f t="shared" si="1"/>
        <v>103</v>
      </c>
      <c r="L18" s="259" t="s">
        <v>29</v>
      </c>
      <c r="M18" s="269">
        <f t="shared" si="2"/>
        <v>103</v>
      </c>
      <c r="N18" s="265">
        <f t="shared" si="3"/>
        <v>0.144444444444444</v>
      </c>
      <c r="X18" s="251"/>
      <c r="Y18" s="251"/>
    </row>
    <row r="19" s="251" customFormat="1" ht="15.5" spans="1:25">
      <c r="A19" s="259" t="s">
        <v>30</v>
      </c>
      <c r="B19" s="264">
        <f>COUNTIFS(Recall!C:C,A19)</f>
        <v>37</v>
      </c>
      <c r="C19" s="264">
        <f>COUNTIFS(警方协查!C:C,A19)</f>
        <v>20</v>
      </c>
      <c r="D19" s="264">
        <f>COUNTIFS(KYC调单!C:C,A19,KYC调单!M:M,"=Retrieval Request")+COUNTIFS(单笔交易!C:C,A19,单笔交易!Q:Q,"=Retrieval Request")+COUNTIF(账户调查!C:C,A19)+COUNTIF(结汇!C:C,A19)</f>
        <v>58</v>
      </c>
      <c r="E19" s="264">
        <f>COUNTIFS(KYC调单!C:C,A19,KYC调单!M:M,"Personal Information")+COUNTIFS(单笔交易!C:C,A19,单笔交易!Q:Q,"Personal Information")</f>
        <v>26</v>
      </c>
      <c r="F19" s="258">
        <f t="shared" si="0"/>
        <v>141</v>
      </c>
      <c r="G19" s="274" t="s">
        <v>30</v>
      </c>
      <c r="H19" s="264">
        <f>COUNTIFS(KYC调单!C:C,G19,KYC调单!D:D,$H$2)+COUNTIFS(单笔交易!C:C,G19,单笔交易!D:D,$H$2)+COUNTIFS(账户调查!C:C,G19,账户调查!D:D,$H$2)+COUNTIFS(警方协查!C:C,G19,警方协查!F:F,$H$2)+COUNTIFS(Recall!C:C,G19,Recall!F:F,$H$2)</f>
        <v>79</v>
      </c>
      <c r="I19" s="264">
        <f>COUNTIFS(KYC调单!C:C,G19,KYC调单!D:D,$I$2)+COUNTIFS(单笔交易!C:C,G19,单笔交易!D:D,$I$2)+COUNTIFS(账户调查!C:C,G19,账户调查!D:D,$I$2)+COUNTIFS(警方协查!C:C,G19,警方协查!F:F,$I$2)+COUNTIFS(Recall!C:C,G19,Recall!F:F,$I$2)</f>
        <v>34</v>
      </c>
      <c r="J19" s="264">
        <f>COUNTIFS(KYC调单!C:C,G19,KYC调单!D:D,$J$2)+COUNTIFS(单笔交易!C:C,G19,单笔交易!D:D,$J$2)+COUNTIFS(账户调查!C:C,G19,账户调查!D:D,$J$2)+COUNTIF(结汇!C:C,G19)+COUNTIFS(警方协查!C:C,G19,警方协查!F:F,$J$2)+COUNTIFS(Recall!C:C,G19,Recall!F:F,$J$2)</f>
        <v>28</v>
      </c>
      <c r="K19" s="258">
        <f t="shared" si="1"/>
        <v>141</v>
      </c>
      <c r="L19" s="259" t="s">
        <v>30</v>
      </c>
      <c r="M19" s="269">
        <f t="shared" si="2"/>
        <v>141</v>
      </c>
      <c r="N19" s="265">
        <f t="shared" si="3"/>
        <v>0.368932038834951</v>
      </c>
    </row>
    <row r="20" s="252" customFormat="1" ht="15.5" spans="1:25">
      <c r="A20" s="275" t="s">
        <v>31</v>
      </c>
      <c r="B20" s="276">
        <f>COUNTIFS(Recall!C:C,A20)</f>
        <v>27</v>
      </c>
      <c r="C20" s="276">
        <f>COUNTIFS(警方协查!C:C,A20)</f>
        <v>19</v>
      </c>
      <c r="D20" s="276">
        <f>COUNTIFS(KYC调单!C:C,A20,KYC调单!M:M,"=Retrieval Request")+COUNTIFS(单笔交易!C:C,A20,单笔交易!Q:Q,"=Retrieval Request")+COUNTIF(账户调查!C:C,A20)+COUNTIF(结汇!C:C,A20)</f>
        <v>48</v>
      </c>
      <c r="E20" s="276">
        <f>COUNTIFS(KYC调单!C:C,A20,KYC调单!M:M,"Personal Information")+COUNTIFS(单笔交易!C:C,A20,单笔交易!Q:Q,"Personal Information")</f>
        <v>12</v>
      </c>
      <c r="F20" s="258">
        <f t="shared" si="0"/>
        <v>106</v>
      </c>
      <c r="G20" s="277" t="s">
        <v>31</v>
      </c>
      <c r="H20" s="276">
        <f>COUNTIFS(KYC调单!C:C,G20,KYC调单!D:D,$H$2)+COUNTIFS(单笔交易!C:C,G20,单笔交易!D:D,$H$2)+COUNTIFS(账户调查!C:C,G20,账户调查!D:D,$H$2)+COUNTIFS(警方协查!C:C,G20,警方协查!F:F,$H$2)+COUNTIFS(Recall!C:C,G20,Recall!F:F,$H$2)</f>
        <v>54</v>
      </c>
      <c r="I20" s="276">
        <f>COUNTIFS(KYC调单!C:C,G20,KYC调单!D:D,$I$2)+COUNTIFS(单笔交易!C:C,G20,单笔交易!D:D,$I$2)+COUNTIFS(账户调查!C:C,G20,账户调查!D:D,$I$2)+COUNTIFS(警方协查!C:C,G20,警方协查!F:F,$I$2)+COUNTIFS(Recall!C:C,G20,Recall!F:F,$I$2)</f>
        <v>34</v>
      </c>
      <c r="J20" s="276">
        <f>COUNTIFS(KYC调单!C:C,G20,KYC调单!D:D,$J$2)+COUNTIFS(单笔交易!C:C,G20,单笔交易!D:D,$J$2)+COUNTIFS(账户调查!C:C,G20,账户调查!D:D,$J$2)+COUNTIF(结汇!C:C,G20)+COUNTIFS(警方协查!C:C,G20,警方协查!F:F,$J$2)+COUNTIFS(Recall!C:C,G20,Recall!F:F,$J$2)</f>
        <v>18</v>
      </c>
      <c r="K20" s="258">
        <f t="shared" si="1"/>
        <v>106</v>
      </c>
      <c r="L20" s="275" t="s">
        <v>31</v>
      </c>
      <c r="M20" s="269">
        <f t="shared" si="2"/>
        <v>106</v>
      </c>
      <c r="N20" s="278">
        <f t="shared" si="3"/>
        <v>-0.24822695035461</v>
      </c>
    </row>
    <row r="21" ht="15.5" spans="1:25">
      <c r="A21" s="259" t="s">
        <v>32</v>
      </c>
      <c r="B21" s="255"/>
      <c r="C21" s="255"/>
      <c r="D21" s="255"/>
      <c r="E21" s="255"/>
      <c r="F21" s="258"/>
    </row>
    <row r="22" ht="15.5" spans="1:25">
      <c r="A22" s="259" t="s">
        <v>33</v>
      </c>
      <c r="B22" s="255"/>
      <c r="C22" s="255"/>
      <c r="D22" s="255"/>
      <c r="E22" s="255"/>
      <c r="F22" s="258"/>
    </row>
    <row r="23" ht="15.5" spans="1:25">
      <c r="A23" s="259" t="s">
        <v>34</v>
      </c>
      <c r="B23" s="255"/>
      <c r="C23" s="255"/>
      <c r="D23" s="255"/>
      <c r="E23" s="255"/>
      <c r="F23" s="258"/>
    </row>
    <row r="24" ht="15.5" spans="1:25">
      <c r="A24" s="259" t="s">
        <v>35</v>
      </c>
      <c r="B24" s="255"/>
      <c r="C24" s="255"/>
      <c r="D24" s="255"/>
      <c r="E24" s="255"/>
      <c r="F24" s="258"/>
    </row>
    <row r="25" ht="15.5" spans="1:25">
      <c r="A25" s="259" t="s">
        <v>36</v>
      </c>
      <c r="B25" s="255"/>
      <c r="C25" s="255"/>
      <c r="D25" s="255"/>
      <c r="E25" s="255"/>
      <c r="F25" s="258"/>
    </row>
    <row r="26" ht="15.5" spans="1:25">
      <c r="A26" s="259" t="s">
        <v>37</v>
      </c>
      <c r="B26" s="255"/>
      <c r="C26" s="255"/>
      <c r="D26" s="255"/>
      <c r="E26" s="255"/>
      <c r="F26" s="258"/>
    </row>
    <row r="34" ht="17.5" spans="1:20">
      <c r="A34" s="279" t="s">
        <v>38</v>
      </c>
      <c r="B34" s="280"/>
      <c r="C34" s="280"/>
      <c r="D34" s="280"/>
      <c r="E34" s="280"/>
      <c r="F34" s="280"/>
      <c r="G34" s="280"/>
      <c r="H34" s="280"/>
      <c r="I34" s="280"/>
      <c r="J34" s="280"/>
      <c r="K34" s="280"/>
      <c r="L34" s="280"/>
      <c r="M34" s="280"/>
    </row>
    <row r="35" ht="15.5" spans="1:20">
      <c r="A35" s="281" t="s">
        <v>2</v>
      </c>
      <c r="B35" s="282" t="s">
        <v>39</v>
      </c>
      <c r="C35" s="282" t="s">
        <v>40</v>
      </c>
      <c r="D35" s="281" t="s">
        <v>41</v>
      </c>
      <c r="E35" s="281" t="s">
        <v>42</v>
      </c>
      <c r="F35" s="281" t="s">
        <v>43</v>
      </c>
      <c r="G35" s="281" t="s">
        <v>44</v>
      </c>
      <c r="H35" s="281" t="s">
        <v>45</v>
      </c>
      <c r="I35" s="281" t="s">
        <v>46</v>
      </c>
      <c r="J35" s="281" t="s">
        <v>47</v>
      </c>
      <c r="K35" s="282" t="s">
        <v>48</v>
      </c>
      <c r="L35" s="281" t="s">
        <v>49</v>
      </c>
      <c r="M35" s="281" t="s">
        <v>50</v>
      </c>
      <c r="N35" s="283" t="s">
        <v>51</v>
      </c>
      <c r="O35" s="284" t="s">
        <v>52</v>
      </c>
      <c r="P35" s="281" t="s">
        <v>53</v>
      </c>
      <c r="Q35" s="281" t="s">
        <v>54</v>
      </c>
      <c r="R35" s="281"/>
      <c r="S35" s="258" t="s">
        <v>9</v>
      </c>
      <c r="T35" s="258" t="s">
        <v>55</v>
      </c>
    </row>
    <row r="36" ht="15.5" spans="1:20">
      <c r="A36" s="285" t="s">
        <v>14</v>
      </c>
      <c r="B36" s="286">
        <f>COUNTIFS(KYC调单!C:C,A3,KYC调单!E:E,"DBS")+COUNTIFS(单笔交易!C:C,A3,单笔交易!H:H,"DBS")+COUNTIFS(账户调查!C:C,A3,账户调查!F:F,"DBS")+COUNTIFS(Recall!C:C,A3,Recall!D:D,"DBS")+COUNTIFS(警方协查!C:C,A3,警方协查!E:E,"DBS")</f>
        <v>14</v>
      </c>
      <c r="C36" s="286">
        <f>COUNTIFS(KYC调单!C:C,A3,KYC调单!E:E,"Banking Circle")+COUNTIFS(单笔交易!C:C,A3,单笔交易!H:H,"Banking Circle")+COUNTIFS(账户调查!C:C,A3,账户调查!F:F,"Banking Circle")+COUNTIFS(Recall!C:C,A3,Recall!D:D,"Banking Circle")+COUNTIFS(警方协查!C:C,A3,警方协查!E:E,"Banking Circle")</f>
        <v>36</v>
      </c>
      <c r="D36" s="286">
        <f>COUNTIFS(KYC调单!C:C,A3,KYC调单!E:E,"M-DAQ")+COUNTIFS(单笔交易!C:C,A3,单笔交易!H:H,"M-DAQ")+COUNTIFS(账户调查!C:C,A3,账户调查!F:F,"M-DAQ")+COUNTIFS(Recall!C:C,A3,Recall!D:D,"M-DAQ")+COUNTIFS(警方协查!C:C,A3,警方协查!E:E,"M-DAQ")</f>
        <v>0</v>
      </c>
      <c r="E36" s="286">
        <f>COUNTIFS(KYC调单!C:C,A3,KYC调单!E:E,"GME")+COUNTIFS(单笔交易!C:C,A3,单笔交易!H:H,"GME")+COUNTIFS(账户调查!C:C,A3,账户调查!F:F,"GME")+COUNTIFS(Recall!C:C,A3,Recall!D:D,"GME")+COUNTIFS(警方协查!C:C,A3,警方协查!E:E,"GME")</f>
        <v>2</v>
      </c>
      <c r="F36" s="286">
        <f>COUNTIFS(KYC调单!C:C,A3,KYC调单!E:E,"QBC")+COUNTIFS(单笔交易!C:C,A3,单笔交易!H:H,"QBC")+COUNTIFS(账户调查!C:C,A3,账户调查!F:F,"QBC")+COUNTIFS(Recall!C:C,A3,Recall!D:D,"QBC")+COUNTIFS(警方协查!C:C,A3,警方协查!E:E,"QBC")</f>
        <v>0</v>
      </c>
      <c r="G36" s="286">
        <f>COUNTIFS(KYC调单!C:C,A3,KYC调单!E:E,"Thunes")+COUNTIFS(单笔交易!C:C,A3,单笔交易!H:H,"Thunes")+COUNTIFS(账户调查!C:C,A3,账户调查!F:F,"Thunes")+COUNTIFS(Recall!C:C,A3,Recall!D:D,"Thunes")+COUNTIFS(警方协查!C:C,A3,警方协查!E:E,"Thunes")</f>
        <v>1</v>
      </c>
      <c r="H36" s="286">
        <f>COUNTIF(结汇!C:C,A3)</f>
        <v>2</v>
      </c>
      <c r="I36" s="286">
        <f>COUNTIFS(KYC调单!C:C,A3,KYC调单!E:E,"平安银行")+COUNTIFS(单笔交易!C:C,A3,单笔交易!H:H,"平安银行")+COUNTIFS(账户调查!C:C,A3,账户调查!F:F,"平安银行")+COUNTIFS(Recall!C:C,A3,Recall!D:D,"平安银行")+COUNTIFS(警方协查!C:C,A3,警方协查!E:E,"平安银行")</f>
        <v>0</v>
      </c>
      <c r="J36" s="286">
        <f>COUNTIFS(KYC调单!C:C,A3,KYC调单!E:E,"PING PONG")+COUNTIFS(单笔交易!C:C,A3,单笔交易!H:H,"PING PONG")+COUNTIFS(账户调查!C:C,A3,账户调查!F:F,"PING PONG")+COUNTIFS(Recall!C:C,A3,Recall!D:D,"PING PONG")+COUNTIFS(警方协查!C:C,A3,警方协查!E:E,"PING PONG")</f>
        <v>1</v>
      </c>
      <c r="K36" s="287">
        <f>COUNTIFS(单笔交易!C:C,A36,单笔交易!H:H,"SCB")+COUNTIFS(账户调查!C:C,A36,账户调查!F:F,"SCB")+COUNTIFS(Recall!C:C,A36,Recall!D:D,"SCB")</f>
        <v>0</v>
      </c>
      <c r="L36" s="287">
        <f>COUNTIFS(单笔交易!C:C,A36,单笔交易!H:H,"Baokim")+COUNTIFS(账户调查!C:C,A36,账户调查!F:F,"Baokim")</f>
        <v>0</v>
      </c>
      <c r="M36" s="261">
        <f>COUNTIFS(警方协查!C:C,A36,警方协查!E:E,"其他警方")+COUNTIFS(账户调查!C:C,A36,账户调查!F:F,"Payoneer")+COUNTIFS(账户调查!C:C,A36,账户调查!F:F,"DSGpay")+COUNTIFS(单笔交易!C:C,A36,单笔交易!H:H,"DSGpay")+COUNTIFS(单笔交易!C:C,A36,单笔交易!H:H,"Moolahgo")+COUNTIFS(账户调查!C:C,A36,账户调查!F:F,"Sentbe")+COUNTIFS(账户调查!C:C,A36,账户调查!F:F,"flutterwave")+COUNTIFS(单笔交易!C:C,A36,单笔交易!H:H,"Pyvio")+COUNTIFS(账户调查!C:C,A36,账户调查!F:F,"HPAY")</f>
        <v>1</v>
      </c>
      <c r="N36" s="266">
        <f>COUNTIFS(单笔交易!C:C,A36,单笔交易!H:H,"Nium")+COUNTIFS(账户调查!C:C,A36,账户调查!F:F,"Nium")+COUNTIFS(KYC调单!C:C,A3,KYC调单!E:E,"Nium")</f>
        <v>0</v>
      </c>
      <c r="O36" s="288">
        <f>COUNTIFS(警方协查!C:C,A36,警方协查!E:E,"OpenPayd")+COUNTIFS(单笔交易!C:C,A36,单笔交易!H:H,"OpenPayd")+COUNTIFS(账户调查!C:C,A36,账户调查!F:F,"OpenPayd")+COUNTIFS(Recall!C:C,A36,Recall!D:D,"OpenPayd")</f>
        <v>0</v>
      </c>
      <c r="P36" s="261">
        <f>COUNTIFS(KYC调单!C:C,A3,KYC调单!E:E,"IBC")+COUNTIFS(单笔交易!C:C,A3,单笔交易!H:H,"IBC")+COUNTIFS(账户调查!C:C,A3,账户调查!F:F,"IBC")</f>
        <v>0</v>
      </c>
      <c r="Q36" s="288">
        <f>COUNTIFS(KYC调单!C:C,A36,KYC调单!E:E,"TransferMate")+COUNTIFS(单笔交易!C:C,A36,单笔交易!H:H,"TransferMate")+COUNTIFS(账户调查!C:C,A36,账户调查!F:F,"TransferMate")</f>
        <v>0</v>
      </c>
      <c r="R36" s="261"/>
      <c r="S36" s="258">
        <f t="shared" ref="S36:S59" si="4">SUM(B36:R36)</f>
        <v>57</v>
      </c>
      <c r="T36" s="258" t="str">
        <f t="shared" ref="T36:T59" si="5">_xlfn.IFS(S36=F3,"一致")</f>
        <v>一致</v>
      </c>
    </row>
    <row r="37" ht="15.5" spans="1:20">
      <c r="A37" s="285" t="s">
        <v>15</v>
      </c>
      <c r="B37" s="286">
        <f>COUNTIFS(KYC调单!C:C,A4,KYC调单!E:E,"DBS")+COUNTIFS(单笔交易!C:C,A4,单笔交易!H:H,"DBS")+COUNTIFS(账户调查!C:C,A4,账户调查!F:F,"DBS")+COUNTIFS(Recall!C:C,A4,Recall!D:D,"DBS")+COUNTIFS(警方协查!C:C,A4,警方协查!E:E,"DBS")</f>
        <v>22</v>
      </c>
      <c r="C37" s="286">
        <f>COUNTIFS(KYC调单!C:C,A4,KYC调单!E:E,"Banking Circle")+COUNTIFS(单笔交易!C:C,A4,单笔交易!H:H,"Banking Circle")+COUNTIFS(账户调查!C:C,A4,账户调查!F:F,"Banking Circle")+COUNTIFS(Recall!C:C,A4,Recall!D:D,"Banking Circle")+COUNTIFS(警方协查!C:C,A4,警方协查!E:E,"Banking Circle")</f>
        <v>19</v>
      </c>
      <c r="D37" s="286">
        <f>COUNTIFS(KYC调单!C:C,A4,KYC调单!E:E,"M-DAQ")+COUNTIFS(单笔交易!C:C,A4,单笔交易!H:H,"M-DAQ")+COUNTIFS(账户调查!C:C,A4,账户调查!F:F,"M-DAQ")+COUNTIFS(Recall!C:C,A4,Recall!D:D,"M-DAQ")+COUNTIFS(警方协查!C:C,A4,警方协查!E:E,"M-DAQ")</f>
        <v>0</v>
      </c>
      <c r="E37" s="286">
        <f>COUNTIFS(KYC调单!C:C,A4,KYC调单!E:E,"GME")+COUNTIFS(单笔交易!C:C,A4,单笔交易!H:H,"GME")+COUNTIFS(账户调查!C:C,A4,账户调查!F:F,"GME")+COUNTIFS(Recall!C:C,A4,Recall!D:D,"GME")+COUNTIFS(警方协查!C:C,A4,警方协查!E:E,"GME")</f>
        <v>0</v>
      </c>
      <c r="F37" s="286">
        <f>COUNTIFS(KYC调单!C:C,A4,KYC调单!E:E,"QBC")+COUNTIFS(单笔交易!C:C,A4,单笔交易!H:H,"QBC")+COUNTIFS(账户调查!C:C,A4,账户调查!F:F,"QBC")+COUNTIFS(Recall!C:C,A4,Recall!D:D,"QBC")+COUNTIFS(警方协查!C:C,A4,警方协查!E:E,"QBC")</f>
        <v>0</v>
      </c>
      <c r="G37" s="286">
        <f>COUNTIFS(KYC调单!C:C,A4,KYC调单!E:E,"Thunes")+COUNTIFS(单笔交易!C:C,A4,单笔交易!H:H,"Thunes")+COUNTIFS(账户调查!C:C,A4,账户调查!F:F,"Thunes")+COUNTIFS(Recall!C:C,A4,Recall!D:D,"Thunes")+COUNTIFS(警方协查!C:C,A4,警方协查!E:E,"Thunes")</f>
        <v>0</v>
      </c>
      <c r="H37" s="286">
        <f>COUNTIF(结汇!C:C,A4)</f>
        <v>1</v>
      </c>
      <c r="I37" s="286">
        <f>COUNTIFS(KYC调单!C:C,A4,KYC调单!E:E,"平安银行")+COUNTIFS(单笔交易!C:C,A4,单笔交易!H:H,"平安银行")+COUNTIFS(账户调查!C:C,A4,账户调查!F:F,"平安银行")+COUNTIFS(Recall!C:C,A4,Recall!D:D,"平安银行")+COUNTIFS(警方协查!C:C,A4,警方协查!E:E,"平安银行")</f>
        <v>0</v>
      </c>
      <c r="J37" s="286">
        <f>COUNTIFS(KYC调单!C:C,A4,KYC调单!E:E,"PING PONG")+COUNTIFS(单笔交易!C:C,A4,单笔交易!H:H,"PING PONG")+COUNTIFS(账户调查!C:C,A4,账户调查!F:F,"PING PONG")+COUNTIFS(Recall!C:C,A4,Recall!D:D,"PING PONG")+COUNTIFS(警方协查!C:C,A4,警方协查!E:E,"PING PONG")</f>
        <v>0</v>
      </c>
      <c r="K37" s="287">
        <f>COUNTIFS(单笔交易!C:C,A37,单笔交易!H:H,"SCB")+COUNTIFS(账户调查!C:C,A37,账户调查!F:F,"SCB")+COUNTIFS(Recall!C:C,A37,Recall!D:D,"SCB")</f>
        <v>0</v>
      </c>
      <c r="L37" s="287">
        <f>COUNTIFS(单笔交易!C:C,A37,单笔交易!H:H,"Baokim")+COUNTIFS(账户调查!C:C,A37,账户调查!F:F,"Baokim")</f>
        <v>0</v>
      </c>
      <c r="M37" s="261">
        <f>COUNTIFS(警方协查!C:C,A37,警方协查!E:E,"其他警方")+COUNTIFS(账户调查!C:C,A37,账户调查!F:F,"Payoneer")+COUNTIFS(账户调查!C:C,A37,账户调查!F:F,"DSGpay")+COUNTIFS(单笔交易!C:C,A37,单笔交易!H:H,"DSGpay")+COUNTIFS(单笔交易!C:C,A37,单笔交易!H:H,"Moolahgo")+COUNTIFS(账户调查!C:C,A37,账户调查!F:F,"Sentbe")+COUNTIFS(账户调查!C:C,A37,账户调查!F:F,"flutterwave")+COUNTIFS(单笔交易!C:C,A37,单笔交易!H:H,"Pyvio")+COUNTIFS(账户调查!C:C,A37,账户调查!F:F,"HPAY")</f>
        <v>0</v>
      </c>
      <c r="N37" s="266">
        <f>COUNTIFS(单笔交易!C:C,A37,单笔交易!H:H,"Nium")+COUNTIFS(账户调查!C:C,A37,账户调查!F:F,"Nium")+COUNTIFS(KYC调单!C:C,A4,KYC调单!E:E,"Nium")</f>
        <v>0</v>
      </c>
      <c r="O37" s="288">
        <f>COUNTIFS(警方协查!C:C,A37,警方协查!E:E,"OpenPayd")+COUNTIFS(单笔交易!C:C,A37,单笔交易!H:H,"OpenPayd")+COUNTIFS(账户调查!C:C,A37,账户调查!F:F,"OpenPayd")+COUNTIFS(Recall!C:C,A37,Recall!D:D,"OpenPayd")</f>
        <v>0</v>
      </c>
      <c r="P37" s="261">
        <f>COUNTIFS(KYC调单!C:C,A4,KYC调单!E:E,"IBC")+COUNTIFS(单笔交易!C:C,A4,单笔交易!H:H,"IBC")+COUNTIFS(账户调查!C:C,A4,账户调查!F:F,"IBC")</f>
        <v>0</v>
      </c>
      <c r="Q37" s="288">
        <f>COUNTIFS(KYC调单!C:C,A37,KYC调单!E:E,"TransferMate")+COUNTIFS(单笔交易!C:C,A37,单笔交易!H:H,"TransferMate")+COUNTIFS(账户调查!C:C,A37,账户调查!F:F,"TransferMate")</f>
        <v>0</v>
      </c>
      <c r="R37" s="255"/>
      <c r="S37" s="258">
        <f t="shared" si="4"/>
        <v>42</v>
      </c>
      <c r="T37" s="258" t="str">
        <f t="shared" si="5"/>
        <v>一致</v>
      </c>
    </row>
    <row r="38" ht="15.5" spans="1:20">
      <c r="A38" s="285" t="s">
        <v>16</v>
      </c>
      <c r="B38" s="286">
        <f>COUNTIFS(KYC调单!C:C,A5,KYC调单!E:E,"DBS")+COUNTIFS(单笔交易!C:C,A5,单笔交易!H:H,"DBS")+COUNTIFS(账户调查!C:C,A5,账户调查!F:F,"DBS")+COUNTIFS(Recall!C:C,A5,Recall!D:D,"DBS")+COUNTIFS(警方协查!C:C,A5,警方协查!E:E,"DBS")</f>
        <v>24</v>
      </c>
      <c r="C38" s="286">
        <f>COUNTIFS(KYC调单!C:C,A5,KYC调单!E:E,"Banking Circle")+COUNTIFS(单笔交易!C:C,A5,单笔交易!H:H,"Banking Circle")+COUNTIFS(账户调查!C:C,A5,账户调查!F:F,"Banking Circle")+COUNTIFS(Recall!C:C,A5,Recall!D:D,"Banking Circle")+COUNTIFS(警方协查!C:C,A5,警方协查!E:E,"Banking Circle")</f>
        <v>21</v>
      </c>
      <c r="D38" s="286">
        <f>COUNTIFS(KYC调单!C:C,A5,KYC调单!E:E,"M-DAQ")+COUNTIFS(单笔交易!C:C,A5,单笔交易!H:H,"M-DAQ")+COUNTIFS(账户调查!C:C,A5,账户调查!F:F,"M-DAQ")+COUNTIFS(Recall!C:C,A5,Recall!D:D,"M-DAQ")+COUNTIFS(警方协查!C:C,A5,警方协查!E:E,"M-DAQ")</f>
        <v>8</v>
      </c>
      <c r="E38" s="286">
        <f>COUNTIFS(KYC调单!C:C,A5,KYC调单!E:E,"GME")+COUNTIFS(单笔交易!C:C,A5,单笔交易!H:H,"GME")+COUNTIFS(账户调查!C:C,A5,账户调查!F:F,"GME")+COUNTIFS(Recall!C:C,A5,Recall!D:D,"GME")+COUNTIFS(警方协查!C:C,A5,警方协查!E:E,"GME")</f>
        <v>1</v>
      </c>
      <c r="F38" s="286">
        <f>COUNTIFS(KYC调单!C:C,A5,KYC调单!E:E,"QBC")+COUNTIFS(单笔交易!C:C,A5,单笔交易!H:H,"QBC")+COUNTIFS(账户调查!C:C,A5,账户调查!F:F,"QBC")+COUNTIFS(Recall!C:C,A5,Recall!D:D,"QBC")+COUNTIFS(警方协查!C:C,A5,警方协查!E:E,"QBC")</f>
        <v>0</v>
      </c>
      <c r="G38" s="286">
        <f>COUNTIFS(KYC调单!C:C,A5,KYC调单!E:E,"Thunes")+COUNTIFS(单笔交易!C:C,A5,单笔交易!H:H,"Thunes")+COUNTIFS(账户调查!C:C,A5,账户调查!F:F,"Thunes")+COUNTIFS(Recall!C:C,A5,Recall!D:D,"Thunes")+COUNTIFS(警方协查!C:C,A5,警方协查!E:E,"Thunes")</f>
        <v>2</v>
      </c>
      <c r="H38" s="286">
        <f>COUNTIF(结汇!C:C,A5)</f>
        <v>1</v>
      </c>
      <c r="I38" s="286">
        <f>COUNTIFS(KYC调单!C:C,A5,KYC调单!E:E,"平安银行")+COUNTIFS(单笔交易!C:C,A5,单笔交易!H:H,"平安银行")+COUNTIFS(账户调查!C:C,A5,账户调查!F:F,"平安银行")+COUNTIFS(Recall!C:C,A5,Recall!D:D,"平安银行")+COUNTIFS(警方协查!C:C,A5,警方协查!E:E,"平安银行")</f>
        <v>3</v>
      </c>
      <c r="J38" s="286">
        <f>COUNTIFS(KYC调单!C:C,A5,KYC调单!E:E,"PING PONG")+COUNTIFS(单笔交易!C:C,A5,单笔交易!H:H,"PING PONG")+COUNTIFS(账户调查!C:C,A5,账户调查!F:F,"PING PONG")+COUNTIFS(Recall!C:C,A5,Recall!D:D,"PING PONG")+COUNTIFS(警方协查!C:C,A5,警方协查!E:E,"PING PONG")</f>
        <v>0</v>
      </c>
      <c r="K38" s="287">
        <f>COUNTIFS(单笔交易!C:C,A38,单笔交易!H:H,"SCB")+COUNTIFS(账户调查!C:C,A38,账户调查!F:F,"SCB")+COUNTIFS(Recall!C:C,A38,Recall!D:D,"SCB")</f>
        <v>0</v>
      </c>
      <c r="L38" s="287">
        <f>COUNTIFS(单笔交易!C:C,A38,单笔交易!H:H,"Baokim")+COUNTIFS(账户调查!C:C,A38,账户调查!F:F,"Baokim")</f>
        <v>0</v>
      </c>
      <c r="M38" s="261">
        <f>COUNTIFS(警方协查!C:C,A38,警方协查!E:E,"其他警方")+COUNTIFS(账户调查!C:C,A38,账户调查!F:F,"Payoneer")+COUNTIFS(账户调查!C:C,A38,账户调查!F:F,"DSGpay")+COUNTIFS(单笔交易!C:C,A38,单笔交易!H:H,"DSGpay")+COUNTIFS(单笔交易!C:C,A38,单笔交易!H:H,"Moolahgo")+COUNTIFS(账户调查!C:C,A38,账户调查!F:F,"Sentbe")+COUNTIFS(账户调查!C:C,A38,账户调查!F:F,"flutterwave")+COUNTIFS(单笔交易!C:C,A38,单笔交易!H:H,"Pyvio")+COUNTIFS(账户调查!C:C,A38,账户调查!F:F,"HPAY")</f>
        <v>0</v>
      </c>
      <c r="N38" s="266">
        <f>COUNTIFS(单笔交易!C:C,A38,单笔交易!H:H,"Nium")+COUNTIFS(账户调查!C:C,A38,账户调查!F:F,"Nium")+COUNTIFS(KYC调单!C:C,A5,KYC调单!E:E,"Nium")</f>
        <v>0</v>
      </c>
      <c r="O38" s="288">
        <f>COUNTIFS(警方协查!C:C,A38,警方协查!E:E,"OpenPayd")+COUNTIFS(单笔交易!C:C,A38,单笔交易!H:H,"OpenPayd")+COUNTIFS(账户调查!C:C,A38,账户调查!F:F,"OpenPayd")+COUNTIFS(Recall!C:C,A38,Recall!D:D,"OpenPayd")</f>
        <v>0</v>
      </c>
      <c r="P38" s="261">
        <f>COUNTIFS(KYC调单!C:C,A5,KYC调单!E:E,"IBC")+COUNTIFS(单笔交易!C:C,A5,单笔交易!H:H,"IBC")+COUNTIFS(账户调查!C:C,A5,账户调查!F:F,"IBC")</f>
        <v>0</v>
      </c>
      <c r="Q38" s="288">
        <f>COUNTIFS(KYC调单!C:C,A38,KYC调单!E:E,"TransferMate")+COUNTIFS(单笔交易!C:C,A38,单笔交易!H:H,"TransferMate")+COUNTIFS(账户调查!C:C,A38,账户调查!F:F,"TransferMate")</f>
        <v>0</v>
      </c>
      <c r="R38" s="255"/>
      <c r="S38" s="258">
        <f t="shared" si="4"/>
        <v>60</v>
      </c>
      <c r="T38" s="258" t="str">
        <f t="shared" si="5"/>
        <v>一致</v>
      </c>
    </row>
    <row r="39" ht="15.5" spans="1:20">
      <c r="A39" s="285" t="s">
        <v>17</v>
      </c>
      <c r="B39" s="286">
        <f>COUNTIFS(KYC调单!C:C,A6,KYC调单!E:E,"DBS")+COUNTIFS(单笔交易!C:C,A6,单笔交易!H:H,"DBS")+COUNTIFS(账户调查!C:C,A6,账户调查!F:F,"DBS")+COUNTIFS(Recall!C:C,A6,Recall!D:D,"DBS")+COUNTIFS(警方协查!C:C,A6,警方协查!E:E,"DBS")</f>
        <v>32</v>
      </c>
      <c r="C39" s="286">
        <f>COUNTIFS(KYC调单!C:C,A6,KYC调单!E:E,"Banking Circle")+COUNTIFS(单笔交易!C:C,A6,单笔交易!H:H,"Banking Circle")+COUNTIFS(账户调查!C:C,A6,账户调查!F:F,"Banking Circle")+COUNTIFS(Recall!C:C,A6,Recall!D:D,"Banking Circle")+COUNTIFS(警方协查!C:C,A6,警方协查!E:E,"Banking Circle")</f>
        <v>14</v>
      </c>
      <c r="D39" s="286">
        <f>COUNTIFS(KYC调单!C:C,A6,KYC调单!E:E,"M-DAQ")+COUNTIFS(单笔交易!C:C,A6,单笔交易!H:H,"M-DAQ")+COUNTIFS(账户调查!C:C,A6,账户调查!F:F,"M-DAQ")+COUNTIFS(Recall!C:C,A6,Recall!D:D,"M-DAQ")+COUNTIFS(警方协查!C:C,A6,警方协查!E:E,"M-DAQ")</f>
        <v>5</v>
      </c>
      <c r="E39" s="286">
        <f>COUNTIFS(KYC调单!C:C,A6,KYC调单!E:E,"GME")+COUNTIFS(单笔交易!C:C,A6,单笔交易!H:H,"GME")+COUNTIFS(账户调查!C:C,A6,账户调查!F:F,"GME")+COUNTIFS(Recall!C:C,A6,Recall!D:D,"GME")+COUNTIFS(警方协查!C:C,A6,警方协查!E:E,"GME")</f>
        <v>2</v>
      </c>
      <c r="F39" s="286">
        <f>COUNTIFS(KYC调单!C:C,A6,KYC调单!E:E,"QBC")+COUNTIFS(单笔交易!C:C,A6,单笔交易!H:H,"QBC")+COUNTIFS(账户调查!C:C,A6,账户调查!F:F,"QBC")+COUNTIFS(Recall!C:C,A6,Recall!D:D,"QBC")+COUNTIFS(警方协查!C:C,A6,警方协查!E:E,"QBC")</f>
        <v>0</v>
      </c>
      <c r="G39" s="286">
        <f>COUNTIFS(KYC调单!C:C,A6,KYC调单!E:E,"Thunes")+COUNTIFS(单笔交易!C:C,A6,单笔交易!H:H,"Thunes")+COUNTIFS(账户调查!C:C,A6,账户调查!F:F,"Thunes")+COUNTIFS(Recall!C:C,A6,Recall!D:D,"Thunes")+COUNTIFS(警方协查!C:C,A6,警方协查!E:E,"Thunes")</f>
        <v>0</v>
      </c>
      <c r="H39" s="286">
        <f>COUNTIF(结汇!C:C,A6)</f>
        <v>3</v>
      </c>
      <c r="I39" s="286">
        <f>COUNTIFS(KYC调单!C:C,A6,KYC调单!E:E,"平安银行")+COUNTIFS(单笔交易!C:C,A6,单笔交易!H:H,"平安银行")+COUNTIFS(账户调查!C:C,A6,账户调查!F:F,"平安银行")+COUNTIFS(Recall!C:C,A6,Recall!D:D,"平安银行")+COUNTIFS(警方协查!C:C,A6,警方协查!E:E,"平安银行")</f>
        <v>0</v>
      </c>
      <c r="J39" s="286">
        <f>COUNTIFS(KYC调单!C:C,A6,KYC调单!E:E,"PING PONG")+COUNTIFS(单笔交易!C:C,A6,单笔交易!H:H,"PING PONG")+COUNTIFS(账户调查!C:C,A6,账户调查!F:F,"PING PONG")+COUNTIFS(Recall!C:C,A6,Recall!D:D,"PING PONG")+COUNTIFS(警方协查!C:C,A6,警方协查!E:E,"PING PONG")</f>
        <v>0</v>
      </c>
      <c r="K39" s="287">
        <f>COUNTIFS(单笔交易!C:C,A39,单笔交易!H:H,"SCB")+COUNTIFS(账户调查!C:C,A39,账户调查!F:F,"SCB")+COUNTIFS(Recall!C:C,A39,Recall!D:D,"SCB")</f>
        <v>0</v>
      </c>
      <c r="L39" s="287">
        <f>COUNTIFS(单笔交易!C:C,A39,单笔交易!H:H,"Baokim")+COUNTIFS(账户调查!C:C,A39,账户调查!F:F,"Baokim")</f>
        <v>0</v>
      </c>
      <c r="M39" s="261">
        <f>COUNTIFS(警方协查!C:C,A39,警方协查!E:E,"其他警方")+COUNTIFS(账户调查!C:C,A39,账户调查!F:F,"Payoneer")+COUNTIFS(账户调查!C:C,A39,账户调查!F:F,"DSGpay")+COUNTIFS(单笔交易!C:C,A39,单笔交易!H:H,"DSGpay")+COUNTIFS(单笔交易!C:C,A39,单笔交易!H:H,"Moolahgo")+COUNTIFS(账户调查!C:C,A39,账户调查!F:F,"Sentbe")+COUNTIFS(账户调查!C:C,A39,账户调查!F:F,"flutterwave")+COUNTIFS(单笔交易!C:C,A39,单笔交易!H:H,"Pyvio")+COUNTIFS(账户调查!C:C,A39,账户调查!F:F,"HPAY")</f>
        <v>0</v>
      </c>
      <c r="N39" s="266">
        <f>COUNTIFS(单笔交易!C:C,A39,单笔交易!H:H,"Nium")+COUNTIFS(账户调查!C:C,A39,账户调查!F:F,"Nium")+COUNTIFS(KYC调单!C:C,A6,KYC调单!E:E,"Nium")</f>
        <v>0</v>
      </c>
      <c r="O39" s="288">
        <f>COUNTIFS(警方协查!C:C,A39,警方协查!E:E,"OpenPayd")+COUNTIFS(单笔交易!C:C,A39,单笔交易!H:H,"OpenPayd")+COUNTIFS(账户调查!C:C,A39,账户调查!F:F,"OpenPayd")+COUNTIFS(Recall!C:C,A39,Recall!D:D,"OpenPayd")</f>
        <v>0</v>
      </c>
      <c r="P39" s="261">
        <f>COUNTIFS(KYC调单!C:C,A6,KYC调单!E:E,"IBC")+COUNTIFS(单笔交易!C:C,A6,单笔交易!H:H,"IBC")+COUNTIFS(账户调查!C:C,A6,账户调查!F:F,"IBC")</f>
        <v>0</v>
      </c>
      <c r="Q39" s="288">
        <f>COUNTIFS(KYC调单!C:C,A39,KYC调单!E:E,"TransferMate")+COUNTIFS(单笔交易!C:C,A39,单笔交易!H:H,"TransferMate")+COUNTIFS(账户调查!C:C,A39,账户调查!F:F,"TransferMate")</f>
        <v>0</v>
      </c>
      <c r="R39" s="255"/>
      <c r="S39" s="258">
        <f t="shared" si="4"/>
        <v>56</v>
      </c>
      <c r="T39" s="258" t="str">
        <f t="shared" si="5"/>
        <v>一致</v>
      </c>
    </row>
    <row r="40" ht="15.5" spans="1:20">
      <c r="A40" s="285" t="s">
        <v>18</v>
      </c>
      <c r="B40" s="286">
        <f>COUNTIFS(KYC调单!C:C,A7,KYC调单!E:E,"DBS")+COUNTIFS(单笔交易!C:C,A7,单笔交易!H:H,"DBS")+COUNTIFS(账户调查!C:C,A7,账户调查!F:F,"DBS")+COUNTIFS(Recall!C:C,A7,Recall!D:D,"DBS")+COUNTIFS(警方协查!C:C,A7,警方协查!E:E,"DBS")</f>
        <v>40</v>
      </c>
      <c r="C40" s="286">
        <f>COUNTIFS(KYC调单!C:C,A7,KYC调单!E:E,"Banking Circle")+COUNTIFS(单笔交易!C:C,A7,单笔交易!H:H,"Banking Circle")+COUNTIFS(账户调查!C:C,A7,账户调查!F:F,"Banking Circle")+COUNTIFS(Recall!C:C,A7,Recall!D:D,"Banking Circle")+COUNTIFS(警方协查!C:C,A7,警方协查!E:E,"Banking Circle")</f>
        <v>21</v>
      </c>
      <c r="D40" s="286">
        <f>COUNTIFS(KYC调单!C:C,A7,KYC调单!E:E,"M-DAQ")+COUNTIFS(单笔交易!C:C,A7,单笔交易!H:H,"M-DAQ")+COUNTIFS(账户调查!C:C,A7,账户调查!F:F,"M-DAQ")+COUNTIFS(Recall!C:C,A7,Recall!D:D,"M-DAQ")+COUNTIFS(警方协查!C:C,A7,警方协查!E:E,"M-DAQ")</f>
        <v>1</v>
      </c>
      <c r="E40" s="286">
        <f>COUNTIFS(KYC调单!C:C,A7,KYC调单!E:E,"GME")+COUNTIFS(单笔交易!C:C,A7,单笔交易!H:H,"GME")+COUNTIFS(账户调查!C:C,A7,账户调查!F:F,"GME")+COUNTIFS(Recall!C:C,A7,Recall!D:D,"GME")+COUNTIFS(警方协查!C:C,A7,警方协查!E:E,"GME")</f>
        <v>1</v>
      </c>
      <c r="F40" s="286">
        <f>COUNTIFS(KYC调单!C:C,A7,KYC调单!E:E,"QBC")+COUNTIFS(单笔交易!C:C,A7,单笔交易!H:H,"QBC")+COUNTIFS(账户调查!C:C,A7,账户调查!F:F,"QBC")+COUNTIFS(Recall!C:C,A7,Recall!D:D,"QBC")+COUNTIFS(警方协查!C:C,A7,警方协查!E:E,"QBC")</f>
        <v>1</v>
      </c>
      <c r="G40" s="286">
        <f>COUNTIFS(KYC调单!C:C,A7,KYC调单!E:E,"Thunes")+COUNTIFS(单笔交易!C:C,A7,单笔交易!H:H,"Thunes")+COUNTIFS(账户调查!C:C,A7,账户调查!F:F,"Thunes")+COUNTIFS(Recall!C:C,A7,Recall!D:D,"Thunes")+COUNTIFS(警方协查!C:C,A7,警方协查!E:E,"Thunes")</f>
        <v>1</v>
      </c>
      <c r="H40" s="286">
        <f>COUNTIF(结汇!C:C,A7)</f>
        <v>1</v>
      </c>
      <c r="I40" s="286">
        <f>COUNTIFS(KYC调单!C:C,A7,KYC调单!E:E,"平安银行")+COUNTIFS(单笔交易!C:C,A7,单笔交易!H:H,"平安银行")+COUNTIFS(账户调查!C:C,A7,账户调查!F:F,"平安银行")+COUNTIFS(Recall!C:C,A7,Recall!D:D,"平安银行")+COUNTIFS(警方协查!C:C,A7,警方协查!E:E,"平安银行")</f>
        <v>0</v>
      </c>
      <c r="J40" s="286">
        <f>COUNTIFS(KYC调单!C:C,A7,KYC调单!E:E,"PING PONG")+COUNTIFS(单笔交易!C:C,A7,单笔交易!H:H,"PING PONG")+COUNTIFS(账户调查!C:C,A7,账户调查!F:F,"PING PONG")+COUNTIFS(Recall!C:C,A7,Recall!D:D,"PING PONG")+COUNTIFS(警方协查!C:C,A7,警方协查!E:E,"PING PONG")</f>
        <v>0</v>
      </c>
      <c r="K40" s="287">
        <f>COUNTIFS(单笔交易!C:C,A40,单笔交易!H:H,"SCB")+COUNTIFS(账户调查!C:C,A40,账户调查!F:F,"SCB")+COUNTIFS(Recall!C:C,A40,Recall!D:D,"SCB")</f>
        <v>0</v>
      </c>
      <c r="L40" s="287">
        <f>COUNTIFS(单笔交易!C:C,A40,单笔交易!H:H,"Baokim")+COUNTIFS(账户调查!C:C,A40,账户调查!F:F,"Baokim")</f>
        <v>0</v>
      </c>
      <c r="M40" s="261">
        <f>COUNTIFS(警方协查!C:C,A40,警方协查!E:E,"其他警方")+COUNTIFS(账户调查!C:C,A40,账户调查!F:F,"Payoneer")+COUNTIFS(账户调查!C:C,A40,账户调查!F:F,"DSGpay")+COUNTIFS(单笔交易!C:C,A40,单笔交易!H:H,"DSGpay")+COUNTIFS(单笔交易!C:C,A40,单笔交易!H:H,"Moolahgo")+COUNTIFS(账户调查!C:C,A40,账户调查!F:F,"Sentbe")+COUNTIFS(账户调查!C:C,A40,账户调查!F:F,"flutterwave")+COUNTIFS(单笔交易!C:C,A40,单笔交易!H:H,"Pyvio")+COUNTIFS(账户调查!C:C,A40,账户调查!F:F,"HPAY")</f>
        <v>0</v>
      </c>
      <c r="N40" s="266">
        <f>COUNTIFS(单笔交易!C:C,A40,单笔交易!H:H,"Nium")+COUNTIFS(账户调查!C:C,A40,账户调查!F:F,"Nium")+COUNTIFS(KYC调单!C:C,A7,KYC调单!E:E,"Nium")</f>
        <v>0</v>
      </c>
      <c r="O40" s="288">
        <f>COUNTIFS(警方协查!C:C,A40,警方协查!E:E,"OpenPayd")+COUNTIFS(单笔交易!C:C,A40,单笔交易!H:H,"OpenPayd")+COUNTIFS(账户调查!C:C,A40,账户调查!F:F,"OpenPayd")+COUNTIFS(Recall!C:C,A40,Recall!D:D,"OpenPayd")</f>
        <v>0</v>
      </c>
      <c r="P40" s="261">
        <f>COUNTIFS(KYC调单!C:C,A7,KYC调单!E:E,"IBC")+COUNTIFS(单笔交易!C:C,A7,单笔交易!H:H,"IBC")+COUNTIFS(账户调查!C:C,A7,账户调查!F:F,"IBC")</f>
        <v>0</v>
      </c>
      <c r="Q40" s="288">
        <f>COUNTIFS(KYC调单!C:C,A40,KYC调单!E:E,"TransferMate")+COUNTIFS(单笔交易!C:C,A40,单笔交易!H:H,"TransferMate")+COUNTIFS(账户调查!C:C,A40,账户调查!F:F,"TransferMate")</f>
        <v>0</v>
      </c>
      <c r="R40" s="255"/>
      <c r="S40" s="258">
        <f t="shared" si="4"/>
        <v>66</v>
      </c>
      <c r="T40" s="258" t="str">
        <f t="shared" si="5"/>
        <v>一致</v>
      </c>
    </row>
    <row r="41" ht="15.5" spans="1:20">
      <c r="A41" s="285" t="s">
        <v>19</v>
      </c>
      <c r="B41" s="286">
        <f>COUNTIFS(KYC调单!C:C,A8,KYC调单!E:E,"DBS")+COUNTIFS(单笔交易!C:C,A8,单笔交易!H:H,"DBS")+COUNTIFS(账户调查!C:C,A8,账户调查!F:F,"DBS")+COUNTIFS(Recall!C:C,A8,Recall!D:D,"DBS")+COUNTIFS(警方协查!C:C,A8,警方协查!E:E,"DBS")</f>
        <v>38</v>
      </c>
      <c r="C41" s="286">
        <f>COUNTIFS(KYC调单!C:C,A8,KYC调单!E:E,"Banking Circle")+COUNTIFS(单笔交易!C:C,A8,单笔交易!H:H,"Banking Circle")+COUNTIFS(账户调查!C:C,A8,账户调查!F:F,"Banking Circle")+COUNTIFS(Recall!C:C,A8,Recall!D:D,"Banking Circle")+COUNTIFS(警方协查!C:C,A8,警方协查!E:E,"Banking Circle")</f>
        <v>28</v>
      </c>
      <c r="D41" s="286">
        <f>COUNTIFS(KYC调单!C:C,A8,KYC调单!E:E,"M-DAQ")+COUNTIFS(单笔交易!C:C,A8,单笔交易!H:H,"M-DAQ")+COUNTIFS(账户调查!C:C,A8,账户调查!F:F,"M-DAQ")+COUNTIFS(Recall!C:C,A8,Recall!D:D,"M-DAQ")+COUNTIFS(警方协查!C:C,A8,警方协查!E:E,"M-DAQ")</f>
        <v>0</v>
      </c>
      <c r="E41" s="286">
        <f>COUNTIFS(KYC调单!C:C,A8,KYC调单!E:E,"GME")+COUNTIFS(单笔交易!C:C,A8,单笔交易!H:H,"GME")+COUNTIFS(账户调查!C:C,A8,账户调查!F:F,"GME")+COUNTIFS(Recall!C:C,A8,Recall!D:D,"GME")+COUNTIFS(警方协查!C:C,A8,警方协查!E:E,"GME")</f>
        <v>5</v>
      </c>
      <c r="F41" s="286">
        <f>COUNTIFS(KYC调单!C:C,A8,KYC调单!E:E,"QBC")+COUNTIFS(单笔交易!C:C,A8,单笔交易!H:H,"QBC")+COUNTIFS(账户调查!C:C,A8,账户调查!F:F,"QBC")+COUNTIFS(Recall!C:C,A8,Recall!D:D,"QBC")+COUNTIFS(警方协查!C:C,A8,警方协查!E:E,"QBC")</f>
        <v>0</v>
      </c>
      <c r="G41" s="286">
        <f>COUNTIFS(KYC调单!C:C,A8,KYC调单!E:E,"Thunes")+COUNTIFS(单笔交易!C:C,A8,单笔交易!H:H,"Thunes")+COUNTIFS(账户调查!C:C,A8,账户调查!F:F,"Thunes")+COUNTIFS(Recall!C:C,A8,Recall!D:D,"Thunes")+COUNTIFS(警方协查!C:C,A8,警方协查!E:E,"Thunes")</f>
        <v>2</v>
      </c>
      <c r="H41" s="286">
        <f>COUNTIF(结汇!C:C,A8)</f>
        <v>2</v>
      </c>
      <c r="I41" s="286">
        <f>COUNTIFS(KYC调单!C:C,A8,KYC调单!E:E,"平安银行")+COUNTIFS(单笔交易!C:C,A8,单笔交易!H:H,"平安银行")+COUNTIFS(账户调查!C:C,A8,账户调查!F:F,"平安银行")+COUNTIFS(Recall!C:C,A8,Recall!D:D,"平安银行")+COUNTIFS(警方协查!C:C,A8,警方协查!E:E,"平安银行")</f>
        <v>0</v>
      </c>
      <c r="J41" s="286">
        <f>COUNTIFS(KYC调单!C:C,A8,KYC调单!E:E,"PING PONG")+COUNTIFS(单笔交易!C:C,A8,单笔交易!H:H,"PING PONG")+COUNTIFS(账户调查!C:C,A8,账户调查!F:F,"PING PONG")+COUNTIFS(Recall!C:C,A8,Recall!D:D,"PING PONG")+COUNTIFS(警方协查!C:C,A8,警方协查!E:E,"PING PONG")</f>
        <v>0</v>
      </c>
      <c r="K41" s="287">
        <f>COUNTIFS(单笔交易!C:C,A41,单笔交易!H:H,"SCB")+COUNTIFS(账户调查!C:C,A41,账户调查!F:F,"SCB")+COUNTIFS(Recall!C:C,A41,Recall!D:D,"SCB")</f>
        <v>0</v>
      </c>
      <c r="L41" s="287">
        <f>COUNTIFS(单笔交易!C:C,A41,单笔交易!H:H,"Baokim")+COUNTIFS(账户调查!C:C,A41,账户调查!F:F,"Baokim")</f>
        <v>0</v>
      </c>
      <c r="M41" s="261">
        <f>COUNTIFS(警方协查!C:C,A41,警方协查!E:E,"其他警方")+COUNTIFS(账户调查!C:C,A41,账户调查!F:F,"Payoneer")+COUNTIFS(账户调查!C:C,A41,账户调查!F:F,"DSGpay")+COUNTIFS(单笔交易!C:C,A41,单笔交易!H:H,"DSGpay")+COUNTIFS(单笔交易!C:C,A41,单笔交易!H:H,"Moolahgo")+COUNTIFS(账户调查!C:C,A41,账户调查!F:F,"Sentbe")+COUNTIFS(账户调查!C:C,A41,账户调查!F:F,"flutterwave")+COUNTIFS(单笔交易!C:C,A41,单笔交易!H:H,"Pyvio")+COUNTIFS(账户调查!C:C,A41,账户调查!F:F,"HPAY")</f>
        <v>0</v>
      </c>
      <c r="N41" s="266">
        <f>COUNTIFS(单笔交易!C:C,A41,单笔交易!H:H,"Nium")+COUNTIFS(账户调查!C:C,A41,账户调查!F:F,"Nium")+COUNTIFS(KYC调单!C:C,A8,KYC调单!E:E,"Nium")</f>
        <v>0</v>
      </c>
      <c r="O41" s="288">
        <f>COUNTIFS(警方协查!C:C,A41,警方协查!E:E,"OpenPayd")+COUNTIFS(单笔交易!C:C,A41,单笔交易!H:H,"OpenPayd")+COUNTIFS(账户调查!C:C,A41,账户调查!F:F,"OpenPayd")+COUNTIFS(Recall!C:C,A41,Recall!D:D,"OpenPayd")</f>
        <v>0</v>
      </c>
      <c r="P41" s="261">
        <f>COUNTIFS(KYC调单!C:C,A8,KYC调单!E:E,"IBC")+COUNTIFS(单笔交易!C:C,A8,单笔交易!H:H,"IBC")+COUNTIFS(账户调查!C:C,A8,账户调查!F:F,"IBC")</f>
        <v>0</v>
      </c>
      <c r="Q41" s="288">
        <f>COUNTIFS(KYC调单!C:C,A41,KYC调单!E:E,"TransferMate")+COUNTIFS(单笔交易!C:C,A41,单笔交易!H:H,"TransferMate")+COUNTIFS(账户调查!C:C,A41,账户调查!F:F,"TransferMate")</f>
        <v>0</v>
      </c>
      <c r="R41" s="255"/>
      <c r="S41" s="258">
        <f t="shared" si="4"/>
        <v>75</v>
      </c>
      <c r="T41" s="258" t="str">
        <f t="shared" si="5"/>
        <v>一致</v>
      </c>
    </row>
    <row r="42" ht="15.5" spans="1:20">
      <c r="A42" s="268" t="s">
        <v>20</v>
      </c>
      <c r="B42" s="271">
        <f>COUNTIFS(KYC调单!C:C,A9,KYC调单!E:E,"DBS")+COUNTIFS(单笔交易!C:C,A9,单笔交易!H:H,"DBS")+COUNTIFS(账户调查!C:C,A9,账户调查!F:F,"DBS")+COUNTIFS(Recall!C:C,A9,Recall!D:D,"DBS")+COUNTIFS(警方协查!C:C,A9,警方协查!E:E,"DBS")</f>
        <v>32</v>
      </c>
      <c r="C42" s="271">
        <f>COUNTIFS(KYC调单!C:C,A9,KYC调单!E:E,"Banking Circle")+COUNTIFS(单笔交易!C:C,A9,单笔交易!H:H,"Banking Circle")+COUNTIFS(账户调查!C:C,A9,账户调查!F:F,"Banking Circle")+COUNTIFS(Recall!C:C,A9,Recall!D:D,"Banking Circle")+COUNTIFS(警方协查!C:C,A9,警方协查!E:E,"Banking Circle")</f>
        <v>31</v>
      </c>
      <c r="D42" s="271">
        <f>COUNTIFS(KYC调单!C:C,A9,KYC调单!E:E,"M-DAQ")+COUNTIFS(单笔交易!C:C,A9,单笔交易!H:H,"M-DAQ")+COUNTIFS(账户调查!C:C,A9,账户调查!F:F,"M-DAQ")+COUNTIFS(Recall!C:C,A9,Recall!D:D,"M-DAQ")+COUNTIFS(警方协查!C:C,A9,警方协查!E:E,"M-DAQ")</f>
        <v>4</v>
      </c>
      <c r="E42" s="271">
        <f>COUNTIFS(KYC调单!C:C,A9,KYC调单!E:E,"GME")+COUNTIFS(单笔交易!C:C,A9,单笔交易!H:H,"GME")+COUNTIFS(账户调查!C:C,A9,账户调查!F:F,"GME")+COUNTIFS(Recall!C:C,A9,Recall!D:D,"GME")+COUNTIFS(警方协查!C:C,A9,警方协查!E:E,"GME")</f>
        <v>5</v>
      </c>
      <c r="F42" s="271">
        <f>COUNTIFS(KYC调单!C:C,A9,KYC调单!E:E,"QBC")+COUNTIFS(单笔交易!C:C,A9,单笔交易!H:H,"QBC")+COUNTIFS(账户调查!C:C,A9,账户调查!F:F,"QBC")+COUNTIFS(Recall!C:C,A9,Recall!D:D,"QBC")+COUNTIFS(警方协查!C:C,A9,警方协查!E:E,"QBC")</f>
        <v>0</v>
      </c>
      <c r="G42" s="271">
        <f>COUNTIFS(KYC调单!C:C,A9,KYC调单!E:E,"Thunes")+COUNTIFS(单笔交易!C:C,A9,单笔交易!H:H,"Thunes")+COUNTIFS(账户调查!C:C,A9,账户调查!F:F,"Thunes")+COUNTIFS(Recall!C:C,A9,Recall!D:D,"Thunes")+COUNTIFS(警方协查!C:C,A9,警方协查!E:E,"Thunes")</f>
        <v>1</v>
      </c>
      <c r="H42" s="271">
        <f>COUNTIF(结汇!C:C,A9)</f>
        <v>2</v>
      </c>
      <c r="I42" s="271">
        <f>COUNTIFS(KYC调单!C:C,A9,KYC调单!E:E,"平安银行")+COUNTIFS(单笔交易!C:C,A9,单笔交易!H:H,"平安银行")+COUNTIFS(账户调查!C:C,A9,账户调查!F:F,"平安银行")+COUNTIFS(Recall!C:C,A9,Recall!D:D,"平安银行")+COUNTIFS(警方协查!C:C,A9,警方协查!E:E,"平安银行")</f>
        <v>1</v>
      </c>
      <c r="J42" s="271">
        <f>COUNTIFS(KYC调单!C:C,A9,KYC调单!E:E,"PING PONG")+COUNTIFS(单笔交易!C:C,A9,单笔交易!H:H,"PING PONG")+COUNTIFS(账户调查!C:C,A9,账户调查!F:F,"PING PONG")+COUNTIFS(Recall!C:C,A9,Recall!D:D,"PING PONG")+COUNTIFS(警方协查!C:C,A9,警方协查!E:E,"PING PONG")</f>
        <v>1</v>
      </c>
      <c r="K42" s="287">
        <f>COUNTIFS(单笔交易!C:C,A42,单笔交易!H:H,"SCB")+COUNTIFS(账户调查!C:C,A42,账户调查!F:F,"SCB")+COUNTIFS(Recall!C:C,A42,Recall!D:D,"SCB")</f>
        <v>5</v>
      </c>
      <c r="L42" s="255">
        <f>COUNTIFS(单笔交易!C:C,A42,单笔交易!H:H,"Baokim")+COUNTIFS(账户调查!C:C,A42,账户调查!F:F,"Baokim")</f>
        <v>2</v>
      </c>
      <c r="M42" s="261">
        <f>COUNTIFS(警方协查!C:C,A42,警方协查!E:E,"其他警方")+COUNTIFS(账户调查!C:C,A42,账户调查!F:F,"Payoneer")+COUNTIFS(账户调查!C:C,A42,账户调查!F:F,"DSGpay")+COUNTIFS(单笔交易!C:C,A42,单笔交易!H:H,"DSGpay")+COUNTIFS(单笔交易!C:C,A42,单笔交易!H:H,"Moolahgo")+COUNTIFS(账户调查!C:C,A42,账户调查!F:F,"Sentbe")+COUNTIFS(账户调查!C:C,A42,账户调查!F:F,"flutterwave")+COUNTIFS(单笔交易!C:C,A42,单笔交易!H:H,"Pyvio")+COUNTIFS(账户调查!C:C,A42,账户调查!F:F,"HPAY")</f>
        <v>1</v>
      </c>
      <c r="N42" s="266">
        <f>COUNTIFS(单笔交易!C:C,A42,单笔交易!H:H,"Nium")+COUNTIFS(账户调查!C:C,A42,账户调查!F:F,"Nium")+COUNTIFS(KYC调单!C:C,A9,KYC调单!E:E,"Nium")</f>
        <v>1</v>
      </c>
      <c r="O42" s="288">
        <f>COUNTIFS(警方协查!C:C,A42,警方协查!E:E,"OpenPayd")+COUNTIFS(单笔交易!C:C,A42,单笔交易!H:H,"OpenPayd")+COUNTIFS(账户调查!C:C,A42,账户调查!F:F,"OpenPayd")+COUNTIFS(Recall!C:C,A42,Recall!D:D,"OpenPayd")</f>
        <v>0</v>
      </c>
      <c r="P42" s="261">
        <f>COUNTIFS(KYC调单!C:C,A9,KYC调单!E:E,"IBC")+COUNTIFS(单笔交易!C:C,A9,单笔交易!H:H,"IBC")+COUNTIFS(账户调查!C:C,A9,账户调查!F:F,"IBC")</f>
        <v>0</v>
      </c>
      <c r="Q42" s="288">
        <f>COUNTIFS(KYC调单!C:C,A42,KYC调单!E:E,"TransferMate")+COUNTIFS(单笔交易!C:C,A42,单笔交易!H:H,"TransferMate")+COUNTIFS(账户调查!C:C,A42,账户调查!F:F,"TransferMate")</f>
        <v>0</v>
      </c>
      <c r="R42" s="255"/>
      <c r="S42" s="258">
        <f t="shared" si="4"/>
        <v>86</v>
      </c>
      <c r="T42" s="258" t="str">
        <f t="shared" si="5"/>
        <v>一致</v>
      </c>
    </row>
    <row r="43" ht="15.5" spans="1:20">
      <c r="A43" s="268" t="s">
        <v>21</v>
      </c>
      <c r="B43" s="271">
        <f>COUNTIFS(KYC调单!C:C,A10,KYC调单!E:E,"DBS")+COUNTIFS(单笔交易!C:C,A10,单笔交易!H:H,"DBS")+COUNTIFS(账户调查!C:C,A10,账户调查!F:F,"DBS")+COUNTIFS(Recall!C:C,A10,Recall!D:D,"DBS")+COUNTIFS(警方协查!C:C,A10,警方协查!E:E,"DBS")</f>
        <v>25</v>
      </c>
      <c r="C43" s="271">
        <f>COUNTIFS(KYC调单!C:C,A10,KYC调单!E:E,"Banking Circle")+COUNTIFS(单笔交易!C:C,A10,单笔交易!H:H,"Banking Circle")+COUNTIFS(账户调查!C:C,A10,账户调查!F:F,"Banking Circle")+COUNTIFS(Recall!C:C,A10,Recall!D:D,"Banking Circle")+COUNTIFS(警方协查!C:C,A10,警方协查!E:E,"Banking Circle")</f>
        <v>21</v>
      </c>
      <c r="D43" s="271">
        <f>COUNTIFS(KYC调单!C:C,A10,KYC调单!E:E,"M-DAQ")+COUNTIFS(单笔交易!C:C,A10,单笔交易!H:H,"M-DAQ")+COUNTIFS(账户调查!C:C,A10,账户调查!F:F,"M-DAQ")+COUNTIFS(Recall!C:C,A10,Recall!D:D,"M-DAQ")+COUNTIFS(警方协查!C:C,A10,警方协查!E:E,"M-DAQ")</f>
        <v>5</v>
      </c>
      <c r="E43" s="271">
        <f>COUNTIFS(KYC调单!C:C,A10,KYC调单!E:E,"GME")+COUNTIFS(单笔交易!C:C,A10,单笔交易!H:H,"GME")+COUNTIFS(账户调查!C:C,A10,账户调查!F:F,"GME")+COUNTIFS(Recall!C:C,A10,Recall!D:D,"GME")+COUNTIFS(警方协查!C:C,A10,警方协查!E:E,"GME")</f>
        <v>2</v>
      </c>
      <c r="F43" s="271">
        <f>COUNTIFS(KYC调单!C:C,A10,KYC调单!E:E,"QBC")+COUNTIFS(单笔交易!C:C,A10,单笔交易!H:H,"QBC")+COUNTIFS(账户调查!C:C,A10,账户调查!F:F,"QBC")+COUNTIFS(Recall!C:C,A10,Recall!D:D,"QBC")+COUNTIFS(警方协查!C:C,A10,警方协查!E:E,"QBC")</f>
        <v>0</v>
      </c>
      <c r="G43" s="271">
        <f>COUNTIFS(KYC调单!C:C,A10,KYC调单!E:E,"Thunes")+COUNTIFS(单笔交易!C:C,A10,单笔交易!H:H,"Thunes")+COUNTIFS(账户调查!C:C,A10,账户调查!F:F,"Thunes")+COUNTIFS(Recall!C:C,A10,Recall!D:D,"Thunes")+COUNTIFS(警方协查!C:C,A10,警方协查!E:E,"Thunes")</f>
        <v>3</v>
      </c>
      <c r="H43" s="271">
        <f>COUNTIF(结汇!C:C,A10)</f>
        <v>1</v>
      </c>
      <c r="I43" s="271">
        <f>COUNTIFS(KYC调单!C:C,A10,KYC调单!E:E,"平安银行")+COUNTIFS(单笔交易!C:C,A10,单笔交易!H:H,"平安银行")+COUNTIFS(账户调查!C:C,A10,账户调查!F:F,"平安银行")+COUNTIFS(Recall!C:C,A10,Recall!D:D,"平安银行")+COUNTIFS(警方协查!C:C,A10,警方协查!E:E,"平安银行")</f>
        <v>2</v>
      </c>
      <c r="J43" s="271">
        <f>COUNTIFS(KYC调单!C:C,A10,KYC调单!E:E,"PING PONG")+COUNTIFS(单笔交易!C:C,A10,单笔交易!H:H,"PING PONG")+COUNTIFS(账户调查!C:C,A10,账户调查!F:F,"PING PONG")+COUNTIFS(Recall!C:C,A10,Recall!D:D,"PING PONG")+COUNTIFS(警方协查!C:C,A10,警方协查!E:E,"PING PONG")</f>
        <v>0</v>
      </c>
      <c r="K43" s="287">
        <f>COUNTIFS(单笔交易!C:C,A43,单笔交易!H:H,"SCB")+COUNTIFS(账户调查!C:C,A43,账户调查!F:F,"SCB")+COUNTIFS(Recall!C:C,A43,Recall!D:D,"SCB")</f>
        <v>7</v>
      </c>
      <c r="L43" s="255">
        <f>COUNTIFS(单笔交易!C:C,A43,单笔交易!H:H,"Baokim")+COUNTIFS(账户调查!C:C,A43,账户调查!F:F,"Baokim")</f>
        <v>0</v>
      </c>
      <c r="M43" s="261">
        <f>COUNTIFS(警方协查!C:C,A43,警方协查!E:E,"其他警方")+COUNTIFS(账户调查!C:C,A43,账户调查!F:F,"Payoneer")+COUNTIFS(账户调查!C:C,A43,账户调查!F:F,"DSGpay")+COUNTIFS(单笔交易!C:C,A43,单笔交易!H:H,"DSGpay")+COUNTIFS(单笔交易!C:C,A43,单笔交易!H:H,"Moolahgo")+COUNTIFS(账户调查!C:C,A43,账户调查!F:F,"Sentbe")+COUNTIFS(账户调查!C:C,A43,账户调查!F:F,"flutterwave")+COUNTIFS(单笔交易!C:C,A43,单笔交易!H:H,"Pyvio")+COUNTIFS(账户调查!C:C,A43,账户调查!F:F,"HPAY")</f>
        <v>0</v>
      </c>
      <c r="N43" s="266">
        <f>COUNTIFS(单笔交易!C:C,A43,单笔交易!H:H,"Nium")+COUNTIFS(账户调查!C:C,A43,账户调查!F:F,"Nium")+COUNTIFS(KYC调单!C:C,A10,KYC调单!E:E,"Nium")</f>
        <v>1</v>
      </c>
      <c r="O43" s="288">
        <f>COUNTIFS(警方协查!C:C,A43,警方协查!E:E,"OpenPayd")+COUNTIFS(单笔交易!C:C,A43,单笔交易!H:H,"OpenPayd")+COUNTIFS(账户调查!C:C,A43,账户调查!F:F,"OpenPayd")+COUNTIFS(Recall!C:C,A43,Recall!D:D,"OpenPayd")</f>
        <v>2</v>
      </c>
      <c r="P43" s="261">
        <f>COUNTIFS(KYC调单!C:C,A10,KYC调单!E:E,"IBC")+COUNTIFS(单笔交易!C:C,A10,单笔交易!H:H,"IBC")+COUNTIFS(账户调查!C:C,A10,账户调查!F:F,"IBC")</f>
        <v>0</v>
      </c>
      <c r="Q43" s="288">
        <f>COUNTIFS(KYC调单!C:C,A43,KYC调单!E:E,"TransferMate")+COUNTIFS(单笔交易!C:C,A43,单笔交易!H:H,"TransferMate")+COUNTIFS(账户调查!C:C,A43,账户调查!F:F,"TransferMate")</f>
        <v>0</v>
      </c>
      <c r="R43" s="255"/>
      <c r="S43" s="258">
        <f t="shared" si="4"/>
        <v>69</v>
      </c>
      <c r="T43" s="258" t="str">
        <f t="shared" si="5"/>
        <v>一致</v>
      </c>
    </row>
    <row r="44" ht="15.5" spans="1:20">
      <c r="A44" s="259" t="s">
        <v>22</v>
      </c>
      <c r="B44" s="264">
        <f>COUNTIFS(KYC调单!C:C,A11,KYC调单!E:E,"DBS")+COUNTIFS(单笔交易!C:C,A11,单笔交易!H:H,"DBS")+COUNTIFS(账户调查!C:C,A11,账户调查!F:F,"DBS")+COUNTIFS(Recall!C:C,A11,Recall!D:D,"DBS")+COUNTIFS(警方协查!C:C,A11,警方协查!E:E,"DBS")</f>
        <v>16</v>
      </c>
      <c r="C44" s="264">
        <f>COUNTIFS(KYC调单!C:C,A11,KYC调单!E:E,"Banking Circle")+COUNTIFS(单笔交易!C:C,A11,单笔交易!H:H,"Banking Circle")+COUNTIFS(账户调查!C:C,A11,账户调查!F:F,"Banking Circle")+COUNTIFS(Recall!C:C,A11,Recall!D:D,"Banking Circle")+COUNTIFS(警方协查!C:C,A11,警方协查!E:E,"Banking Circle")</f>
        <v>25</v>
      </c>
      <c r="D44" s="264">
        <f>COUNTIFS(KYC调单!C:C,A11,KYC调单!E:E,"M-DAQ")+COUNTIFS(单笔交易!C:C,A11,单笔交易!H:H,"M-DAQ")+COUNTIFS(账户调查!C:C,A11,账户调查!F:F,"M-DAQ")+COUNTIFS(Recall!C:C,A11,Recall!D:D,"M-DAQ")+COUNTIFS(警方协查!C:C,A11,警方协查!E:E,"M-DAQ")</f>
        <v>0</v>
      </c>
      <c r="E44" s="264">
        <f>COUNTIFS(KYC调单!C:C,A11,KYC调单!E:E,"GME")+COUNTIFS(单笔交易!C:C,A11,单笔交易!H:H,"GME")+COUNTIFS(账户调查!C:C,A11,账户调查!F:F,"GME")+COUNTIFS(Recall!C:C,A11,Recall!D:D,"GME")+COUNTIFS(警方协查!C:C,A11,警方协查!E:E,"GME")</f>
        <v>6</v>
      </c>
      <c r="F44" s="264">
        <f>COUNTIFS(KYC调单!C:C,A11,KYC调单!E:E,"QBC")+COUNTIFS(单笔交易!C:C,A11,单笔交易!H:H,"QBC")+COUNTIFS(账户调查!C:C,A11,账户调查!F:F,"QBC")+COUNTIFS(Recall!C:C,A11,Recall!D:D,"QBC")+COUNTIFS(警方协查!C:C,A11,警方协查!E:E,"QBC")</f>
        <v>1</v>
      </c>
      <c r="G44" s="264">
        <f>COUNTIFS(KYC调单!C:C,A11,KYC调单!E:E,"Thunes")+COUNTIFS(单笔交易!C:C,A11,单笔交易!H:H,"Thunes")+COUNTIFS(账户调查!C:C,A11,账户调查!F:F,"Thunes")+COUNTIFS(Recall!C:C,A11,Recall!D:D,"Thunes")+COUNTIFS(警方协查!C:C,A11,警方协查!E:E,"Thunes")</f>
        <v>4</v>
      </c>
      <c r="H44" s="264">
        <f>COUNTIF(结汇!C:C,A11)</f>
        <v>2</v>
      </c>
      <c r="I44" s="264">
        <f>COUNTIFS(KYC调单!C:C,A11,KYC调单!E:E,"平安银行")+COUNTIFS(单笔交易!C:C,A11,单笔交易!H:H,"平安银行")+COUNTIFS(账户调查!C:C,A11,账户调查!F:F,"平安银行")+COUNTIFS(Recall!C:C,A11,Recall!D:D,"平安银行")+COUNTIFS(警方协查!C:C,A11,警方协查!E:E,"平安银行")</f>
        <v>3</v>
      </c>
      <c r="J44" s="264">
        <f>COUNTIFS(KYC调单!C:C,A11,KYC调单!E:E,"PING PONG")+COUNTIFS(单笔交易!C:C,A11,单笔交易!H:H,"PING PONG")+COUNTIFS(账户调查!C:C,A11,账户调查!F:F,"PING PONG")+COUNTIFS(Recall!C:C,A11,Recall!D:D,"PING PONG")+COUNTIFS(警方协查!C:C,A11,警方协查!E:E,"PING PONG")</f>
        <v>0</v>
      </c>
      <c r="K44" s="287">
        <f>COUNTIFS(单笔交易!C:C,A44,单笔交易!H:H,"SCB")+COUNTIFS(账户调查!C:C,A44,账户调查!F:F,"SCB")+COUNTIFS(Recall!C:C,A44,Recall!D:D,"SCB")</f>
        <v>15</v>
      </c>
      <c r="L44" s="261">
        <f>COUNTIFS(单笔交易!C:C,A44,单笔交易!H:H,"Baokim")+COUNTIFS(账户调查!C:C,A44,账户调查!F:F,"Baokim")</f>
        <v>0</v>
      </c>
      <c r="M44" s="261">
        <f>COUNTIFS(警方协查!C:C,A44,警方协查!E:E,"其他警方")+COUNTIFS(账户调查!C:C,A44,账户调查!F:F,"Payoneer")+COUNTIFS(账户调查!C:C,A44,账户调查!F:F,"DSGpay")+COUNTIFS(单笔交易!C:C,A44,单笔交易!H:H,"DSGpay")+COUNTIFS(单笔交易!C:C,A44,单笔交易!H:H,"Moolahgo")+COUNTIFS(账户调查!C:C,A44,账户调查!F:F,"Sentbe")+COUNTIFS(账户调查!C:C,A44,账户调查!F:F,"flutterwave")+COUNTIFS(单笔交易!C:C,A44,单笔交易!H:H,"Pyvio")+COUNTIFS(账户调查!C:C,A44,账户调查!F:F,"HPAY")</f>
        <v>0</v>
      </c>
      <c r="N44" s="266">
        <f>COUNTIFS(单笔交易!C:C,A44,单笔交易!H:H,"Nium")+COUNTIFS(账户调查!C:C,A44,账户调查!F:F,"Nium")+COUNTIFS(KYC调单!C:C,A11,KYC调单!E:E,"Nium")</f>
        <v>1</v>
      </c>
      <c r="O44" s="288">
        <f>COUNTIFS(警方协查!C:C,A44,警方协查!E:E,"OpenPayd")+COUNTIFS(单笔交易!C:C,A44,单笔交易!H:H,"OpenPayd")+COUNTIFS(账户调查!C:C,A44,账户调查!F:F,"OpenPayd")+COUNTIFS(Recall!C:C,A44,Recall!D:D,"OpenPayd")</f>
        <v>3</v>
      </c>
      <c r="P44" s="261">
        <f>COUNTIFS(KYC调单!C:C,A11,KYC调单!E:E,"IBC")+COUNTIFS(单笔交易!C:C,A11,单笔交易!H:H,"IBC")+COUNTIFS(账户调查!C:C,A11,账户调查!F:F,"IBC")</f>
        <v>0</v>
      </c>
      <c r="Q44" s="288">
        <f>COUNTIFS(KYC调单!C:C,A44,KYC调单!E:E,"TransferMate")+COUNTIFS(单笔交易!C:C,A44,单笔交易!H:H,"TransferMate")+COUNTIFS(账户调查!C:C,A44,账户调查!F:F,"TransferMate")</f>
        <v>0</v>
      </c>
      <c r="R44" s="261"/>
      <c r="S44" s="258">
        <f t="shared" si="4"/>
        <v>76</v>
      </c>
      <c r="T44" s="258" t="str">
        <f t="shared" si="5"/>
        <v>一致</v>
      </c>
    </row>
    <row r="45" ht="15.5" spans="1:20">
      <c r="A45" s="259" t="s">
        <v>23</v>
      </c>
      <c r="B45" s="264">
        <f>COUNTIFS(KYC调单!C:C,A12,KYC调单!E:E,"DBS")+COUNTIFS(单笔交易!C:C,A12,单笔交易!H:H,"DBS")+COUNTIFS(账户调查!C:C,A12,账户调查!F:F,"DBS")+COUNTIFS(Recall!C:C,A12,Recall!D:D,"DBS")+COUNTIFS(警方协查!C:C,A12,警方协查!E:E,"DBS")</f>
        <v>20</v>
      </c>
      <c r="C45" s="264">
        <f>COUNTIFS(KYC调单!C:C,A12,KYC调单!E:E,"Banking Circle")+COUNTIFS(单笔交易!C:C,A12,单笔交易!H:H,"Banking Circle")+COUNTIFS(账户调查!C:C,A12,账户调查!F:F,"Banking Circle")+COUNTIFS(Recall!C:C,A12,Recall!D:D,"Banking Circle")+COUNTIFS(警方协查!C:C,A12,警方协查!E:E,"Banking Circle")</f>
        <v>30</v>
      </c>
      <c r="D45" s="264">
        <f>COUNTIFS(KYC调单!C:C,A12,KYC调单!E:E,"M-DAQ")+COUNTIFS(单笔交易!C:C,A12,单笔交易!H:H,"M-DAQ")+COUNTIFS(账户调查!C:C,A12,账户调查!F:F,"M-DAQ")+COUNTIFS(Recall!C:C,A12,Recall!D:D,"M-DAQ")+COUNTIFS(警方协查!C:C,A12,警方协查!E:E,"M-DAQ")</f>
        <v>9</v>
      </c>
      <c r="E45" s="264">
        <f>COUNTIFS(KYC调单!C:C,A12,KYC调单!E:E,"GME")+COUNTIFS(单笔交易!C:C,A12,单笔交易!H:H,"GME")+COUNTIFS(账户调查!C:C,A12,账户调查!F:F,"GME")+COUNTIFS(Recall!C:C,A12,Recall!D:D,"GME")+COUNTIFS(警方协查!C:C,A12,警方协查!E:E,"GME")</f>
        <v>3</v>
      </c>
      <c r="F45" s="264">
        <f>COUNTIFS(KYC调单!C:C,A12,KYC调单!E:E,"QBC")+COUNTIFS(单笔交易!C:C,A12,单笔交易!H:H,"QBC")+COUNTIFS(账户调查!C:C,A12,账户调查!F:F,"QBC")+COUNTIFS(Recall!C:C,A12,Recall!D:D,"QBC")+COUNTIFS(警方协查!C:C,A12,警方协查!E:E,"QBC")</f>
        <v>0</v>
      </c>
      <c r="G45" s="264">
        <f>COUNTIFS(KYC调单!C:C,A12,KYC调单!E:E,"Thunes")+COUNTIFS(单笔交易!C:C,A12,单笔交易!H:H,"Thunes")+COUNTIFS(账户调查!C:C,A12,账户调查!F:F,"Thunes")+COUNTIFS(Recall!C:C,A12,Recall!D:D,"Thunes")+COUNTIFS(警方协查!C:C,A12,警方协查!E:E,"Thunes")</f>
        <v>3</v>
      </c>
      <c r="H45" s="264">
        <f>COUNTIF(结汇!C:C,A12)</f>
        <v>1</v>
      </c>
      <c r="I45" s="264">
        <f>COUNTIFS(KYC调单!C:C,A12,KYC调单!E:E,"平安银行")+COUNTIFS(单笔交易!C:C,A12,单笔交易!H:H,"平安银行")+COUNTIFS(账户调查!C:C,A12,账户调查!F:F,"平安银行")+COUNTIFS(Recall!C:C,A12,Recall!D:D,"平安银行")+COUNTIFS(警方协查!C:C,A12,警方协查!E:E,"平安银行")</f>
        <v>3</v>
      </c>
      <c r="J45" s="264">
        <f>COUNTIFS(KYC调单!C:C,A12,KYC调单!E:E,"PING PONG")+COUNTIFS(单笔交易!C:C,A12,单笔交易!H:H,"PING PONG")+COUNTIFS(账户调查!C:C,A12,账户调查!F:F,"PING PONG")+COUNTIFS(Recall!C:C,A12,Recall!D:D,"PING PONG")+COUNTIFS(警方协查!C:C,A12,警方协查!E:E,"PING PONG")</f>
        <v>0</v>
      </c>
      <c r="K45" s="287">
        <f>COUNTIFS(单笔交易!C:C,A45,单笔交易!H:H,"SCB")+COUNTIFS(账户调查!C:C,A45,账户调查!F:F,"SCB")+COUNTIFS(Recall!C:C,A45,Recall!D:D,"SCB")</f>
        <v>7</v>
      </c>
      <c r="L45" s="261">
        <f>COUNTIFS(单笔交易!C:C,A45,单笔交易!H:H,"Baokim")+COUNTIFS(账户调查!C:C,A45,账户调查!F:F,"Baokim")</f>
        <v>0</v>
      </c>
      <c r="M45" s="261">
        <f>COUNTIFS(警方协查!C:C,A45,警方协查!E:E,"其他警方")+COUNTIFS(账户调查!C:C,A45,账户调查!F:F,"Payoneer")+COUNTIFS(账户调查!C:C,A45,账户调查!F:F,"DSGpay")+COUNTIFS(单笔交易!C:C,A45,单笔交易!H:H,"DSGpay")+COUNTIFS(单笔交易!C:C,A45,单笔交易!H:H,"Moolahgo")+COUNTIFS(账户调查!C:C,A45,账户调查!F:F,"Sentbe")+COUNTIFS(账户调查!C:C,A45,账户调查!F:F,"flutterwave")+COUNTIFS(单笔交易!C:C,A45,单笔交易!H:H,"Pyvio")+COUNTIFS(账户调查!C:C,A45,账户调查!F:F,"HPAY")</f>
        <v>0</v>
      </c>
      <c r="N45" s="266">
        <f>COUNTIFS(单笔交易!C:C,A45,单笔交易!H:H,"Nium")+COUNTIFS(账户调查!C:C,A45,账户调查!F:F,"Nium")+COUNTIFS(KYC调单!C:C,A12,KYC调单!E:E,"Nium")</f>
        <v>1</v>
      </c>
      <c r="O45" s="288">
        <f>COUNTIFS(警方协查!C:C,A45,警方协查!E:E,"OpenPayd")+COUNTIFS(单笔交易!C:C,A45,单笔交易!H:H,"OpenPayd")+COUNTIFS(账户调查!C:C,A45,账户调查!F:F,"OpenPayd")+COUNTIFS(Recall!C:C,A45,Recall!D:D,"OpenPayd")</f>
        <v>6</v>
      </c>
      <c r="P45" s="261">
        <f>COUNTIFS(KYC调单!C:C,A12,KYC调单!E:E,"IBC")+COUNTIFS(单笔交易!C:C,A12,单笔交易!H:H,"IBC")+COUNTIFS(账户调查!C:C,A12,账户调查!F:F,"IBC")</f>
        <v>0</v>
      </c>
      <c r="Q45" s="288">
        <f>COUNTIFS(KYC调单!C:C,A45,KYC调单!E:E,"TransferMate")+COUNTIFS(单笔交易!C:C,A45,单笔交易!H:H,"TransferMate")+COUNTIFS(账户调查!C:C,A45,账户调查!F:F,"TransferMate")</f>
        <v>0</v>
      </c>
      <c r="R45" s="261"/>
      <c r="S45" s="258">
        <f t="shared" si="4"/>
        <v>83</v>
      </c>
      <c r="T45" s="258" t="str">
        <f t="shared" si="5"/>
        <v>一致</v>
      </c>
    </row>
    <row r="46" ht="15.5" spans="1:20">
      <c r="A46" s="259" t="s">
        <v>24</v>
      </c>
      <c r="B46" s="264">
        <f>COUNTIFS(KYC调单!C:C,A13,KYC调单!E:E,"DBS")+COUNTIFS(单笔交易!C:C,A13,单笔交易!H:H,"DBS")+COUNTIFS(账户调查!C:C,A13,账户调查!F:F,"DBS")+COUNTIFS(Recall!C:C,A13,Recall!D:D,"DBS")+COUNTIFS(警方协查!C:C,A13,警方协查!E:E,"DBS")</f>
        <v>15</v>
      </c>
      <c r="C46" s="264">
        <f>COUNTIFS(KYC调单!C:C,A13,KYC调单!E:E,"Banking Circle")+COUNTIFS(单笔交易!C:C,A13,单笔交易!H:H,"Banking Circle")+COUNTIFS(账户调查!C:C,A13,账户调查!F:F,"Banking Circle")+COUNTIFS(Recall!C:C,A13,Recall!D:D,"Banking Circle")+COUNTIFS(警方协查!C:C,A13,警方协查!E:E,"Banking Circle")</f>
        <v>37</v>
      </c>
      <c r="D46" s="264">
        <f>COUNTIFS(KYC调单!C:C,A13,KYC调单!E:E,"M-DAQ")+COUNTIFS(单笔交易!C:C,A13,单笔交易!H:H,"M-DAQ")+COUNTIFS(账户调查!C:C,A13,账户调查!F:F,"M-DAQ")+COUNTIFS(Recall!C:C,A13,Recall!D:D,"M-DAQ")+COUNTIFS(警方协查!C:C,A13,警方协查!E:E,"M-DAQ")</f>
        <v>6</v>
      </c>
      <c r="E46" s="264">
        <f>COUNTIFS(KYC调单!C:C,A13,KYC调单!E:E,"GME")+COUNTIFS(单笔交易!C:C,A13,单笔交易!H:H,"GME")+COUNTIFS(账户调查!C:C,A13,账户调查!F:F,"GME")+COUNTIFS(Recall!C:C,A13,Recall!D:D,"GME")+COUNTIFS(警方协查!C:C,A13,警方协查!E:E,"GME")</f>
        <v>1</v>
      </c>
      <c r="F46" s="264">
        <f>COUNTIFS(KYC调单!C:C,A13,KYC调单!E:E,"QBC")+COUNTIFS(单笔交易!C:C,A13,单笔交易!H:H,"QBC")+COUNTIFS(账户调查!C:C,A13,账户调查!F:F,"QBC")+COUNTIFS(Recall!C:C,A13,Recall!D:D,"QBC")+COUNTIFS(警方协查!C:C,A13,警方协查!E:E,"QBC")</f>
        <v>1</v>
      </c>
      <c r="G46" s="264">
        <f>COUNTIFS(KYC调单!C:C,A13,KYC调单!E:E,"Thunes")+COUNTIFS(单笔交易!C:C,A13,单笔交易!H:H,"Thunes")+COUNTIFS(账户调查!C:C,A13,账户调查!F:F,"Thunes")+COUNTIFS(Recall!C:C,A13,Recall!D:D,"Thunes")+COUNTIFS(警方协查!C:C,A13,警方协查!E:E,"Thunes")</f>
        <v>3</v>
      </c>
      <c r="H46" s="264">
        <f>COUNTIF(结汇!C:C,A13)</f>
        <v>1</v>
      </c>
      <c r="I46" s="264">
        <f>COUNTIFS(KYC调单!C:C,A13,KYC调单!E:E,"平安银行")+COUNTIFS(单笔交易!C:C,A13,单笔交易!H:H,"平安银行")+COUNTIFS(账户调查!C:C,A13,账户调查!F:F,"平安银行")+COUNTIFS(Recall!C:C,A13,Recall!D:D,"平安银行")+COUNTIFS(警方协查!C:C,A13,警方协查!E:E,"平安银行")</f>
        <v>2</v>
      </c>
      <c r="J46" s="264">
        <f>COUNTIFS(KYC调单!C:C,A13,KYC调单!E:E,"PING PONG")+COUNTIFS(单笔交易!C:C,A13,单笔交易!H:H,"PING PONG")+COUNTIFS(账户调查!C:C,A13,账户调查!F:F,"PING PONG")+COUNTIFS(Recall!C:C,A13,Recall!D:D,"PING PONG")+COUNTIFS(警方协查!C:C,A13,警方协查!E:E,"PING PONG")</f>
        <v>0</v>
      </c>
      <c r="K46" s="287">
        <f>COUNTIFS(单笔交易!C:C,A46,单笔交易!H:H,"SCB")+COUNTIFS(账户调查!C:C,A46,账户调查!F:F,"SCB")+COUNTIFS(Recall!C:C,A46,Recall!D:D,"SCB")</f>
        <v>7</v>
      </c>
      <c r="L46" s="261">
        <f>COUNTIFS(单笔交易!C:C,A46,单笔交易!H:H,"Baokim")+COUNTIFS(账户调查!C:C,A46,账户调查!F:F,"Baokim")</f>
        <v>0</v>
      </c>
      <c r="M46" s="261">
        <f>COUNTIFS(警方协查!C:C,A46,警方协查!E:E,"其他警方")+COUNTIFS(账户调查!C:C,A46,账户调查!F:F,"Payoneer")+COUNTIFS(账户调查!C:C,A46,账户调查!F:F,"DSGpay")+COUNTIFS(单笔交易!C:C,A46,单笔交易!H:H,"DSGpay")+COUNTIFS(单笔交易!C:C,A46,单笔交易!H:H,"Moolahgo")+COUNTIFS(账户调查!C:C,A46,账户调查!F:F,"Sentbe")+COUNTIFS(账户调查!C:C,A46,账户调查!F:F,"flutterwave")+COUNTIFS(单笔交易!C:C,A46,单笔交易!H:H,"Pyvio")+COUNTIFS(账户调查!C:C,A46,账户调查!F:F,"HPAY")</f>
        <v>2</v>
      </c>
      <c r="N46" s="266">
        <f>COUNTIFS(单笔交易!C:C,A46,单笔交易!H:H,"Nium")+COUNTIFS(账户调查!C:C,A46,账户调查!F:F,"Nium")+COUNTIFS(KYC调单!C:C,A13,KYC调单!E:E,"Nium")</f>
        <v>8</v>
      </c>
      <c r="O46" s="288">
        <f>COUNTIFS(警方协查!C:C,A46,警方协查!E:E,"OpenPayd")+COUNTIFS(单笔交易!C:C,A46,单笔交易!H:H,"OpenPayd")+COUNTIFS(账户调查!C:C,A46,账户调查!F:F,"OpenPayd")+COUNTIFS(Recall!C:C,A46,Recall!D:D,"OpenPayd")</f>
        <v>9</v>
      </c>
      <c r="P46" s="261">
        <f>COUNTIFS(KYC调单!C:C,A13,KYC调单!E:E,"IBC")+COUNTIFS(单笔交易!C:C,A13,单笔交易!H:H,"IBC")+COUNTIFS(账户调查!C:C,A13,账户调查!F:F,"IBC")</f>
        <v>0</v>
      </c>
      <c r="Q46" s="288">
        <f>COUNTIFS(KYC调单!C:C,A46,KYC调单!E:E,"TransferMate")+COUNTIFS(单笔交易!C:C,A46,单笔交易!H:H,"TransferMate")+COUNTIFS(账户调查!C:C,A46,账户调查!F:F,"TransferMate")</f>
        <v>0</v>
      </c>
      <c r="R46" s="261"/>
      <c r="S46" s="258">
        <f t="shared" si="4"/>
        <v>92</v>
      </c>
      <c r="T46" s="258" t="str">
        <f t="shared" si="5"/>
        <v>一致</v>
      </c>
    </row>
    <row r="47" ht="15.5" spans="1:20">
      <c r="A47" s="259" t="s">
        <v>25</v>
      </c>
      <c r="B47" s="264">
        <f>COUNTIFS(KYC调单!C:C,A14,KYC调单!E:E,"DBS")+COUNTIFS(单笔交易!C:C,A14,单笔交易!H:H,"DBS")+COUNTIFS(账户调查!C:C,A14,账户调查!F:F,"DBS")+COUNTIFS(Recall!C:C,A14,Recall!D:D,"DBS")+COUNTIFS(警方协查!C:C,A14,警方协查!E:E,"DBS")</f>
        <v>26</v>
      </c>
      <c r="C47" s="264">
        <f>COUNTIFS(KYC调单!C:C,A14,KYC调单!E:E,"Banking Circle")+COUNTIFS(单笔交易!C:C,A14,单笔交易!H:H,"Banking Circle")+COUNTIFS(账户调查!C:C,A14,账户调查!F:F,"Banking Circle")+COUNTIFS(Recall!C:C,A14,Recall!D:D,"Banking Circle")+COUNTIFS(警方协查!C:C,A14,警方协查!E:E,"Banking Circle")</f>
        <v>57</v>
      </c>
      <c r="D47" s="264">
        <f>COUNTIFS(KYC调单!C:C,A14,KYC调单!E:E,"M-DAQ")+COUNTIFS(单笔交易!C:C,A14,单笔交易!H:H,"M-DAQ")+COUNTIFS(账户调查!C:C,A14,账户调查!F:F,"M-DAQ")+COUNTIFS(Recall!C:C,A14,Recall!D:D,"M-DAQ")+COUNTIFS(警方协查!C:C,A14,警方协查!E:E,"M-DAQ")</f>
        <v>2</v>
      </c>
      <c r="E47" s="264">
        <f>COUNTIFS(KYC调单!C:C,A14,KYC调单!E:E,"GME")+COUNTIFS(单笔交易!C:C,A14,单笔交易!H:H,"GME")+COUNTIFS(账户调查!C:C,A14,账户调查!F:F,"GME")+COUNTIFS(Recall!C:C,A14,Recall!D:D,"GME")+COUNTIFS(警方协查!C:C,A14,警方协查!E:E,"GME")</f>
        <v>0</v>
      </c>
      <c r="F47" s="264">
        <f>COUNTIFS(KYC调单!C:C,A14,KYC调单!E:E,"QBC")+COUNTIFS(单笔交易!C:C,A14,单笔交易!H:H,"QBC")+COUNTIFS(账户调查!C:C,A14,账户调查!F:F,"QBC")+COUNTIFS(Recall!C:C,A14,Recall!D:D,"QBC")+COUNTIFS(警方协查!C:C,A14,警方协查!E:E,"QBC")</f>
        <v>0</v>
      </c>
      <c r="G47" s="264">
        <f>COUNTIFS(KYC调单!C:C,A14,KYC调单!E:E,"Thunes")+COUNTIFS(单笔交易!C:C,A14,单笔交易!H:H,"Thunes")+COUNTIFS(账户调查!C:C,A14,账户调查!F:F,"Thunes")+COUNTIFS(Recall!C:C,A14,Recall!D:D,"Thunes")+COUNTIFS(警方协查!C:C,A14,警方协查!E:E,"Thunes")</f>
        <v>5</v>
      </c>
      <c r="H47" s="264">
        <f>COUNTIF(结汇!C:C,A14)</f>
        <v>1</v>
      </c>
      <c r="I47" s="264">
        <f>COUNTIFS(KYC调单!C:C,A14,KYC调单!E:E,"平安银行")+COUNTIFS(单笔交易!C:C,A14,单笔交易!H:H,"平安银行")+COUNTIFS(账户调查!C:C,A14,账户调查!F:F,"平安银行")+COUNTIFS(Recall!C:C,A14,Recall!D:D,"平安银行")+COUNTIFS(警方协查!C:C,A14,警方协查!E:E,"平安银行")</f>
        <v>0</v>
      </c>
      <c r="J47" s="264">
        <f>COUNTIFS(KYC调单!C:C,A14,KYC调单!E:E,"PING PONG")+COUNTIFS(单笔交易!C:C,A14,单笔交易!H:H,"PING PONG")+COUNTIFS(账户调查!C:C,A14,账户调查!F:F,"PING PONG")+COUNTIFS(Recall!C:C,A14,Recall!D:D,"PING PONG")+COUNTIFS(警方协查!C:C,A14,警方协查!E:E,"PING PONG")</f>
        <v>3</v>
      </c>
      <c r="K47" s="287">
        <f>COUNTIFS(单笔交易!C:C,A47,单笔交易!H:H,"SCB")+COUNTIFS(账户调查!C:C,A47,账户调查!F:F,"SCB")+COUNTIFS(Recall!C:C,A47,Recall!D:D,"SCB")</f>
        <v>8</v>
      </c>
      <c r="L47" s="261">
        <f>COUNTIFS(单笔交易!C:C,A47,单笔交易!H:H,"Baokim")+COUNTIFS(账户调查!C:C,A47,账户调查!F:F,"Baokim")</f>
        <v>0</v>
      </c>
      <c r="M47" s="261">
        <f>COUNTIFS(警方协查!C:C,A47,警方协查!E:E,"其他警方")+COUNTIFS(账户调查!C:C,A47,账户调查!F:F,"Payoneer")+COUNTIFS(账户调查!C:C,A47,账户调查!F:F,"DSGpay")+COUNTIFS(单笔交易!C:C,A47,单笔交易!H:H,"DSGpay")+COUNTIFS(单笔交易!C:C,A47,单笔交易!H:H,"Moolahgo")+COUNTIFS(账户调查!C:C,A47,账户调查!F:F,"Sentbe")+COUNTIFS(账户调查!C:C,A47,账户调查!F:F,"flutterwave")+COUNTIFS(单笔交易!C:C,A47,单笔交易!H:H,"Pyvio")+COUNTIFS(账户调查!C:C,A47,账户调查!F:F,"HPAY")</f>
        <v>5</v>
      </c>
      <c r="N47" s="266">
        <f>COUNTIFS(单笔交易!C:C,A47,单笔交易!H:H,"Nium")+COUNTIFS(账户调查!C:C,A47,账户调查!F:F,"Nium")+COUNTIFS(KYC调单!C:C,A14,KYC调单!E:E,"Nium")</f>
        <v>2</v>
      </c>
      <c r="O47" s="288">
        <f>COUNTIFS(警方协查!C:C,A47,警方协查!E:E,"OpenPayd")+COUNTIFS(单笔交易!C:C,A47,单笔交易!H:H,"OpenPayd")+COUNTIFS(账户调查!C:C,A47,账户调查!F:F,"OpenPayd")+COUNTIFS(Recall!C:C,A47,Recall!D:D,"OpenPayd")</f>
        <v>9</v>
      </c>
      <c r="P47" s="261">
        <f>COUNTIFS(KYC调单!C:C,A14,KYC调单!E:E,"IBC")+COUNTIFS(单笔交易!C:C,A14,单笔交易!H:H,"IBC")+COUNTIFS(账户调查!C:C,A14,账户调查!F:F,"IBC")</f>
        <v>0</v>
      </c>
      <c r="Q47" s="288">
        <f>COUNTIFS(KYC调单!C:C,A47,KYC调单!E:E,"TransferMate")+COUNTIFS(单笔交易!C:C,A47,单笔交易!H:H,"TransferMate")+COUNTIFS(账户调查!C:C,A47,账户调查!F:F,"TransferMate")</f>
        <v>0</v>
      </c>
      <c r="R47" s="261"/>
      <c r="S47" s="258">
        <f t="shared" si="4"/>
        <v>118</v>
      </c>
      <c r="T47" s="258" t="str">
        <f t="shared" si="5"/>
        <v>一致</v>
      </c>
    </row>
    <row r="48" ht="15.5" spans="1:20">
      <c r="A48" s="259" t="s">
        <v>26</v>
      </c>
      <c r="B48" s="264">
        <f>COUNTIFS(KYC调单!C:C,A15,KYC调单!E:E,"DBS")+COUNTIFS(单笔交易!C:C,A15,单笔交易!H:H,"DBS")+COUNTIFS(账户调查!C:C,A15,账户调查!F:F,"DBS")+COUNTIFS(Recall!C:C,A15,Recall!D:D,"DBS")+COUNTIFS(警方协查!C:C,A15,警方协查!E:E,"DBS")</f>
        <v>13</v>
      </c>
      <c r="C48" s="264">
        <f>COUNTIFS(KYC调单!C:C,A15,KYC调单!E:E,"Banking Circle")+COUNTIFS(单笔交易!C:C,A15,单笔交易!H:H,"Banking Circle")+COUNTIFS(账户调查!C:C,A15,账户调查!F:F,"Banking Circle")+COUNTIFS(Recall!C:C,A15,Recall!D:D,"Banking Circle")+COUNTIFS(警方协查!C:C,A15,警方协查!E:E,"Banking Circle")</f>
        <v>65</v>
      </c>
      <c r="D48" s="264">
        <f>COUNTIFS(KYC调单!C:C,A15,KYC调单!E:E,"M-DAQ")+COUNTIFS(单笔交易!C:C,A15,单笔交易!H:H,"M-DAQ")+COUNTIFS(账户调查!C:C,A15,账户调查!F:F,"M-DAQ")+COUNTIFS(Recall!C:C,A15,Recall!D:D,"M-DAQ")+COUNTIFS(警方协查!C:C,A15,警方协查!E:E,"M-DAQ")</f>
        <v>3</v>
      </c>
      <c r="E48" s="264">
        <f>COUNTIFS(KYC调单!C:C,A15,KYC调单!E:E,"GME")+COUNTIFS(单笔交易!C:C,A15,单笔交易!H:H,"GME")+COUNTIFS(账户调查!C:C,A15,账户调查!F:F,"GME")+COUNTIFS(Recall!C:C,A15,Recall!D:D,"GME")+COUNTIFS(警方协查!C:C,A15,警方协查!E:E,"GME")</f>
        <v>2</v>
      </c>
      <c r="F48" s="264">
        <f>COUNTIFS(KYC调单!C:C,A15,KYC调单!E:E,"QBC")+COUNTIFS(单笔交易!C:C,A15,单笔交易!H:H,"QBC")+COUNTIFS(账户调查!C:C,A15,账户调查!F:F,"QBC")+COUNTIFS(Recall!C:C,A15,Recall!D:D,"QBC")+COUNTIFS(警方协查!C:C,A15,警方协查!E:E,"QBC")</f>
        <v>0</v>
      </c>
      <c r="G48" s="264">
        <f>COUNTIFS(KYC调单!C:C,A15,KYC调单!E:E,"Thunes")+COUNTIFS(单笔交易!C:C,A15,单笔交易!H:H,"Thunes")+COUNTIFS(账户调查!C:C,A15,账户调查!F:F,"Thunes")+COUNTIFS(Recall!C:C,A15,Recall!D:D,"Thunes")+COUNTIFS(警方协查!C:C,A15,警方协查!E:E,"Thunes")</f>
        <v>1</v>
      </c>
      <c r="H48" s="264">
        <f>COUNTIF(结汇!C:C,A15)</f>
        <v>1</v>
      </c>
      <c r="I48" s="264">
        <f>COUNTIFS(KYC调单!C:C,A15,KYC调单!E:E,"平安银行")+COUNTIFS(单笔交易!C:C,A15,单笔交易!H:H,"平安银行")+COUNTIFS(账户调查!C:C,A15,账户调查!F:F,"平安银行")+COUNTIFS(Recall!C:C,A15,Recall!D:D,"平安银行")+COUNTIFS(警方协查!C:C,A15,警方协查!E:E,"平安银行")</f>
        <v>3</v>
      </c>
      <c r="J48" s="264">
        <f>COUNTIFS(KYC调单!C:C,A15,KYC调单!E:E,"PING PONG")+COUNTIFS(单笔交易!C:C,A15,单笔交易!H:H,"PING PONG")+COUNTIFS(账户调查!C:C,A15,账户调查!F:F,"PING PONG")+COUNTIFS(Recall!C:C,A15,Recall!D:D,"PING PONG")+COUNTIFS(警方协查!C:C,A15,警方协查!E:E,"PING PONG")</f>
        <v>0</v>
      </c>
      <c r="K48" s="287">
        <f>COUNTIFS(单笔交易!C:C,A48,单笔交易!H:H,"SCB")+COUNTIFS(账户调查!C:C,A48,账户调查!F:F,"SCB")+COUNTIFS(Recall!C:C,A48,Recall!D:D,"SCB")</f>
        <v>12</v>
      </c>
      <c r="L48" s="261">
        <f>COUNTIFS(单笔交易!C:C,A48,单笔交易!H:H,"Baokim")+COUNTIFS(账户调查!C:C,A48,账户调查!F:F,"Baokim")</f>
        <v>0</v>
      </c>
      <c r="M48" s="261">
        <f>COUNTIFS(警方协查!C:C,A48,警方协查!E:E,"其他警方")+COUNTIFS(账户调查!C:C,A48,账户调查!F:F,"Payoneer")+COUNTIFS(账户调查!C:C,A48,账户调查!F:F,"DSGpay")+COUNTIFS(单笔交易!C:C,A48,单笔交易!H:H,"DSGpay")+COUNTIFS(单笔交易!C:C,A48,单笔交易!H:H,"Moolahgo")+COUNTIFS(账户调查!C:C,A48,账户调查!F:F,"Sentbe")+COUNTIFS(账户调查!C:C,A48,账户调查!F:F,"flutterwave")+COUNTIFS(单笔交易!C:C,A48,单笔交易!H:H,"Pyvio")+COUNTIFS(账户调查!C:C,A48,账户调查!F:F,"HPAY")</f>
        <v>6</v>
      </c>
      <c r="N48" s="266">
        <f>COUNTIFS(单笔交易!C:C,A48,单笔交易!H:H,"Nium")+COUNTIFS(账户调查!C:C,A48,账户调查!F:F,"Nium")+COUNTIFS(KYC调单!C:C,A15,KYC调单!E:E,"Nium")</f>
        <v>1</v>
      </c>
      <c r="O48" s="288">
        <f>COUNTIFS(警方协查!C:C,A48,警方协查!E:E,"OpenPayd")+COUNTIFS(单笔交易!C:C,A48,单笔交易!H:H,"OpenPayd")+COUNTIFS(账户调查!C:C,A48,账户调查!F:F,"OpenPayd")+COUNTIFS(Recall!C:C,A48,Recall!D:D,"OpenPayd")</f>
        <v>1</v>
      </c>
      <c r="P48" s="261">
        <f>COUNTIFS(KYC调单!C:C,A15,KYC调单!E:E,"IBC")+COUNTIFS(单笔交易!C:C,A15,单笔交易!H:H,"IBC")+COUNTIFS(账户调查!C:C,A15,账户调查!F:F,"IBC")</f>
        <v>0</v>
      </c>
      <c r="Q48" s="288">
        <f>COUNTIFS(KYC调单!C:C,A48,KYC调单!E:E,"TransferMate")+COUNTIFS(单笔交易!C:C,A48,单笔交易!H:H,"TransferMate")+COUNTIFS(账户调查!C:C,A48,账户调查!F:F,"TransferMate")</f>
        <v>1</v>
      </c>
      <c r="R48" s="261"/>
      <c r="S48" s="258">
        <f t="shared" si="4"/>
        <v>109</v>
      </c>
      <c r="T48" s="258" t="str">
        <f t="shared" si="5"/>
        <v>一致</v>
      </c>
    </row>
    <row r="49" ht="15.5" spans="1:20">
      <c r="A49" s="259" t="s">
        <v>27</v>
      </c>
      <c r="B49" s="264">
        <f>COUNTIFS(KYC调单!C:C,A16,KYC调单!E:E,"DBS")+COUNTIFS(单笔交易!C:C,A16,单笔交易!H:H,"DBS")+COUNTIFS(账户调查!C:C,A16,账户调查!F:F,"DBS")+COUNTIFS(Recall!C:C,A16,Recall!D:D,"DBS")+COUNTIFS(警方协查!C:C,A16,警方协查!E:E,"DBS")</f>
        <v>14</v>
      </c>
      <c r="C49" s="264">
        <f>COUNTIFS(KYC调单!C:C,A16,KYC调单!E:E,"Banking Circle")+COUNTIFS(单笔交易!C:C,A16,单笔交易!H:H,"Banking Circle")+COUNTIFS(账户调查!C:C,A16,账户调查!F:F,"Banking Circle")+COUNTIFS(Recall!C:C,A16,Recall!D:D,"Banking Circle")+COUNTIFS(警方协查!C:C,A16,警方协查!E:E,"Banking Circle")</f>
        <v>67</v>
      </c>
      <c r="D49" s="264">
        <f>COUNTIFS(KYC调单!C:C,A16,KYC调单!E:E,"M-DAQ")+COUNTIFS(单笔交易!C:C,A16,单笔交易!H:H,"M-DAQ")+COUNTIFS(账户调查!C:C,A16,账户调查!F:F,"M-DAQ")+COUNTIFS(Recall!C:C,A16,Recall!D:D,"M-DAQ")+COUNTIFS(警方协查!C:C,A16,警方协查!E:E,"M-DAQ")</f>
        <v>0</v>
      </c>
      <c r="E49" s="264">
        <f>COUNTIFS(KYC调单!C:C,A16,KYC调单!E:E,"GME")+COUNTIFS(单笔交易!C:C,A16,单笔交易!H:H,"GME")+COUNTIFS(账户调查!C:C,A16,账户调查!F:F,"GME")+COUNTIFS(Recall!C:C,A16,Recall!D:D,"GME")+COUNTIFS(警方协查!C:C,A16,警方协查!E:E,"GME")</f>
        <v>1</v>
      </c>
      <c r="F49" s="264">
        <f>COUNTIFS(KYC调单!C:C,A16,KYC调单!E:E,"QBC")+COUNTIFS(单笔交易!C:C,A16,单笔交易!H:H,"QBC")+COUNTIFS(账户调查!C:C,A16,账户调查!F:F,"QBC")+COUNTIFS(Recall!C:C,A16,Recall!D:D,"QBC")+COUNTIFS(警方协查!C:C,A16,警方协查!E:E,"QBC")</f>
        <v>0</v>
      </c>
      <c r="G49" s="264">
        <f>COUNTIFS(KYC调单!C:C,A16,KYC调单!E:E,"Thunes")+COUNTIFS(单笔交易!C:C,A16,单笔交易!H:H,"Thunes")+COUNTIFS(账户调查!C:C,A16,账户调查!F:F,"Thunes")+COUNTIFS(Recall!C:C,A16,Recall!D:D,"Thunes")+COUNTIFS(警方协查!C:C,A16,警方协查!E:E,"Thunes")</f>
        <v>1</v>
      </c>
      <c r="H49" s="264">
        <f>COUNTIF(结汇!C:C,A16)</f>
        <v>0</v>
      </c>
      <c r="I49" s="264">
        <f>COUNTIFS(KYC调单!C:C,A16,KYC调单!E:E,"平安银行")+COUNTIFS(单笔交易!C:C,A16,单笔交易!H:H,"平安银行")+COUNTIFS(账户调查!C:C,A16,账户调查!F:F,"平安银行")+COUNTIFS(Recall!C:C,A16,Recall!D:D,"平安银行")+COUNTIFS(警方协查!C:C,A16,警方协查!E:E,"平安银行")</f>
        <v>0</v>
      </c>
      <c r="J49" s="264">
        <f>COUNTIFS(KYC调单!C:C,A16,KYC调单!E:E,"PING PONG")+COUNTIFS(单笔交易!C:C,A16,单笔交易!H:H,"PING PONG")+COUNTIFS(账户调查!C:C,A16,账户调查!F:F,"PING PONG")+COUNTIFS(Recall!C:C,A16,Recall!D:D,"PING PONG")+COUNTIFS(警方协查!C:C,A16,警方协查!E:E,"PING PONG")</f>
        <v>3</v>
      </c>
      <c r="K49" s="287">
        <f>COUNTIFS(单笔交易!C:C,A49,单笔交易!H:H,"SCB")+COUNTIFS(账户调查!C:C,A49,账户调查!F:F,"SCB")+COUNTIFS(Recall!C:C,A49,Recall!D:D,"SCB")</f>
        <v>21</v>
      </c>
      <c r="L49" s="261">
        <f>COUNTIFS(单笔交易!C:C,A49,单笔交易!H:H,"Baokim")+COUNTIFS(账户调查!C:C,A49,账户调查!F:F,"Baokim")</f>
        <v>0</v>
      </c>
      <c r="M49" s="261">
        <f>COUNTIFS(警方协查!C:C,A49,警方协查!E:E,"其他警方")+COUNTIFS(账户调查!C:C,A49,账户调查!F:F,"Payoneer")+COUNTIFS(账户调查!C:C,A49,账户调查!F:F,"DSGpay")+COUNTIFS(单笔交易!C:C,A49,单笔交易!H:H,"DSGpay")+COUNTIFS(单笔交易!C:C,A49,单笔交易!H:H,"Moolahgo")+COUNTIFS(账户调查!C:C,A49,账户调查!F:F,"Sentbe")+COUNTIFS(账户调查!C:C,A49,账户调查!F:F,"flutterwave")+COUNTIFS(单笔交易!C:C,A49,单笔交易!H:H,"Pyvio")+COUNTIFS(账户调查!C:C,A49,账户调查!F:F,"HPAY")</f>
        <v>9</v>
      </c>
      <c r="N49" s="266">
        <f>COUNTIFS(单笔交易!C:C,A49,单笔交易!H:H,"Nium")+COUNTIFS(账户调查!C:C,A49,账户调查!F:F,"Nium")+COUNTIFS(KYC调单!C:C,A16,KYC调单!E:E,"Nium")</f>
        <v>3</v>
      </c>
      <c r="O49" s="288">
        <f>COUNTIFS(警方协查!C:C,A49,警方协查!E:E,"OpenPayd")+COUNTIFS(单笔交易!C:C,A49,单笔交易!H:H,"OpenPayd")+COUNTIFS(账户调查!C:C,A49,账户调查!F:F,"OpenPayd")+COUNTIFS(Recall!C:C,A49,Recall!D:D,"OpenPayd")</f>
        <v>1</v>
      </c>
      <c r="P49" s="261">
        <f>COUNTIFS(KYC调单!C:C,A16,KYC调单!E:E,"IBC")+COUNTIFS(单笔交易!C:C,A16,单笔交易!H:H,"IBC")+COUNTIFS(账户调查!C:C,A16,账户调查!F:F,"IBC")</f>
        <v>2</v>
      </c>
      <c r="Q49" s="288">
        <f>COUNTIFS(KYC调单!C:C,A49,KYC调单!E:E,"TransferMate")+COUNTIFS(单笔交易!C:C,A49,单笔交易!H:H,"TransferMate")+COUNTIFS(账户调查!C:C,A49,账户调查!F:F,"TransferMate")</f>
        <v>0</v>
      </c>
      <c r="R49" s="261"/>
      <c r="S49" s="258">
        <f t="shared" si="4"/>
        <v>122</v>
      </c>
      <c r="T49" s="258" t="str">
        <f t="shared" si="5"/>
        <v>一致</v>
      </c>
    </row>
    <row r="50" ht="15.5" spans="1:20">
      <c r="A50" s="259" t="s">
        <v>28</v>
      </c>
      <c r="B50" s="264">
        <f>COUNTIFS(KYC调单!C:C,A17,KYC调单!E:E,"DBS")+COUNTIFS(单笔交易!C:C,A17,单笔交易!H:H,"DBS")+COUNTIFS(账户调查!C:C,A17,账户调查!F:F,"DBS")+COUNTIFS(Recall!C:C,A17,Recall!D:D,"DBS")+COUNTIFS(警方协查!C:C,A17,警方协查!E:E,"DBS")</f>
        <v>37</v>
      </c>
      <c r="C50" s="264">
        <f>COUNTIFS(KYC调单!C:C,A17,KYC调单!E:E,"Banking Circle")+COUNTIFS(单笔交易!C:C,A17,单笔交易!H:H,"Banking Circle")+COUNTIFS(账户调查!C:C,A17,账户调查!F:F,"Banking Circle")+COUNTIFS(Recall!C:C,A17,Recall!D:D,"Banking Circle")+COUNTIFS(警方协查!C:C,A17,警方协查!E:E,"Banking Circle")</f>
        <v>17</v>
      </c>
      <c r="D50" s="264">
        <f>COUNTIFS(KYC调单!C:C,A17,KYC调单!E:E,"M-DAQ")+COUNTIFS(单笔交易!C:C,A17,单笔交易!H:H,"M-DAQ")+COUNTIFS(账户调查!C:C,A17,账户调查!F:F,"M-DAQ")+COUNTIFS(Recall!C:C,A17,Recall!D:D,"M-DAQ")+COUNTIFS(警方协查!C:C,A17,警方协查!E:E,"M-DAQ")</f>
        <v>0</v>
      </c>
      <c r="E50" s="264">
        <f>COUNTIFS(KYC调单!C:C,A17,KYC调单!E:E,"GME")+COUNTIFS(单笔交易!C:C,A17,单笔交易!H:H,"GME")+COUNTIFS(账户调查!C:C,A17,账户调查!F:F,"GME")+COUNTIFS(Recall!C:C,A17,Recall!D:D,"GME")+COUNTIFS(警方协查!C:C,A17,警方协查!E:E,"GME")</f>
        <v>7</v>
      </c>
      <c r="F50" s="264">
        <f>COUNTIFS(KYC调单!C:C,A17,KYC调单!E:E,"QBC")+COUNTIFS(单笔交易!C:C,A17,单笔交易!H:H,"QBC")+COUNTIFS(账户调查!C:C,A17,账户调查!F:F,"QBC")+COUNTIFS(Recall!C:C,A17,Recall!D:D,"QBC")+COUNTIFS(警方协查!C:C,A17,警方协查!E:E,"QBC")</f>
        <v>0</v>
      </c>
      <c r="G50" s="264">
        <f>COUNTIFS(KYC调单!C:C,A17,KYC调单!E:E,"Thunes")+COUNTIFS(单笔交易!C:C,A17,单笔交易!H:H,"Thunes")+COUNTIFS(账户调查!C:C,A17,账户调查!F:F,"Thunes")+COUNTIFS(Recall!C:C,A17,Recall!D:D,"Thunes")+COUNTIFS(警方协查!C:C,A17,警方协查!E:E,"Thunes")</f>
        <v>1</v>
      </c>
      <c r="H50" s="264">
        <f>COUNTIF(结汇!C:C,A17)</f>
        <v>2</v>
      </c>
      <c r="I50" s="264">
        <f>COUNTIFS(KYC调单!C:C,A17,KYC调单!E:E,"平安银行")+COUNTIFS(单笔交易!C:C,A17,单笔交易!H:H,"平安银行")+COUNTIFS(账户调查!C:C,A17,账户调查!F:F,"平安银行")+COUNTIFS(Recall!C:C,A17,Recall!D:D,"平安银行")+COUNTIFS(警方协查!C:C,A17,警方协查!E:E,"平安银行")</f>
        <v>2</v>
      </c>
      <c r="J50" s="264">
        <f>COUNTIFS(KYC调单!C:C,A17,KYC调单!E:E,"PING PONG")+COUNTIFS(单笔交易!C:C,A17,单笔交易!H:H,"PING PONG")+COUNTIFS(账户调查!C:C,A17,账户调查!F:F,"PING PONG")+COUNTIFS(Recall!C:C,A17,Recall!D:D,"PING PONG")+COUNTIFS(警方协查!C:C,A17,警方协查!E:E,"PING PONG")</f>
        <v>1</v>
      </c>
      <c r="K50" s="287">
        <f>COUNTIFS(单笔交易!C:C,A50,单笔交易!H:H,"SCB")+COUNTIFS(账户调查!C:C,A50,账户调查!F:F,"SCB")+COUNTIFS(Recall!C:C,A50,Recall!D:D,"SCB")</f>
        <v>10</v>
      </c>
      <c r="L50" s="261">
        <f>COUNTIFS(单笔交易!C:C,A50,单笔交易!H:H,"Baokim")+COUNTIFS(账户调查!C:C,A50,账户调查!F:F,"Baokim")</f>
        <v>1</v>
      </c>
      <c r="M50" s="261">
        <f>COUNTIFS(警方协查!C:C,A50,警方协查!E:E,"其他警方")+COUNTIFS(账户调查!C:C,A50,账户调查!F:F,"Payoneer")+COUNTIFS(账户调查!C:C,A50,账户调查!F:F,"DSGpay")+COUNTIFS(单笔交易!C:C,A50,单笔交易!H:H,"DSGpay")+COUNTIFS(单笔交易!C:C,A50,单笔交易!H:H,"Moolahgo")+COUNTIFS(账户调查!C:C,A50,账户调查!F:F,"Sentbe")+COUNTIFS(账户调查!C:C,A50,账户调查!F:F,"flutterwave")+COUNTIFS(单笔交易!C:C,A50,单笔交易!H:H,"Pyvio")+COUNTIFS(账户调查!C:C,A50,账户调查!F:F,"HPAY")</f>
        <v>4</v>
      </c>
      <c r="N50" s="266">
        <f>COUNTIFS(单笔交易!C:C,A50,单笔交易!H:H,"Nium")+COUNTIFS(账户调查!C:C,A50,账户调查!F:F,"Nium")+COUNTIFS(KYC调单!C:C,A17,KYC调单!E:E,"Nium")</f>
        <v>0</v>
      </c>
      <c r="O50" s="288">
        <f>COUNTIFS(警方协查!C:C,A50,警方协查!E:E,"OpenPayd")+COUNTIFS(单笔交易!C:C,A50,单笔交易!H:H,"OpenPayd")+COUNTIFS(账户调查!C:C,A50,账户调查!F:F,"OpenPayd")+COUNTIFS(Recall!C:C,A50,Recall!D:D,"OpenPayd")</f>
        <v>2</v>
      </c>
      <c r="P50" s="261">
        <f>COUNTIFS(KYC调单!C:C,A17,KYC调单!E:E,"IBC")+COUNTIFS(单笔交易!C:C,A17,单笔交易!H:H,"IBC")+COUNTIFS(账户调查!C:C,A17,账户调查!F:F,"IBC")</f>
        <v>3</v>
      </c>
      <c r="Q50" s="288">
        <f>COUNTIFS(KYC调单!C:C,A50,KYC调单!E:E,"TransferMate")+COUNTIFS(单笔交易!C:C,A50,单笔交易!H:H,"TransferMate")+COUNTIFS(账户调查!C:C,A50,账户调查!F:F,"TransferMate")</f>
        <v>3</v>
      </c>
      <c r="R50" s="261"/>
      <c r="S50" s="258">
        <f t="shared" si="4"/>
        <v>90</v>
      </c>
      <c r="T50" s="258" t="str">
        <f t="shared" si="5"/>
        <v>一致</v>
      </c>
    </row>
    <row r="51" ht="15.5" spans="1:20">
      <c r="A51" s="259" t="s">
        <v>29</v>
      </c>
      <c r="B51" s="264">
        <f>COUNTIFS(KYC调单!C:C,A18,KYC调单!E:E,"DBS")+COUNTIFS(单笔交易!C:C,A18,单笔交易!H:H,"DBS")+COUNTIFS(账户调查!C:C,A18,账户调查!F:F,"DBS")+COUNTIFS(Recall!C:C,A18,Recall!D:D,"DBS")+COUNTIFS(警方协查!C:C,A18,警方协查!E:E,"DBS")</f>
        <v>13</v>
      </c>
      <c r="C51" s="264">
        <f>COUNTIFS(KYC调单!C:C,A18,KYC调单!E:E,"Banking Circle")+COUNTIFS(单笔交易!C:C,A18,单笔交易!H:H,"Banking Circle")+COUNTIFS(账户调查!C:C,A18,账户调查!F:F,"Banking Circle")+COUNTIFS(Recall!C:C,A18,Recall!D:D,"Banking Circle")+COUNTIFS(警方协查!C:C,A18,警方协查!E:E,"Banking Circle")</f>
        <v>23</v>
      </c>
      <c r="D51" s="264">
        <f>COUNTIFS(KYC调单!C:C,A18,KYC调单!E:E,"M-DAQ")+COUNTIFS(单笔交易!C:C,A18,单笔交易!H:H,"M-DAQ")+COUNTIFS(账户调查!C:C,A18,账户调查!F:F,"M-DAQ")+COUNTIFS(Recall!C:C,A18,Recall!D:D,"M-DAQ")+COUNTIFS(警方协查!C:C,A18,警方协查!E:E,"M-DAQ")</f>
        <v>1</v>
      </c>
      <c r="E51" s="264">
        <f>COUNTIFS(KYC调单!C:C,A18,KYC调单!E:E,"GME")+COUNTIFS(单笔交易!C:C,A18,单笔交易!H:H,"GME")+COUNTIFS(账户调查!C:C,A18,账户调查!F:F,"GME")+COUNTIFS(Recall!C:C,A18,Recall!D:D,"GME")+COUNTIFS(警方协查!C:C,A18,警方协查!E:E,"GME")</f>
        <v>7</v>
      </c>
      <c r="F51" s="264">
        <f>COUNTIFS(KYC调单!C:C,A18,KYC调单!E:E,"QBC")+COUNTIFS(单笔交易!C:C,A18,单笔交易!H:H,"QBC")+COUNTIFS(账户调查!C:C,A18,账户调查!F:F,"QBC")+COUNTIFS(Recall!C:C,A18,Recall!D:D,"QBC")+COUNTIFS(警方协查!C:C,A18,警方协查!E:E,"QBC")</f>
        <v>0</v>
      </c>
      <c r="G51" s="264">
        <f>COUNTIFS(KYC调单!C:C,A18,KYC调单!E:E,"Thunes")+COUNTIFS(单笔交易!C:C,A18,单笔交易!H:H,"Thunes")+COUNTIFS(账户调查!C:C,A18,账户调查!F:F,"Thunes")+COUNTIFS(Recall!C:C,A18,Recall!D:D,"Thunes")+COUNTIFS(警方协查!C:C,A18,警方协查!E:E,"Thunes")</f>
        <v>24</v>
      </c>
      <c r="H51" s="264">
        <f>COUNTIF(结汇!C:C,A18)</f>
        <v>1</v>
      </c>
      <c r="I51" s="264">
        <f>COUNTIFS(KYC调单!C:C,A18,KYC调单!E:E,"平安银行")+COUNTIFS(单笔交易!C:C,A18,单笔交易!H:H,"平安银行")+COUNTIFS(账户调查!C:C,A18,账户调查!F:F,"平安银行")+COUNTIFS(Recall!C:C,A18,Recall!D:D,"平安银行")+COUNTIFS(警方协查!C:C,A18,警方协查!E:E,"平安银行")</f>
        <v>0</v>
      </c>
      <c r="J51" s="264">
        <f>COUNTIFS(KYC调单!C:C,A18,KYC调单!E:E,"PING PONG")+COUNTIFS(单笔交易!C:C,A18,单笔交易!H:H,"PING PONG")+COUNTIFS(账户调查!C:C,A18,账户调查!F:F,"PING PONG")+COUNTIFS(Recall!C:C,A18,Recall!D:D,"PING PONG")+COUNTIFS(警方协查!C:C,A18,警方协查!E:E,"PING PONG")</f>
        <v>1</v>
      </c>
      <c r="K51" s="287">
        <f>COUNTIFS(单笔交易!C:C,A51,单笔交易!H:H,"SCB")+COUNTIFS(账户调查!C:C,A51,账户调查!F:F,"SCB")+COUNTIFS(Recall!C:C,A51,Recall!D:D,"SCB")</f>
        <v>14</v>
      </c>
      <c r="L51" s="261">
        <f>COUNTIFS(单笔交易!C:C,A51,单笔交易!H:H,"Baokim")+COUNTIFS(账户调查!C:C,A51,账户调查!F:F,"Baokim")</f>
        <v>0</v>
      </c>
      <c r="M51" s="261">
        <f>COUNTIFS(警方协查!C:C,A51,警方协查!E:E,"其他警方")+COUNTIFS(账户调查!C:C,A51,账户调查!F:F,"Payoneer")+COUNTIFS(账户调查!C:C,A51,账户调查!F:F,"DSGpay")+COUNTIFS(单笔交易!C:C,A51,单笔交易!H:H,"DSGpay")+COUNTIFS(单笔交易!C:C,A51,单笔交易!H:H,"Moolahgo")+COUNTIFS(账户调查!C:C,A51,账户调查!F:F,"Sentbe")+COUNTIFS(账户调查!C:C,A51,账户调查!F:F,"flutterwave")+COUNTIFS(单笔交易!C:C,A51,单笔交易!H:H,"Pyvio")+COUNTIFS(账户调查!C:C,A51,账户调查!F:F,"HPAY")</f>
        <v>6</v>
      </c>
      <c r="N51" s="266">
        <f>COUNTIFS(单笔交易!C:C,A51,单笔交易!H:H,"Nium")+COUNTIFS(账户调查!C:C,A51,账户调查!F:F,"Nium")+COUNTIFS(KYC调单!C:C,A18,KYC调单!E:E,"Nium")</f>
        <v>2</v>
      </c>
      <c r="O51" s="288">
        <f>COUNTIFS(警方协查!C:C,A51,警方协查!E:E,"OpenPayd")+COUNTIFS(单笔交易!C:C,A51,单笔交易!H:H,"OpenPayd")+COUNTIFS(账户调查!C:C,A51,账户调查!F:F,"OpenPayd")+COUNTIFS(Recall!C:C,A51,Recall!D:D,"OpenPayd")</f>
        <v>0</v>
      </c>
      <c r="P51" s="261">
        <f>COUNTIFS(KYC调单!C:C,A18,KYC调单!E:E,"IBC")+COUNTIFS(单笔交易!C:C,A18,单笔交易!H:H,"IBC")+COUNTIFS(账户调查!C:C,A18,账户调查!F:F,"IBC")</f>
        <v>5</v>
      </c>
      <c r="Q51" s="288">
        <f>COUNTIFS(KYC调单!C:C,A51,KYC调单!E:E,"TransferMate")+COUNTIFS(单笔交易!C:C,A51,单笔交易!H:H,"TransferMate")+COUNTIFS(账户调查!C:C,A51,账户调查!F:F,"TransferMate")</f>
        <v>4</v>
      </c>
      <c r="R51" s="261"/>
      <c r="S51" s="258">
        <f t="shared" si="4"/>
        <v>101</v>
      </c>
      <c r="T51" s="258" t="e">
        <f t="shared" si="5"/>
        <v>#N/A</v>
      </c>
    </row>
    <row r="52" ht="15.5" spans="1:20">
      <c r="A52" s="259" t="s">
        <v>30</v>
      </c>
      <c r="B52" s="264">
        <f>COUNTIFS(KYC调单!C:C,A19,KYC调单!E:E,"DBS")+COUNTIFS(单笔交易!C:C,A19,单笔交易!H:H,"DBS")+COUNTIFS(账户调查!C:C,A19,账户调查!F:F,"DBS")+COUNTIFS(Recall!C:C,A19,Recall!D:D,"DBS")+COUNTIFS(警方协查!C:C,A19,警方协查!E:E,"DBS")</f>
        <v>16</v>
      </c>
      <c r="C52" s="264">
        <f>COUNTIFS(KYC调单!C:C,A19,KYC调单!E:E,"Banking Circle")+COUNTIFS(单笔交易!C:C,A19,单笔交易!H:H,"Banking Circle")+COUNTIFS(账户调查!C:C,A19,账户调查!F:F,"Banking Circle")+COUNTIFS(Recall!C:C,A19,Recall!D:D,"Banking Circle")+COUNTIFS(警方协查!C:C,A19,警方协查!E:E,"Banking Circle")</f>
        <v>45</v>
      </c>
      <c r="D52" s="264">
        <f>COUNTIFS(KYC调单!C:C,A19,KYC调单!E:E,"M-DAQ")+COUNTIFS(单笔交易!C:C,A19,单笔交易!H:H,"M-DAQ")+COUNTIFS(账户调查!C:C,A19,账户调查!F:F,"M-DAQ")+COUNTIFS(Recall!C:C,A19,Recall!D:D,"M-DAQ")+COUNTIFS(警方协查!C:C,A19,警方协查!E:E,"M-DAQ")</f>
        <v>0</v>
      </c>
      <c r="E52" s="264">
        <f>COUNTIFS(KYC调单!C:C,A19,KYC调单!E:E,"GME")+COUNTIFS(单笔交易!C:C,A19,单笔交易!H:H,"GME")+COUNTIFS(账户调查!C:C,A19,账户调查!F:F,"GME")+COUNTIFS(Recall!C:C,A19,Recall!D:D,"GME")+COUNTIFS(警方协查!C:C,A19,警方协查!E:E,"GME")</f>
        <v>9</v>
      </c>
      <c r="F52" s="264">
        <f>COUNTIFS(KYC调单!C:C,A19,KYC调单!E:E,"QBC")+COUNTIFS(单笔交易!C:C,A19,单笔交易!H:H,"QBC")+COUNTIFS(账户调查!C:C,A19,账户调查!F:F,"QBC")+COUNTIFS(Recall!C:C,A19,Recall!D:D,"QBC")+COUNTIFS(警方协查!C:C,A19,警方协查!E:E,"QBC")</f>
        <v>1</v>
      </c>
      <c r="G52" s="264">
        <f>COUNTIFS(KYC调单!C:C,A19,KYC调单!E:E,"Thunes")+COUNTIFS(单笔交易!C:C,A19,单笔交易!H:H,"Thunes")+COUNTIFS(账户调查!C:C,A19,账户调查!F:F,"Thunes")+COUNTIFS(Recall!C:C,A19,Recall!D:D,"Thunes")+COUNTIFS(警方协查!C:C,A19,警方协查!E:E,"Thunes")</f>
        <v>4</v>
      </c>
      <c r="H52" s="264">
        <f>COUNTIF(结汇!C:C,A19)</f>
        <v>2</v>
      </c>
      <c r="I52" s="264">
        <f>COUNTIFS(KYC调单!C:C,A19,KYC调单!E:E,"平安银行")+COUNTIFS(单笔交易!C:C,A19,单笔交易!H:H,"平安银行")+COUNTIFS(账户调查!C:C,A19,账户调查!F:F,"平安银行")+COUNTIFS(Recall!C:C,A19,Recall!D:D,"平安银行")+COUNTIFS(警方协查!C:C,A19,警方协查!E:E,"平安银行")</f>
        <v>2</v>
      </c>
      <c r="J52" s="264">
        <f>COUNTIFS(KYC调单!C:C,A19,KYC调单!E:E,"PING PONG")+COUNTIFS(单笔交易!C:C,A19,单笔交易!H:H,"PING PONG")+COUNTIFS(账户调查!C:C,A19,账户调查!F:F,"PING PONG")+COUNTIFS(Recall!C:C,A19,Recall!D:D,"PING PONG")+COUNTIFS(警方协查!C:C,A19,警方协查!E:E,"PING PONG")</f>
        <v>1</v>
      </c>
      <c r="K52" s="287">
        <f>COUNTIFS(单笔交易!C:C,A52,单笔交易!H:H,"SCB")+COUNTIFS(账户调查!C:C,A52,账户调查!F:F,"SCB")+COUNTIFS(Recall!C:C,A52,Recall!D:D,"SCB")</f>
        <v>28</v>
      </c>
      <c r="L52" s="261">
        <f>COUNTIFS(单笔交易!C:C,A52,单笔交易!H:H,"Baokim")+COUNTIFS(账户调查!C:C,A52,账户调查!F:F,"Baokim")</f>
        <v>0</v>
      </c>
      <c r="M52" s="261">
        <f>COUNTIFS(警方协查!C:C,A52,警方协查!E:E,"其他警方")+COUNTIFS(账户调查!C:C,A52,账户调查!F:F,"Payoneer")+COUNTIFS(账户调查!C:C,A52,账户调查!F:F,"DSGpay")+COUNTIFS(单笔交易!C:C,A52,单笔交易!H:H,"DSGpay")+COUNTIFS(单笔交易!C:C,A52,单笔交易!H:H,"Moolahgo")+COUNTIFS(账户调查!C:C,A52,账户调查!F:F,"Sentbe")+COUNTIFS(账户调查!C:C,A52,账户调查!F:F,"flutterwave")+COUNTIFS(单笔交易!C:C,A52,单笔交易!H:H,"Pyvio")+COUNTIFS(账户调查!C:C,A52,账户调查!F:F,"HPAY")</f>
        <v>6</v>
      </c>
      <c r="N52" s="266">
        <f>COUNTIFS(单笔交易!C:C,A52,单笔交易!H:H,"Nium")+COUNTIFS(账户调查!C:C,A52,账户调查!F:F,"Nium")+COUNTIFS(KYC调单!C:C,A19,KYC调单!E:E,"Nium")</f>
        <v>1</v>
      </c>
      <c r="O52" s="288">
        <f>COUNTIFS(警方协查!C:C,A52,警方协查!E:E,"OpenPayd")+COUNTIFS(单笔交易!C:C,A52,单笔交易!H:H,"OpenPayd")+COUNTIFS(账户调查!C:C,A52,账户调查!F:F,"OpenPayd")+COUNTIFS(Recall!C:C,A52,Recall!D:D,"OpenPayd")</f>
        <v>7</v>
      </c>
      <c r="P52" s="261">
        <f>COUNTIFS(KYC调单!C:C,A19,KYC调单!E:E,"IBC")+COUNTIFS(单笔交易!C:C,A19,单笔交易!H:H,"IBC")+COUNTIFS(账户调查!C:C,A19,账户调查!F:F,"IBC")</f>
        <v>8</v>
      </c>
      <c r="Q52" s="288">
        <f>COUNTIFS(KYC调单!C:C,A52,KYC调单!E:E,"TransferMate")+COUNTIFS(单笔交易!C:C,A52,单笔交易!H:H,"TransferMate")+COUNTIFS(账户调查!C:C,A52,账户调查!F:F,"TransferMate")</f>
        <v>6</v>
      </c>
      <c r="R52" s="261"/>
      <c r="S52" s="258">
        <f t="shared" si="4"/>
        <v>136</v>
      </c>
      <c r="T52" s="258" t="e">
        <f t="shared" si="5"/>
        <v>#N/A</v>
      </c>
    </row>
    <row r="53" ht="15.5" spans="1:20">
      <c r="A53" s="275" t="s">
        <v>31</v>
      </c>
      <c r="B53" s="276">
        <f>COUNTIFS(KYC调单!C:C,A20,KYC调单!E:E,"DBS")+COUNTIFS(单笔交易!C:C,A20,单笔交易!H:H,"DBS")+COUNTIFS(账户调查!C:C,A20,账户调查!F:F,"DBS")+COUNTIFS(Recall!C:C,A20,Recall!D:D,"DBS")+COUNTIFS(警方协查!C:C,A20,警方协查!E:E,"DBS")</f>
        <v>23</v>
      </c>
      <c r="C53" s="276">
        <f>COUNTIFS(KYC调单!C:C,A20,KYC调单!E:E,"Banking Circle")+COUNTIFS(单笔交易!C:C,A20,单笔交易!H:H,"Banking Circle")+COUNTIFS(账户调查!C:C,A20,账户调查!F:F,"Banking Circle")+COUNTIFS(Recall!C:C,A20,Recall!D:D,"Banking Circle")+COUNTIFS(警方协查!C:C,A20,警方协查!E:E,"Banking Circle")</f>
        <v>21</v>
      </c>
      <c r="D53" s="276">
        <f>COUNTIFS(KYC调单!C:C,A20,KYC调单!E:E,"M-DAQ")+COUNTIFS(单笔交易!C:C,A20,单笔交易!H:H,"M-DAQ")+COUNTIFS(账户调查!C:C,A20,账户调查!F:F,"M-DAQ")+COUNTIFS(Recall!C:C,A20,Recall!D:D,"M-DAQ")+COUNTIFS(警方协查!C:C,A20,警方协查!E:E,"M-DAQ")</f>
        <v>0</v>
      </c>
      <c r="E53" s="276">
        <f>COUNTIFS(KYC调单!C:C,A20,KYC调单!E:E,"GME")+COUNTIFS(单笔交易!C:C,A20,单笔交易!H:H,"GME")+COUNTIFS(账户调查!C:C,A20,账户调查!F:F,"GME")+COUNTIFS(Recall!C:C,A20,Recall!D:D,"GME")+COUNTIFS(警方协查!C:C,A20,警方协查!E:E,"GME")</f>
        <v>11</v>
      </c>
      <c r="F53" s="276">
        <f>COUNTIFS(KYC调单!C:C,A20,KYC调单!E:E,"QBC")+COUNTIFS(单笔交易!C:C,A20,单笔交易!H:H,"QBC")+COUNTIFS(账户调查!C:C,A20,账户调查!F:F,"QBC")+COUNTIFS(Recall!C:C,A20,Recall!D:D,"QBC")+COUNTIFS(警方协查!C:C,A20,警方协查!E:E,"QBC")</f>
        <v>0</v>
      </c>
      <c r="G53" s="276">
        <f>COUNTIFS(KYC调单!C:C,A20,KYC调单!E:E,"Thunes")+COUNTIFS(单笔交易!C:C,A20,单笔交易!H:H,"Thunes")+COUNTIFS(账户调查!C:C,A20,账户调查!F:F,"Thunes")+COUNTIFS(Recall!C:C,A20,Recall!D:D,"Thunes")+COUNTIFS(警方协查!C:C,A20,警方协查!E:E,"Thunes")</f>
        <v>6</v>
      </c>
      <c r="H53" s="276">
        <f>COUNTIF(结汇!C:C,A20)</f>
        <v>2</v>
      </c>
      <c r="I53" s="276">
        <f>COUNTIFS(KYC调单!C:C,A20,KYC调单!E:E,"平安银行")+COUNTIFS(单笔交易!C:C,A20,单笔交易!H:H,"平安银行")+COUNTIFS(账户调查!C:C,A20,账户调查!F:F,"平安银行")+COUNTIFS(Recall!C:C,A20,Recall!D:D,"平安银行")+COUNTIFS(警方协查!C:C,A20,警方协查!E:E,"平安银行")</f>
        <v>1</v>
      </c>
      <c r="J53" s="276">
        <f>COUNTIFS(KYC调单!C:C,A20,KYC调单!E:E,"PING PONG")+COUNTIFS(单笔交易!C:C,A20,单笔交易!H:H,"PING PONG")+COUNTIFS(账户调查!C:C,A20,账户调查!F:F,"PING PONG")+COUNTIFS(Recall!C:C,A20,Recall!D:D,"PING PONG")+COUNTIFS(警方协查!C:C,A20,警方协查!E:E,"PING PONG")</f>
        <v>0</v>
      </c>
      <c r="K53" s="287">
        <f>COUNTIFS(单笔交易!C:C,A53,单笔交易!H:H,"SCB")+COUNTIFS(账户调查!C:C,A53,账户调查!F:F,"SCB")+COUNTIFS(Recall!C:C,A53,Recall!D:D,"SCB")</f>
        <v>10</v>
      </c>
      <c r="L53" s="289">
        <f>COUNTIFS(单笔交易!C:C,A53,单笔交易!H:H,"Baokim")+COUNTIFS(账户调查!C:C,A53,账户调查!F:F,"Baokim")</f>
        <v>0</v>
      </c>
      <c r="M53" s="261">
        <f>COUNTIFS(警方协查!C:C,A53,警方协查!E:E,"其他警方")+COUNTIFS(账户调查!C:C,A53,账户调查!F:F,"Payoneer")+COUNTIFS(账户调查!C:C,A53,账户调查!F:F,"DSGpay")+COUNTIFS(单笔交易!C:C,A53,单笔交易!H:H,"DSGpay")+COUNTIFS(单笔交易!C:C,A53,单笔交易!H:H,"Moolahgo")+COUNTIFS(账户调查!C:C,A53,账户调查!F:F,"Sentbe")+COUNTIFS(账户调查!C:C,A53,账户调查!F:F,"flutterwave")+COUNTIFS(单笔交易!C:C,A53,单笔交易!H:H,"Pyvio")+COUNTIFS(账户调查!C:C,A53,账户调查!F:F,"HPAY")</f>
        <v>6</v>
      </c>
      <c r="N53" s="290">
        <f>COUNTIFS(单笔交易!C:C,A53,单笔交易!H:H,"Nium")+COUNTIFS(账户调查!C:C,A53,账户调查!F:F,"Nium")</f>
        <v>1</v>
      </c>
      <c r="O53" s="291">
        <f>COUNTIFS(警方协查!C:C,A53,警方协查!E:E,"OpenPayd")+COUNTIFS(单笔交易!C:C,A53,单笔交易!H:H,"OpenPayd")+COUNTIFS(账户调查!C:C,A53,账户调查!F:F,"OpenPayd")+COUNTIFS(Recall!C:C,A53,Recall!D:D,"OpenPayd")</f>
        <v>20</v>
      </c>
      <c r="P53" s="289">
        <f>COUNTIFS(KYC调单!C:C,A20,KYC调单!E:E,"IBC")+COUNTIFS(单笔交易!C:C,A20,单笔交易!H:H,"IBC")+COUNTIFS(账户调查!C:C,A20,账户调查!F:F,"IBC")</f>
        <v>3</v>
      </c>
      <c r="Q53" s="288">
        <f>COUNTIFS(KYC调单!C:C,A53,KYC调单!E:E,"TransferMate")+COUNTIFS(单笔交易!C:C,A53,单笔交易!H:H,"TransferMate")+COUNTIFS(账户调查!C:C,A53,账户调查!F:F,"TransferMate")</f>
        <v>2</v>
      </c>
      <c r="R53" s="289"/>
      <c r="S53" s="258">
        <f t="shared" si="4"/>
        <v>106</v>
      </c>
      <c r="T53" s="258" t="str">
        <f t="shared" si="5"/>
        <v>一致</v>
      </c>
    </row>
    <row r="54" ht="15.5" spans="1:20">
      <c r="A54" s="259" t="s">
        <v>32</v>
      </c>
      <c r="B54" s="264">
        <f>COUNTIFS(KYC调单!C:C,A21,KYC调单!E:E,"DBS")+COUNTIFS(单笔交易!C:C,A21,单笔交易!H:H,"DBS")+COUNTIFS(账户调查!C:C,A21,账户调查!F:F,"DBS")+COUNTIFS(Recall!C:C,A21,Recall!D:D,"DBS")+COUNTIFS(警方协查!C:C,A21,警方协查!E:E,"DBS")</f>
        <v>3</v>
      </c>
      <c r="C54" s="264">
        <f>COUNTIFS(KYC调单!C:C,A21,KYC调单!E:E,"Banking Circle")+COUNTIFS(单笔交易!C:C,A21,单笔交易!H:H,"Banking Circle")+COUNTIFS(账户调查!C:C,A21,账户调查!F:F,"Banking Circle")+COUNTIFS(Recall!C:C,A21,Recall!D:D,"Banking Circle")+COUNTIFS(警方协查!C:C,A21,警方协查!E:E,"Banking Circle")</f>
        <v>1</v>
      </c>
      <c r="D54" s="264">
        <f>COUNTIFS(KYC调单!C:C,A21,KYC调单!E:E,"M-DAQ")+COUNTIFS(单笔交易!C:C,A21,单笔交易!H:H,"M-DAQ")+COUNTIFS(账户调查!C:C,A21,账户调查!F:F,"M-DAQ")+COUNTIFS(Recall!C:C,A21,Recall!D:D,"M-DAQ")+COUNTIFS(警方协查!C:C,A21,警方协查!E:E,"M-DAQ")</f>
        <v>0</v>
      </c>
      <c r="E54" s="264">
        <f>COUNTIFS(KYC调单!C:C,A21,KYC调单!E:E,"GME")+COUNTIFS(单笔交易!C:C,A21,单笔交易!H:H,"GME")+COUNTIFS(账户调查!C:C,A21,账户调查!F:F,"GME")+COUNTIFS(Recall!C:C,A21,Recall!D:D,"GME")+COUNTIFS(警方协查!C:C,A21,警方协查!E:E,"GME")</f>
        <v>2</v>
      </c>
      <c r="F54" s="264">
        <f>COUNTIFS(KYC调单!C:C,A21,KYC调单!E:E,"QBC")+COUNTIFS(单笔交易!C:C,A21,单笔交易!H:H,"QBC")+COUNTIFS(账户调查!C:C,A21,账户调查!F:F,"QBC")+COUNTIFS(Recall!C:C,A21,Recall!D:D,"QBC")+COUNTIFS(警方协查!C:C,A21,警方协查!E:E,"QBC")</f>
        <v>0</v>
      </c>
      <c r="G54" s="264">
        <f>COUNTIFS(KYC调单!C:C,A21,KYC调单!E:E,"Thunes")+COUNTIFS(单笔交易!C:C,A21,单笔交易!H:H,"Thunes")+COUNTIFS(账户调查!C:C,A21,账户调查!F:F,"Thunes")+COUNTIFS(Recall!C:C,A21,Recall!D:D,"Thunes")+COUNTIFS(警方协查!C:C,A21,警方协查!E:E,"Thunes")</f>
        <v>0</v>
      </c>
      <c r="H54" s="264">
        <f>COUNTIF(结汇!C:C,A21)</f>
        <v>0</v>
      </c>
      <c r="I54" s="264">
        <f>COUNTIFS(KYC调单!C:C,A21,KYC调单!E:E,"平安银行")+COUNTIFS(单笔交易!C:C,A21,单笔交易!H:H,"平安银行")+COUNTIFS(账户调查!C:C,A21,账户调查!F:F,"平安银行")+COUNTIFS(Recall!C:C,A21,Recall!D:D,"平安银行")+COUNTIFS(警方协查!C:C,A21,警方协查!E:E,"平安银行")</f>
        <v>0</v>
      </c>
      <c r="J54" s="264">
        <f>COUNTIFS(KYC调单!C:C,A21,KYC调单!E:E,"PING PONG")+COUNTIFS(单笔交易!C:C,A21,单笔交易!H:H,"PING PONG")+COUNTIFS(账户调查!C:C,A21,账户调查!F:F,"PING PONG")+COUNTIFS(Recall!C:C,A21,Recall!D:D,"PING PONG")+COUNTIFS(警方协查!C:C,A21,警方协查!E:E,"PING PONG")</f>
        <v>0</v>
      </c>
      <c r="K54" s="287">
        <f>COUNTIFS(单笔交易!C:C,A54,单笔交易!H:H,"SCB")+COUNTIFS(账户调查!C:C,A54,账户调查!F:F,"SCB")+COUNTIFS(Recall!C:C,A54,Recall!D:D,"SCB")</f>
        <v>1</v>
      </c>
      <c r="L54" s="261">
        <f>COUNTIFS(单笔交易!C:C,A54,单笔交易!H:H,"Baokim")+COUNTIFS(账户调查!C:C,A54,账户调查!F:F,"Baokim")</f>
        <v>0</v>
      </c>
      <c r="M54" s="261">
        <f>COUNTIFS(警方协查!C:C,A54,警方协查!E:E,"其他警方")+COUNTIFS(账户调查!C:C,A54,账户调查!F:F,"Payoneer")+COUNTIFS(账户调查!C:C,A54,账户调查!F:F,"DSGpay")+COUNTIFS(单笔交易!C:C,A54,单笔交易!H:H,"DSGpay")+COUNTIFS(单笔交易!C:C,A54,单笔交易!H:H,"Moolahgo")+COUNTIFS(账户调查!C:C,A54,账户调查!F:F,"Sentbe")+COUNTIFS(账户调查!C:C,A54,账户调查!F:F,"flutterwave")+COUNTIFS(单笔交易!C:C,A54,单笔交易!H:H,"Pyvio")+COUNTIFS(账户调查!C:C,A54,账户调查!F:F,"HPAY")</f>
        <v>0</v>
      </c>
      <c r="N54" s="266">
        <f>COUNTIFS(单笔交易!C:C,A54,单笔交易!H:H,"Nium")+COUNTIFS(账户调查!C:C,A54,账户调查!F:F,"Nium")</f>
        <v>0</v>
      </c>
      <c r="O54" s="288">
        <f>COUNTIFS(警方协查!C:C,A54,警方协查!E:E,"OpenPayd")+COUNTIFS(单笔交易!C:C,A54,单笔交易!H:H,"OpenPayd")+COUNTIFS(账户调查!C:C,A54,账户调查!F:F,"OpenPayd")+COUNTIFS(Recall!C:C,A54,Recall!D:D,"OpenPayd")</f>
        <v>1</v>
      </c>
      <c r="P54" s="261">
        <f>COUNTIFS(KYC调单!C:C,A21,KYC调单!E:E,"IBC")+COUNTIFS(单笔交易!C:C,A21,单笔交易!H:H,"IBC")+COUNTIFS(账户调查!C:C,A21,账户调查!F:F,"IBC")</f>
        <v>0</v>
      </c>
      <c r="Q54" s="288">
        <f>COUNTIFS(KYC调单!C:C,A54,KYC调单!E:E,"TransferMate")+COUNTIFS(单笔交易!C:C,A54,单笔交易!H:H,"TransferMate")+COUNTIFS(账户调查!C:C,A54,账户调查!F:F,"TransferMate")</f>
        <v>0</v>
      </c>
      <c r="R54" s="255"/>
      <c r="S54" s="258">
        <f t="shared" si="4"/>
        <v>8</v>
      </c>
      <c r="T54" s="258" t="e">
        <f t="shared" si="5"/>
        <v>#N/A</v>
      </c>
    </row>
    <row r="55" ht="15.5" spans="1:20">
      <c r="A55" s="259" t="s">
        <v>33</v>
      </c>
      <c r="B55" s="264">
        <f>COUNTIFS(KYC调单!C:C,A22,KYC调单!E:E,"DBS")+COUNTIFS(单笔交易!C:C,A22,单笔交易!H:H,"DBS")+COUNTIFS(账户调查!C:C,A22,账户调查!F:F,"DBS")+COUNTIFS(Recall!C:C,A22,Recall!D:D,"DBS")+COUNTIFS(警方协查!C:C,A22,警方协查!E:E,"DBS")</f>
        <v>0</v>
      </c>
      <c r="C55" s="264">
        <f>COUNTIFS(KYC调单!C:C,A22,KYC调单!E:E,"Banking Circle")+COUNTIFS(单笔交易!C:C,A22,单笔交易!H:H,"Banking Circle")+COUNTIFS(账户调查!C:C,A22,账户调查!F:F,"Banking Circle")+COUNTIFS(Recall!C:C,A22,Recall!D:D,"Banking Circle")+COUNTIFS(警方协查!C:C,A22,警方协查!E:E,"Banking Circle")</f>
        <v>0</v>
      </c>
      <c r="D55" s="264">
        <f>COUNTIFS(KYC调单!C:C,A22,KYC调单!E:E,"M-DAQ")+COUNTIFS(单笔交易!C:C,A22,单笔交易!H:H,"M-DAQ")+COUNTIFS(账户调查!C:C,A22,账户调查!F:F,"M-DAQ")+COUNTIFS(Recall!C:C,A22,Recall!D:D,"M-DAQ")+COUNTIFS(警方协查!C:C,A22,警方协查!E:E,"M-DAQ")</f>
        <v>0</v>
      </c>
      <c r="E55" s="264">
        <f>COUNTIFS(KYC调单!C:C,A22,KYC调单!E:E,"GME")+COUNTIFS(单笔交易!C:C,A22,单笔交易!H:H,"GME")+COUNTIFS(账户调查!C:C,A22,账户调查!F:F,"GME")+COUNTIFS(Recall!C:C,A22,Recall!D:D,"GME")+COUNTIFS(警方协查!C:C,A22,警方协查!E:E,"GME")</f>
        <v>0</v>
      </c>
      <c r="F55" s="264">
        <f>COUNTIFS(KYC调单!C:C,A22,KYC调单!E:E,"QBC")+COUNTIFS(单笔交易!C:C,A22,单笔交易!H:H,"QBC")+COUNTIFS(账户调查!C:C,A22,账户调查!F:F,"QBC")+COUNTIFS(Recall!C:C,A22,Recall!D:D,"QBC")+COUNTIFS(警方协查!C:C,A22,警方协查!E:E,"QBC")</f>
        <v>0</v>
      </c>
      <c r="G55" s="264">
        <f>COUNTIFS(KYC调单!C:C,A22,KYC调单!E:E,"Thunes")+COUNTIFS(单笔交易!C:C,A22,单笔交易!H:H,"Thunes")+COUNTIFS(账户调查!C:C,A22,账户调查!F:F,"Thunes")+COUNTIFS(Recall!C:C,A22,Recall!D:D,"Thunes")+COUNTIFS(警方协查!C:C,A22,警方协查!E:E,"Thunes")</f>
        <v>0</v>
      </c>
      <c r="H55" s="264">
        <f>COUNTIF(结汇!C:C,A22)</f>
        <v>0</v>
      </c>
      <c r="I55" s="264">
        <f>COUNTIFS(KYC调单!C:C,A22,KYC调单!E:E,"平安银行")+COUNTIFS(单笔交易!C:C,A22,单笔交易!H:H,"平安银行")+COUNTIFS(账户调查!C:C,A22,账户调查!F:F,"平安银行")+COUNTIFS(Recall!C:C,A22,Recall!D:D,"平安银行")+COUNTIFS(警方协查!C:C,A22,警方协查!E:E,"平安银行")</f>
        <v>0</v>
      </c>
      <c r="J55" s="264">
        <f>COUNTIFS(KYC调单!C:C,A22,KYC调单!E:E,"PING PONG")+COUNTIFS(单笔交易!C:C,A22,单笔交易!H:H,"PING PONG")+COUNTIFS(账户调查!C:C,A22,账户调查!F:F,"PING PONG")+COUNTIFS(Recall!C:C,A22,Recall!D:D,"PING PONG")+COUNTIFS(警方协查!C:C,A22,警方协查!E:E,"PING PONG")</f>
        <v>0</v>
      </c>
      <c r="K55" s="287">
        <f>COUNTIFS(单笔交易!C:C,A55,单笔交易!H:H,"SCB")+COUNTIFS(账户调查!C:C,A55,账户调查!F:F,"SCB")+COUNTIFS(Recall!C:C,A55,Recall!D:D,"SCB")</f>
        <v>0</v>
      </c>
      <c r="L55" s="261">
        <f>COUNTIFS(单笔交易!C:C,A55,单笔交易!H:H,"Baokim")+COUNTIFS(账户调查!C:C,A55,账户调查!F:F,"Baokim")</f>
        <v>0</v>
      </c>
      <c r="M55" s="261">
        <f>COUNTIFS(警方协查!C:C,A55,警方协查!E:E,"其他警方")+COUNTIFS(账户调查!C:C,A55,账户调查!F:F,"Payoneer")+COUNTIFS(账户调查!C:C,A55,账户调查!F:F,"DSGpay")+COUNTIFS(单笔交易!C:C,A55,单笔交易!H:H,"DSGpay")+COUNTIFS(单笔交易!C:C,A55,单笔交易!H:H,"Moolahgo")+COUNTIFS(账户调查!C:C,A55,账户调查!F:F,"Sentbe")+COUNTIFS(账户调查!C:C,A55,账户调查!F:F,"flutterwave")+COUNTIFS(单笔交易!C:C,A55,单笔交易!H:H,"Pyvio")+COUNTIFS(账户调查!C:C,A55,账户调查!F:F,"HPAY")</f>
        <v>0</v>
      </c>
      <c r="N55" s="266">
        <f>COUNTIFS(单笔交易!C:C,A55,单笔交易!H:H,"Nium")+COUNTIFS(账户调查!C:C,A55,账户调查!F:F,"Nium")</f>
        <v>0</v>
      </c>
      <c r="O55" s="288">
        <f>COUNTIFS(警方协查!C:C,A55,警方协查!E:E,"OpenPayd")+COUNTIFS(单笔交易!C:C,A55,单笔交易!H:H,"OpenPayd")+COUNTIFS(账户调查!C:C,A55,账户调查!F:F,"OpenPayd")+COUNTIFS(Recall!C:C,A55,Recall!D:D,"OpenPayd")</f>
        <v>0</v>
      </c>
      <c r="P55" s="261">
        <f>COUNTIFS(KYC调单!C:C,A22,KYC调单!E:E,"IBC")+COUNTIFS(单笔交易!C:C,A22,单笔交易!H:H,"IBC")+COUNTIFS(账户调查!C:C,A22,账户调查!F:F,"IBC")</f>
        <v>0</v>
      </c>
      <c r="Q55" s="288">
        <f>COUNTIFS(KYC调单!C:C,A55,KYC调单!E:E,"TransferMate")+COUNTIFS(单笔交易!C:C,A55,单笔交易!H:H,"TransferMate")+COUNTIFS(账户调查!C:C,A55,账户调查!F:F,"TransferMate")</f>
        <v>0</v>
      </c>
      <c r="R55" s="255"/>
      <c r="S55" s="258">
        <f t="shared" si="4"/>
        <v>0</v>
      </c>
      <c r="T55" s="258" t="str">
        <f t="shared" si="5"/>
        <v>一致</v>
      </c>
    </row>
    <row r="56" ht="15.5" spans="1:20">
      <c r="A56" s="259" t="s">
        <v>34</v>
      </c>
      <c r="B56" s="264">
        <f>COUNTIFS(KYC调单!C:C,A23,KYC调单!E:E,"DBS")+COUNTIFS(单笔交易!C:C,A23,单笔交易!H:H,"DBS")+COUNTIFS(账户调查!C:C,A23,账户调查!F:F,"DBS")+COUNTIFS(Recall!C:C,A23,Recall!D:D,"DBS")+COUNTIFS(警方协查!C:C,A23,警方协查!E:E,"DBS")</f>
        <v>0</v>
      </c>
      <c r="C56" s="264">
        <f>COUNTIFS(KYC调单!C:C,A23,KYC调单!E:E,"Banking Circle")+COUNTIFS(单笔交易!C:C,A23,单笔交易!H:H,"Banking Circle")+COUNTIFS(账户调查!C:C,A23,账户调查!F:F,"Banking Circle")+COUNTIFS(Recall!C:C,A23,Recall!D:D,"Banking Circle")+COUNTIFS(警方协查!C:C,A23,警方协查!E:E,"Banking Circle")</f>
        <v>0</v>
      </c>
      <c r="D56" s="264">
        <f>COUNTIFS(KYC调单!C:C,A23,KYC调单!E:E,"M-DAQ")+COUNTIFS(单笔交易!C:C,A23,单笔交易!H:H,"M-DAQ")+COUNTIFS(账户调查!C:C,A23,账户调查!F:F,"M-DAQ")+COUNTIFS(Recall!C:C,A23,Recall!D:D,"M-DAQ")+COUNTIFS(警方协查!C:C,A23,警方协查!E:E,"M-DAQ")</f>
        <v>0</v>
      </c>
      <c r="E56" s="264">
        <f>COUNTIFS(KYC调单!C:C,A23,KYC调单!E:E,"GME")+COUNTIFS(单笔交易!C:C,A23,单笔交易!H:H,"GME")+COUNTIFS(账户调查!C:C,A23,账户调查!F:F,"GME")+COUNTIFS(Recall!C:C,A23,Recall!D:D,"GME")+COUNTIFS(警方协查!C:C,A23,警方协查!E:E,"GME")</f>
        <v>0</v>
      </c>
      <c r="F56" s="264">
        <f>COUNTIFS(KYC调单!C:C,A23,KYC调单!E:E,"QBC")+COUNTIFS(单笔交易!C:C,A23,单笔交易!H:H,"QBC")+COUNTIFS(账户调查!C:C,A23,账户调查!F:F,"QBC")+COUNTIFS(Recall!C:C,A23,Recall!D:D,"QBC")+COUNTIFS(警方协查!C:C,A23,警方协查!E:E,"QBC")</f>
        <v>0</v>
      </c>
      <c r="G56" s="264">
        <f>COUNTIFS(KYC调单!C:C,A23,KYC调单!E:E,"Thunes")+COUNTIFS(单笔交易!C:C,A23,单笔交易!H:H,"Thunes")+COUNTIFS(账户调查!C:C,A23,账户调查!F:F,"Thunes")+COUNTIFS(Recall!C:C,A23,Recall!D:D,"Thunes")+COUNTIFS(警方协查!C:C,A23,警方协查!E:E,"Thunes")</f>
        <v>0</v>
      </c>
      <c r="H56" s="264">
        <f>COUNTIF(结汇!C:C,A23)</f>
        <v>0</v>
      </c>
      <c r="I56" s="264">
        <f>COUNTIFS(KYC调单!C:C,A23,KYC调单!E:E,"平安银行")+COUNTIFS(单笔交易!C:C,A23,单笔交易!H:H,"平安银行")+COUNTIFS(账户调查!C:C,A23,账户调查!F:F,"平安银行")+COUNTIFS(Recall!C:C,A23,Recall!D:D,"平安银行")+COUNTIFS(警方协查!C:C,A23,警方协查!E:E,"平安银行")</f>
        <v>0</v>
      </c>
      <c r="J56" s="264">
        <f>COUNTIFS(KYC调单!C:C,A23,KYC调单!E:E,"PING PONG")+COUNTIFS(单笔交易!C:C,A23,单笔交易!H:H,"PING PONG")+COUNTIFS(账户调查!C:C,A23,账户调查!F:F,"PING PONG")+COUNTIFS(Recall!C:C,A23,Recall!D:D,"PING PONG")+COUNTIFS(警方协查!C:C,A23,警方协查!E:E,"PING PONG")</f>
        <v>0</v>
      </c>
      <c r="K56" s="287">
        <f>COUNTIFS(单笔交易!C:C,A56,单笔交易!H:H,"SCB")+COUNTIFS(账户调查!C:C,A56,账户调查!F:F,"SCB")+COUNTIFS(Recall!C:C,A56,Recall!D:D,"SCB")</f>
        <v>0</v>
      </c>
      <c r="L56" s="261">
        <f>COUNTIFS(单笔交易!C:C,A56,单笔交易!H:H,"Baokim")+COUNTIFS(账户调查!C:C,A56,账户调查!F:F,"Baokim")</f>
        <v>0</v>
      </c>
      <c r="M56" s="261">
        <f>COUNTIFS(警方协查!C:C,A56,警方协查!E:E,"其他警方")+COUNTIFS(账户调查!C:C,A56,账户调查!F:F,"Payoneer")+COUNTIFS(账户调查!C:C,A56,账户调查!F:F,"DSGpay")+COUNTIFS(单笔交易!C:C,A56,单笔交易!H:H,"DSGpay")+COUNTIFS(单笔交易!C:C,A56,单笔交易!H:H,"Moolahgo")+COUNTIFS(账户调查!C:C,A56,账户调查!F:F,"Sentbe")+COUNTIFS(账户调查!C:C,A56,账户调查!F:F,"flutterwave")+COUNTIFS(单笔交易!C:C,A56,单笔交易!H:H,"Pyvio")+COUNTIFS(账户调查!C:C,A56,账户调查!F:F,"HPAY")</f>
        <v>0</v>
      </c>
      <c r="N56" s="266">
        <f>COUNTIFS(单笔交易!C:C,A56,单笔交易!H:H,"Nium")+COUNTIFS(账户调查!C:C,A56,账户调查!F:F,"Nium")</f>
        <v>0</v>
      </c>
      <c r="O56" s="288">
        <f>COUNTIFS(警方协查!C:C,A56,警方协查!E:E,"OpenPayd")+COUNTIFS(单笔交易!C:C,A56,单笔交易!H:H,"OpenPayd")+COUNTIFS(账户调查!C:C,A56,账户调查!F:F,"OpenPayd")+COUNTIFS(Recall!C:C,A56,Recall!D:D,"OpenPayd")</f>
        <v>0</v>
      </c>
      <c r="P56" s="261">
        <f>COUNTIFS(KYC调单!C:C,A23,KYC调单!E:E,"IBC")+COUNTIFS(单笔交易!C:C,A23,单笔交易!H:H,"IBC")+COUNTIFS(账户调查!C:C,A23,账户调查!F:F,"IBC")</f>
        <v>0</v>
      </c>
      <c r="Q56" s="288">
        <f>COUNTIFS(KYC调单!C:C,A56,KYC调单!E:E,"TransferMate")+COUNTIFS(单笔交易!C:C,A56,单笔交易!H:H,"TransferMate")+COUNTIFS(账户调查!C:C,A56,账户调查!F:F,"TransferMate")</f>
        <v>0</v>
      </c>
      <c r="R56" s="255"/>
      <c r="S56" s="258">
        <f t="shared" si="4"/>
        <v>0</v>
      </c>
      <c r="T56" s="258" t="str">
        <f t="shared" si="5"/>
        <v>一致</v>
      </c>
    </row>
    <row r="57" ht="15.5" spans="1:20">
      <c r="A57" s="259" t="s">
        <v>35</v>
      </c>
      <c r="B57" s="264">
        <f>COUNTIFS(KYC调单!C:C,A24,KYC调单!E:E,"DBS")+COUNTIFS(单笔交易!C:C,A24,单笔交易!H:H,"DBS")+COUNTIFS(账户调查!C:C,A24,账户调查!F:F,"DBS")+COUNTIFS(Recall!C:C,A24,Recall!D:D,"DBS")+COUNTIFS(警方协查!C:C,A24,警方协查!E:E,"DBS")</f>
        <v>0</v>
      </c>
      <c r="C57" s="264">
        <f>COUNTIFS(KYC调单!C:C,A24,KYC调单!E:E,"Banking Circle")+COUNTIFS(单笔交易!C:C,A24,单笔交易!H:H,"Banking Circle")+COUNTIFS(账户调查!C:C,A24,账户调查!F:F,"Banking Circle")+COUNTIFS(Recall!C:C,A24,Recall!D:D,"Banking Circle")+COUNTIFS(警方协查!C:C,A24,警方协查!E:E,"Banking Circle")</f>
        <v>0</v>
      </c>
      <c r="D57" s="264">
        <f>COUNTIFS(KYC调单!C:C,A24,KYC调单!E:E,"M-DAQ")+COUNTIFS(单笔交易!C:C,A24,单笔交易!H:H,"M-DAQ")+COUNTIFS(账户调查!C:C,A24,账户调查!F:F,"M-DAQ")+COUNTIFS(Recall!C:C,A24,Recall!D:D,"M-DAQ")+COUNTIFS(警方协查!C:C,A24,警方协查!E:E,"M-DAQ")</f>
        <v>0</v>
      </c>
      <c r="E57" s="264">
        <f>COUNTIFS(KYC调单!C:C,A24,KYC调单!E:E,"GME")+COUNTIFS(单笔交易!C:C,A24,单笔交易!H:H,"GME")+COUNTIFS(账户调查!C:C,A24,账户调查!F:F,"GME")+COUNTIFS(Recall!C:C,A24,Recall!D:D,"GME")+COUNTIFS(警方协查!C:C,A24,警方协查!E:E,"GME")</f>
        <v>0</v>
      </c>
      <c r="F57" s="264">
        <f>COUNTIFS(KYC调单!C:C,A24,KYC调单!E:E,"QBC")+COUNTIFS(单笔交易!C:C,A24,单笔交易!H:H,"QBC")+COUNTIFS(账户调查!C:C,A24,账户调查!F:F,"QBC")+COUNTIFS(Recall!C:C,A24,Recall!D:D,"QBC")+COUNTIFS(警方协查!C:C,A24,警方协查!E:E,"QBC")</f>
        <v>0</v>
      </c>
      <c r="G57" s="264">
        <f>COUNTIFS(KYC调单!C:C,A24,KYC调单!E:E,"Thunes")+COUNTIFS(单笔交易!C:C,A24,单笔交易!H:H,"Thunes")+COUNTIFS(账户调查!C:C,A24,账户调查!F:F,"Thunes")+COUNTIFS(Recall!C:C,A24,Recall!D:D,"Thunes")+COUNTIFS(警方协查!C:C,A24,警方协查!E:E,"Thunes")</f>
        <v>0</v>
      </c>
      <c r="H57" s="264">
        <f>COUNTIF(结汇!C:C,A24)</f>
        <v>0</v>
      </c>
      <c r="I57" s="264">
        <f>COUNTIFS(KYC调单!C:C,A24,KYC调单!E:E,"平安银行")+COUNTIFS(单笔交易!C:C,A24,单笔交易!H:H,"平安银行")+COUNTIFS(账户调查!C:C,A24,账户调查!F:F,"平安银行")+COUNTIFS(Recall!C:C,A24,Recall!D:D,"平安银行")+COUNTIFS(警方协查!C:C,A24,警方协查!E:E,"平安银行")</f>
        <v>0</v>
      </c>
      <c r="J57" s="264">
        <f>COUNTIFS(KYC调单!C:C,A24,KYC调单!E:E,"PING PONG")+COUNTIFS(单笔交易!C:C,A24,单笔交易!H:H,"PING PONG")+COUNTIFS(账户调查!C:C,A24,账户调查!F:F,"PING PONG")+COUNTIFS(Recall!C:C,A24,Recall!D:D,"PING PONG")+COUNTIFS(警方协查!C:C,A24,警方协查!E:E,"PING PONG")</f>
        <v>0</v>
      </c>
      <c r="K57" s="287">
        <f>COUNTIFS(单笔交易!C:C,A57,单笔交易!H:H,"SCB")+COUNTIFS(账户调查!C:C,A57,账户调查!F:F,"SCB")+COUNTIFS(Recall!C:C,A57,Recall!D:D,"SCB")</f>
        <v>0</v>
      </c>
      <c r="L57" s="261">
        <f>COUNTIFS(单笔交易!C:C,A57,单笔交易!H:H,"Baokim")+COUNTIFS(账户调查!C:C,A57,账户调查!F:F,"Baokim")</f>
        <v>0</v>
      </c>
      <c r="M57" s="261">
        <f>COUNTIFS(警方协查!C:C,A57,警方协查!E:E,"其他警方")+COUNTIFS(账户调查!C:C,A57,账户调查!F:F,"Payoneer")+COUNTIFS(账户调查!C:C,A57,账户调查!F:F,"DSGpay")+COUNTIFS(单笔交易!C:C,A57,单笔交易!H:H,"DSGpay")+COUNTIFS(单笔交易!C:C,A57,单笔交易!H:H,"Moolahgo")+COUNTIFS(账户调查!C:C,A57,账户调查!F:F,"Sentbe")+COUNTIFS(账户调查!C:C,A57,账户调查!F:F,"flutterwave")+COUNTIFS(单笔交易!C:C,A57,单笔交易!H:H,"Pyvio")+COUNTIFS(账户调查!C:C,A57,账户调查!F:F,"HPAY")</f>
        <v>0</v>
      </c>
      <c r="N57" s="266">
        <f>COUNTIFS(单笔交易!C:C,A57,单笔交易!H:H,"Nium")+COUNTIFS(账户调查!C:C,A57,账户调查!F:F,"Nium")</f>
        <v>0</v>
      </c>
      <c r="O57" s="288">
        <f>COUNTIFS(警方协查!C:C,A57,警方协查!E:E,"OpenPayd")+COUNTIFS(单笔交易!C:C,A57,单笔交易!H:H,"OpenPayd")+COUNTIFS(账户调查!C:C,A57,账户调查!F:F,"OpenPayd")+COUNTIFS(Recall!C:C,A57,Recall!D:D,"OpenPayd")</f>
        <v>0</v>
      </c>
      <c r="P57" s="261">
        <f>COUNTIFS(KYC调单!C:C,A24,KYC调单!E:E,"IBC")+COUNTIFS(单笔交易!C:C,A24,单笔交易!H:H,"IBC")+COUNTIFS(账户调查!C:C,A24,账户调查!F:F,"IBC")</f>
        <v>0</v>
      </c>
      <c r="Q57" s="288">
        <f>COUNTIFS(KYC调单!C:C,A57,KYC调单!E:E,"TransferMate")+COUNTIFS(单笔交易!C:C,A57,单笔交易!H:H,"TransferMate")+COUNTIFS(账户调查!C:C,A57,账户调查!F:F,"TransferMate")</f>
        <v>0</v>
      </c>
      <c r="R57" s="255"/>
      <c r="S57" s="258">
        <f t="shared" si="4"/>
        <v>0</v>
      </c>
      <c r="T57" s="258" t="str">
        <f t="shared" si="5"/>
        <v>一致</v>
      </c>
    </row>
    <row r="58" ht="15.5" spans="1:20">
      <c r="A58" s="259" t="s">
        <v>36</v>
      </c>
      <c r="B58" s="264">
        <f>COUNTIFS(KYC调单!C:C,A25,KYC调单!E:E,"DBS")+COUNTIFS(单笔交易!C:C,A25,单笔交易!H:H,"DBS")+COUNTIFS(账户调查!C:C,A25,账户调查!F:F,"DBS")+COUNTIFS(Recall!C:C,A25,Recall!D:D,"DBS")+COUNTIFS(警方协查!C:C,A25,警方协查!E:E,"DBS")</f>
        <v>0</v>
      </c>
      <c r="C58" s="264">
        <f>COUNTIFS(KYC调单!C:C,A25,KYC调单!E:E,"Banking Circle")+COUNTIFS(单笔交易!C:C,A25,单笔交易!H:H,"Banking Circle")+COUNTIFS(账户调查!C:C,A25,账户调查!F:F,"Banking Circle")+COUNTIFS(Recall!C:C,A25,Recall!D:D,"Banking Circle")+COUNTIFS(警方协查!C:C,A25,警方协查!E:E,"Banking Circle")</f>
        <v>0</v>
      </c>
      <c r="D58" s="264">
        <f>COUNTIFS(KYC调单!C:C,A25,KYC调单!E:E,"M-DAQ")+COUNTIFS(单笔交易!C:C,A25,单笔交易!H:H,"M-DAQ")+COUNTIFS(账户调查!C:C,A25,账户调查!F:F,"M-DAQ")+COUNTIFS(Recall!C:C,A25,Recall!D:D,"M-DAQ")+COUNTIFS(警方协查!C:C,A25,警方协查!E:E,"M-DAQ")</f>
        <v>0</v>
      </c>
      <c r="E58" s="264">
        <f>COUNTIFS(KYC调单!C:C,A25,KYC调单!E:E,"GME")+COUNTIFS(单笔交易!C:C,A25,单笔交易!H:H,"GME")+COUNTIFS(账户调查!C:C,A25,账户调查!F:F,"GME")+COUNTIFS(Recall!C:C,A25,Recall!D:D,"GME")+COUNTIFS(警方协查!C:C,A25,警方协查!E:E,"GME")</f>
        <v>0</v>
      </c>
      <c r="F58" s="264">
        <f>COUNTIFS(KYC调单!C:C,A25,KYC调单!E:E,"QBC")+COUNTIFS(单笔交易!C:C,A25,单笔交易!H:H,"QBC")+COUNTIFS(账户调查!C:C,A25,账户调查!F:F,"QBC")+COUNTIFS(Recall!C:C,A25,Recall!D:D,"QBC")+COUNTIFS(警方协查!C:C,A25,警方协查!E:E,"QBC")</f>
        <v>0</v>
      </c>
      <c r="G58" s="264">
        <f>COUNTIFS(KYC调单!C:C,A25,KYC调单!E:E,"Thunes")+COUNTIFS(单笔交易!C:C,A25,单笔交易!H:H,"Thunes")+COUNTIFS(账户调查!C:C,A25,账户调查!F:F,"Thunes")+COUNTIFS(Recall!C:C,A25,Recall!D:D,"Thunes")+COUNTIFS(警方协查!C:C,A25,警方协查!E:E,"Thunes")</f>
        <v>0</v>
      </c>
      <c r="H58" s="264">
        <f>COUNTIF(结汇!C:C,A25)</f>
        <v>0</v>
      </c>
      <c r="I58" s="264">
        <f>COUNTIFS(KYC调单!C:C,A25,KYC调单!E:E,"平安银行")+COUNTIFS(单笔交易!C:C,A25,单笔交易!H:H,"平安银行")+COUNTIFS(账户调查!C:C,A25,账户调查!F:F,"平安银行")+COUNTIFS(Recall!C:C,A25,Recall!D:D,"平安银行")+COUNTIFS(警方协查!C:C,A25,警方协查!E:E,"平安银行")</f>
        <v>0</v>
      </c>
      <c r="J58" s="264">
        <f>COUNTIFS(KYC调单!C:C,A25,KYC调单!E:E,"PING PONG")+COUNTIFS(单笔交易!C:C,A25,单笔交易!H:H,"PING PONG")+COUNTIFS(账户调查!C:C,A25,账户调查!F:F,"PING PONG")+COUNTIFS(Recall!C:C,A25,Recall!D:D,"PING PONG")+COUNTIFS(警方协查!C:C,A25,警方协查!E:E,"PING PONG")</f>
        <v>0</v>
      </c>
      <c r="K58" s="287">
        <f>COUNTIFS(单笔交易!C:C,A58,单笔交易!H:H,"SCB")+COUNTIFS(账户调查!C:C,A58,账户调查!F:F,"SCB")+COUNTIFS(Recall!C:C,A58,Recall!D:D,"SCB")</f>
        <v>0</v>
      </c>
      <c r="L58" s="261">
        <f>COUNTIFS(单笔交易!C:C,A58,单笔交易!H:H,"Baokim")+COUNTIFS(账户调查!C:C,A58,账户调查!F:F,"Baokim")</f>
        <v>0</v>
      </c>
      <c r="M58" s="261">
        <f>COUNTIFS(警方协查!C:C,A58,警方协查!E:E,"其他警方")+COUNTIFS(账户调查!C:C,A58,账户调查!F:F,"Payoneer")+COUNTIFS(账户调查!C:C,A58,账户调查!F:F,"DSGpay")+COUNTIFS(单笔交易!C:C,A58,单笔交易!H:H,"DSGpay")+COUNTIFS(单笔交易!C:C,A58,单笔交易!H:H,"Moolahgo")+COUNTIFS(账户调查!C:C,A58,账户调查!F:F,"Sentbe")+COUNTIFS(账户调查!C:C,A58,账户调查!F:F,"flutterwave")+COUNTIFS(单笔交易!C:C,A58,单笔交易!H:H,"Pyvio")+COUNTIFS(账户调查!C:C,A58,账户调查!F:F,"HPAY")</f>
        <v>0</v>
      </c>
      <c r="N58" s="266">
        <f>COUNTIFS(单笔交易!C:C,A58,单笔交易!H:H,"Nium")+COUNTIFS(账户调查!C:C,A58,账户调查!F:F,"Nium")</f>
        <v>0</v>
      </c>
      <c r="O58" s="288">
        <f>COUNTIFS(警方协查!C:C,A58,警方协查!E:E,"OpenPayd")+COUNTIFS(单笔交易!C:C,A58,单笔交易!H:H,"OpenPayd")+COUNTIFS(账户调查!C:C,A58,账户调查!F:F,"OpenPayd")+COUNTIFS(Recall!C:C,A58,Recall!D:D,"OpenPayd")</f>
        <v>0</v>
      </c>
      <c r="P58" s="261">
        <f>COUNTIFS(KYC调单!C:C,A25,KYC调单!E:E,"IBC")+COUNTIFS(单笔交易!C:C,A25,单笔交易!H:H,"IBC")+COUNTIFS(账户调查!C:C,A25,账户调查!F:F,"IBC")</f>
        <v>0</v>
      </c>
      <c r="Q58" s="288">
        <f>COUNTIFS(KYC调单!C:C,A58,KYC调单!E:E,"TransferMate")+COUNTIFS(单笔交易!C:C,A58,单笔交易!H:H,"TransferMate")+COUNTIFS(账户调查!C:C,A58,账户调查!F:F,"TransferMate")</f>
        <v>0</v>
      </c>
      <c r="R58" s="255"/>
      <c r="S58" s="258">
        <f t="shared" si="4"/>
        <v>0</v>
      </c>
      <c r="T58" s="258" t="str">
        <f t="shared" si="5"/>
        <v>一致</v>
      </c>
    </row>
    <row r="59" ht="15.5" spans="1:20">
      <c r="A59" s="259" t="s">
        <v>37</v>
      </c>
      <c r="B59" s="264">
        <f>COUNTIFS(KYC调单!C:C,A26,KYC调单!E:E,"DBS")+COUNTIFS(单笔交易!C:C,A26,单笔交易!H:H,"DBS")+COUNTIFS(账户调查!C:C,A26,账户调查!F:F,"DBS")+COUNTIFS(Recall!C:C,A26,Recall!D:D,"DBS")+COUNTIFS(警方协查!C:C,A26,警方协查!E:E,"DBS")</f>
        <v>0</v>
      </c>
      <c r="C59" s="264">
        <f>COUNTIFS(KYC调单!C:C,A26,KYC调单!E:E,"Banking Circle")+COUNTIFS(单笔交易!C:C,A26,单笔交易!H:H,"Banking Circle")+COUNTIFS(账户调查!C:C,A26,账户调查!F:F,"Banking Circle")+COUNTIFS(Recall!C:C,A26,Recall!D:D,"Banking Circle")+COUNTIFS(警方协查!C:C,A26,警方协查!E:E,"Banking Circle")</f>
        <v>0</v>
      </c>
      <c r="D59" s="264">
        <f>COUNTIFS(KYC调单!C:C,A26,KYC调单!E:E,"M-DAQ")+COUNTIFS(单笔交易!C:C,A26,单笔交易!H:H,"M-DAQ")+COUNTIFS(账户调查!C:C,A26,账户调查!F:F,"M-DAQ")+COUNTIFS(Recall!C:C,A26,Recall!D:D,"M-DAQ")+COUNTIFS(警方协查!C:C,A26,警方协查!E:E,"M-DAQ")</f>
        <v>0</v>
      </c>
      <c r="E59" s="264">
        <f>COUNTIFS(KYC调单!C:C,A26,KYC调单!E:E,"GME")+COUNTIFS(单笔交易!C:C,A26,单笔交易!H:H,"GME")+COUNTIFS(账户调查!C:C,A26,账户调查!F:F,"GME")+COUNTIFS(Recall!C:C,A26,Recall!D:D,"GME")+COUNTIFS(警方协查!C:C,A26,警方协查!E:E,"GME")</f>
        <v>0</v>
      </c>
      <c r="F59" s="264">
        <f>COUNTIFS(KYC调单!C:C,A26,KYC调单!E:E,"QBC")+COUNTIFS(单笔交易!C:C,A26,单笔交易!H:H,"QBC")+COUNTIFS(账户调查!C:C,A26,账户调查!F:F,"QBC")+COUNTIFS(Recall!C:C,A26,Recall!D:D,"QBC")+COUNTIFS(警方协查!C:C,A26,警方协查!E:E,"QBC")</f>
        <v>0</v>
      </c>
      <c r="G59" s="264">
        <f>COUNTIFS(KYC调单!C:C,A26,KYC调单!E:E,"Thunes")+COUNTIFS(单笔交易!C:C,A26,单笔交易!H:H,"Thunes")+COUNTIFS(账户调查!C:C,A26,账户调查!F:F,"Thunes")+COUNTIFS(Recall!C:C,A26,Recall!D:D,"Thunes")+COUNTIFS(警方协查!C:C,A26,警方协查!E:E,"Thunes")</f>
        <v>0</v>
      </c>
      <c r="H59" s="264">
        <f>COUNTIF(结汇!C:C,A26)</f>
        <v>0</v>
      </c>
      <c r="I59" s="264">
        <f>COUNTIFS(KYC调单!C:C,A26,KYC调单!E:E,"平安银行")+COUNTIFS(单笔交易!C:C,A26,单笔交易!H:H,"平安银行")+COUNTIFS(账户调查!C:C,A26,账户调查!F:F,"平安银行")+COUNTIFS(Recall!C:C,A26,Recall!D:D,"平安银行")+COUNTIFS(警方协查!C:C,A26,警方协查!E:E,"平安银行")</f>
        <v>0</v>
      </c>
      <c r="J59" s="264">
        <f>COUNTIFS(KYC调单!C:C,A26,KYC调单!E:E,"PING PONG")+COUNTIFS(单笔交易!C:C,A26,单笔交易!H:H,"PING PONG")+COUNTIFS(账户调查!C:C,A26,账户调查!F:F,"PING PONG")+COUNTIFS(Recall!C:C,A26,Recall!D:D,"PING PONG")+COUNTIFS(警方协查!C:C,A26,警方协查!E:E,"PING PONG")</f>
        <v>0</v>
      </c>
      <c r="K59" s="287">
        <f>COUNTIFS(单笔交易!C:C,A59,单笔交易!H:H,"SCB")+COUNTIFS(账户调查!C:C,A59,账户调查!F:F,"SCB")+COUNTIFS(Recall!C:C,A59,Recall!D:D,"SCB")</f>
        <v>0</v>
      </c>
      <c r="L59" s="261">
        <f>COUNTIFS(单笔交易!C:C,A59,单笔交易!H:H,"Baokim")+COUNTIFS(账户调查!C:C,A59,账户调查!F:F,"Baokim")</f>
        <v>0</v>
      </c>
      <c r="M59" s="261">
        <f>COUNTIFS(警方协查!C:C,A59,警方协查!E:E,"其他警方")+COUNTIFS(账户调查!C:C,A59,账户调查!F:F,"Payoneer")+COUNTIFS(账户调查!C:C,A59,账户调查!F:F,"DSGpay")+COUNTIFS(单笔交易!C:C,A59,单笔交易!H:H,"DSGpay")+COUNTIFS(单笔交易!C:C,A59,单笔交易!H:H,"Moolahgo")+COUNTIFS(账户调查!C:C,A59,账户调查!F:F,"Sentbe")+COUNTIFS(账户调查!C:C,A59,账户调查!F:F,"flutterwave")+COUNTIFS(单笔交易!C:C,A59,单笔交易!H:H,"Pyvio")+COUNTIFS(账户调查!C:C,A59,账户调查!F:F,"HPAY")</f>
        <v>0</v>
      </c>
      <c r="N59" s="266">
        <f>COUNTIFS(单笔交易!C:C,A59,单笔交易!H:H,"Nium")+COUNTIFS(账户调查!C:C,A59,账户调查!F:F,"Nium")</f>
        <v>0</v>
      </c>
      <c r="O59" s="288">
        <f>COUNTIFS(警方协查!C:C,A59,警方协查!E:E,"OpenPayd")+COUNTIFS(单笔交易!C:C,A59,单笔交易!H:H,"OpenPayd")+COUNTIFS(账户调查!C:C,A59,账户调查!F:F,"OpenPayd")+COUNTIFS(Recall!C:C,A59,Recall!D:D,"OpenPayd")</f>
        <v>0</v>
      </c>
      <c r="P59" s="261">
        <f>COUNTIFS(KYC调单!C:C,A26,KYC调单!E:E,"IBC")+COUNTIFS(单笔交易!C:C,A26,单笔交易!H:H,"IBC")+COUNTIFS(账户调查!C:C,A26,账户调查!F:F,"IBC")</f>
        <v>0</v>
      </c>
      <c r="Q59" s="288">
        <f>COUNTIFS(KYC调单!C:C,A59,KYC调单!E:E,"TransferMate")+COUNTIFS(单笔交易!C:C,A59,单笔交易!H:H,"TransferMate")+COUNTIFS(账户调查!C:C,A59,账户调查!F:F,"TransferMate")</f>
        <v>0</v>
      </c>
      <c r="R59" s="255"/>
      <c r="S59" s="258">
        <f t="shared" si="4"/>
        <v>0</v>
      </c>
      <c r="T59" s="258" t="str">
        <f t="shared" si="5"/>
        <v>一致</v>
      </c>
    </row>
    <row r="74" ht="17.5" spans="1:25">
      <c r="A74" s="292" t="s">
        <v>38</v>
      </c>
      <c r="D74" s="280"/>
      <c r="E74" s="280"/>
      <c r="F74" s="280"/>
      <c r="G74" s="280"/>
      <c r="H74" s="280"/>
      <c r="I74" s="280"/>
      <c r="J74" s="280"/>
      <c r="K74" s="280"/>
      <c r="L74" s="280"/>
      <c r="M74" s="280"/>
      <c r="N74" s="280"/>
      <c r="O74" s="280"/>
      <c r="P74" s="280"/>
      <c r="Q74" s="280"/>
      <c r="R74" s="280"/>
    </row>
    <row r="75" ht="15.5" spans="1:25">
      <c r="A75" s="281" t="s">
        <v>2</v>
      </c>
      <c r="B75" s="285" t="s">
        <v>14</v>
      </c>
      <c r="C75" s="285" t="s">
        <v>15</v>
      </c>
      <c r="D75" s="285" t="s">
        <v>16</v>
      </c>
      <c r="E75" s="285" t="s">
        <v>17</v>
      </c>
      <c r="F75" s="285" t="s">
        <v>18</v>
      </c>
      <c r="G75" s="285" t="s">
        <v>19</v>
      </c>
      <c r="H75" s="268" t="s">
        <v>20</v>
      </c>
      <c r="I75" s="268" t="s">
        <v>21</v>
      </c>
      <c r="J75" s="259" t="s">
        <v>22</v>
      </c>
      <c r="K75" s="259" t="s">
        <v>23</v>
      </c>
      <c r="L75" s="259" t="s">
        <v>24</v>
      </c>
      <c r="M75" s="259" t="s">
        <v>25</v>
      </c>
      <c r="N75" s="259" t="s">
        <v>26</v>
      </c>
      <c r="O75" s="259" t="s">
        <v>27</v>
      </c>
      <c r="P75" s="259" t="s">
        <v>28</v>
      </c>
      <c r="Q75" s="259" t="s">
        <v>29</v>
      </c>
      <c r="R75" s="259" t="s">
        <v>30</v>
      </c>
      <c r="S75" s="275" t="s">
        <v>31</v>
      </c>
      <c r="T75" s="259" t="s">
        <v>32</v>
      </c>
      <c r="U75" s="259" t="s">
        <v>33</v>
      </c>
      <c r="V75" s="259" t="s">
        <v>34</v>
      </c>
      <c r="W75" s="259" t="s">
        <v>35</v>
      </c>
      <c r="X75" s="259" t="s">
        <v>36</v>
      </c>
      <c r="Y75" s="259" t="s">
        <v>37</v>
      </c>
    </row>
    <row r="76" ht="15.5" spans="1:25">
      <c r="A76" s="281" t="s">
        <v>39</v>
      </c>
      <c r="B76" s="286"/>
      <c r="C76" s="286"/>
      <c r="D76" s="286"/>
      <c r="E76" s="286"/>
      <c r="F76" s="286"/>
      <c r="G76" s="286"/>
      <c r="H76" s="271"/>
      <c r="I76" s="271"/>
      <c r="J76" s="264"/>
      <c r="K76" s="264"/>
      <c r="L76" s="264"/>
      <c r="M76" s="264"/>
      <c r="N76" s="264"/>
      <c r="O76" s="264"/>
      <c r="P76" s="264"/>
      <c r="Q76" s="264"/>
      <c r="R76" s="264"/>
      <c r="S76" s="276"/>
      <c r="T76" s="264"/>
      <c r="U76" s="264"/>
      <c r="V76" s="264"/>
      <c r="W76" s="264"/>
      <c r="X76" s="264"/>
      <c r="Y76" s="264"/>
    </row>
    <row r="77" ht="15.5" spans="1:25">
      <c r="A77" s="281" t="s">
        <v>40</v>
      </c>
      <c r="B77" s="286"/>
      <c r="C77" s="286"/>
      <c r="D77" s="286"/>
      <c r="E77" s="286"/>
      <c r="F77" s="286"/>
      <c r="G77" s="286"/>
      <c r="H77" s="271"/>
      <c r="I77" s="271"/>
      <c r="J77" s="264"/>
      <c r="K77" s="264"/>
      <c r="L77" s="264"/>
      <c r="M77" s="264"/>
      <c r="N77" s="264"/>
      <c r="O77" s="264"/>
      <c r="P77" s="264"/>
      <c r="Q77" s="264"/>
      <c r="R77" s="264"/>
      <c r="S77" s="276"/>
      <c r="T77" s="264"/>
      <c r="U77" s="264"/>
      <c r="V77" s="264"/>
      <c r="W77" s="264"/>
      <c r="X77" s="264"/>
      <c r="Y77" s="264"/>
    </row>
    <row r="78" ht="15.5" spans="1:25">
      <c r="A78" s="281" t="s">
        <v>48</v>
      </c>
      <c r="B78" s="286"/>
      <c r="C78" s="286"/>
      <c r="D78" s="286"/>
      <c r="E78" s="286"/>
      <c r="F78" s="286"/>
      <c r="G78" s="286"/>
      <c r="H78" s="271"/>
      <c r="I78" s="271"/>
      <c r="J78" s="264"/>
      <c r="K78" s="264"/>
      <c r="L78" s="264"/>
      <c r="M78" s="264"/>
      <c r="N78" s="264"/>
      <c r="O78" s="264"/>
      <c r="P78" s="264"/>
      <c r="Q78" s="264"/>
      <c r="R78" s="264"/>
      <c r="S78" s="276"/>
      <c r="T78" s="264"/>
      <c r="U78" s="264"/>
      <c r="V78" s="264"/>
      <c r="W78" s="264"/>
      <c r="X78" s="264"/>
      <c r="Y78" s="264"/>
    </row>
    <row r="79" ht="15.5" spans="1:25">
      <c r="A79" s="281" t="s">
        <v>41</v>
      </c>
      <c r="B79" s="286"/>
      <c r="C79" s="286"/>
      <c r="D79" s="286"/>
      <c r="E79" s="286"/>
      <c r="F79" s="286"/>
      <c r="G79" s="286"/>
      <c r="H79" s="271"/>
      <c r="I79" s="271"/>
      <c r="J79" s="264"/>
      <c r="K79" s="264"/>
      <c r="L79" s="264"/>
      <c r="M79" s="264"/>
      <c r="N79" s="264"/>
      <c r="O79" s="264"/>
      <c r="P79" s="264"/>
      <c r="Q79" s="264"/>
      <c r="R79" s="264"/>
      <c r="S79" s="276"/>
      <c r="T79" s="264"/>
      <c r="U79" s="264"/>
      <c r="V79" s="264"/>
      <c r="W79" s="264"/>
      <c r="X79" s="264"/>
      <c r="Y79" s="264"/>
    </row>
    <row r="80" ht="15.5" spans="1:25">
      <c r="A80" s="281" t="s">
        <v>42</v>
      </c>
      <c r="B80" s="286"/>
      <c r="C80" s="286"/>
      <c r="D80" s="286"/>
      <c r="E80" s="286"/>
      <c r="F80" s="286"/>
      <c r="G80" s="286"/>
      <c r="H80" s="271"/>
      <c r="I80" s="271"/>
      <c r="J80" s="264"/>
      <c r="K80" s="264"/>
      <c r="L80" s="264"/>
      <c r="M80" s="264"/>
      <c r="N80" s="264"/>
      <c r="O80" s="264"/>
      <c r="P80" s="264"/>
      <c r="Q80" s="264"/>
      <c r="R80" s="264"/>
      <c r="S80" s="276"/>
      <c r="T80" s="264"/>
      <c r="U80" s="264"/>
      <c r="V80" s="264"/>
      <c r="W80" s="264"/>
      <c r="X80" s="264"/>
      <c r="Y80" s="264"/>
    </row>
    <row r="81" ht="15.5" spans="1:25">
      <c r="A81" s="281" t="s">
        <v>43</v>
      </c>
      <c r="B81" s="286"/>
      <c r="C81" s="286"/>
      <c r="D81" s="286"/>
      <c r="E81" s="286"/>
      <c r="F81" s="286"/>
      <c r="G81" s="286"/>
      <c r="H81" s="271"/>
      <c r="I81" s="271"/>
      <c r="J81" s="264"/>
      <c r="K81" s="264"/>
      <c r="L81" s="264"/>
      <c r="M81" s="264"/>
      <c r="N81" s="264"/>
      <c r="O81" s="264"/>
      <c r="P81" s="264"/>
      <c r="Q81" s="264"/>
      <c r="R81" s="264"/>
      <c r="S81" s="276"/>
      <c r="T81" s="264"/>
      <c r="U81" s="264"/>
      <c r="V81" s="264"/>
      <c r="W81" s="264"/>
      <c r="X81" s="264"/>
      <c r="Y81" s="264"/>
    </row>
    <row r="82" ht="15.5" spans="1:25">
      <c r="A82" s="281" t="s">
        <v>44</v>
      </c>
      <c r="B82" s="286"/>
      <c r="C82" s="286"/>
      <c r="D82" s="286"/>
      <c r="E82" s="286"/>
      <c r="F82" s="286"/>
      <c r="G82" s="286"/>
      <c r="H82" s="271"/>
      <c r="I82" s="271"/>
      <c r="J82" s="264"/>
      <c r="K82" s="264"/>
      <c r="L82" s="264"/>
      <c r="M82" s="264"/>
      <c r="N82" s="264"/>
      <c r="O82" s="264"/>
      <c r="P82" s="264"/>
      <c r="Q82" s="264"/>
      <c r="R82" s="264"/>
      <c r="S82" s="276"/>
      <c r="T82" s="264"/>
      <c r="U82" s="264"/>
      <c r="V82" s="264"/>
      <c r="W82" s="264"/>
      <c r="X82" s="264"/>
      <c r="Y82" s="264"/>
    </row>
    <row r="83" ht="15.5" spans="1:25">
      <c r="A83" s="281" t="s">
        <v>45</v>
      </c>
      <c r="B83" s="286"/>
      <c r="C83" s="286"/>
      <c r="D83" s="286"/>
      <c r="E83" s="286"/>
      <c r="F83" s="286"/>
      <c r="G83" s="286"/>
      <c r="H83" s="271"/>
      <c r="I83" s="271"/>
      <c r="J83" s="264"/>
      <c r="K83" s="264"/>
      <c r="L83" s="264"/>
      <c r="M83" s="264"/>
      <c r="N83" s="264"/>
      <c r="O83" s="264"/>
      <c r="P83" s="264"/>
      <c r="Q83" s="264"/>
      <c r="R83" s="264"/>
      <c r="S83" s="276"/>
      <c r="T83" s="264"/>
      <c r="U83" s="264"/>
      <c r="V83" s="264"/>
      <c r="W83" s="264"/>
      <c r="X83" s="264"/>
      <c r="Y83" s="264"/>
    </row>
    <row r="84" ht="15.5" spans="1:25">
      <c r="A84" s="281" t="s">
        <v>46</v>
      </c>
      <c r="B84" s="286"/>
      <c r="C84" s="286"/>
      <c r="D84" s="286"/>
      <c r="E84" s="286"/>
      <c r="F84" s="286"/>
      <c r="G84" s="286"/>
      <c r="H84" s="271"/>
      <c r="I84" s="271"/>
      <c r="J84" s="264"/>
      <c r="K84" s="264"/>
      <c r="L84" s="264"/>
      <c r="M84" s="264"/>
      <c r="N84" s="264"/>
      <c r="O84" s="264"/>
      <c r="P84" s="264"/>
      <c r="Q84" s="264"/>
      <c r="R84" s="264"/>
      <c r="S84" s="276"/>
      <c r="T84" s="264"/>
      <c r="U84" s="264"/>
      <c r="V84" s="264"/>
      <c r="W84" s="264"/>
      <c r="X84" s="264"/>
      <c r="Y84" s="264"/>
    </row>
    <row r="85" ht="15.5" spans="1:25">
      <c r="A85" s="281" t="s">
        <v>47</v>
      </c>
      <c r="B85" s="286"/>
      <c r="C85" s="286"/>
      <c r="D85" s="286"/>
      <c r="E85" s="286"/>
      <c r="F85" s="286"/>
      <c r="G85" s="286"/>
      <c r="H85" s="271"/>
      <c r="I85" s="271"/>
      <c r="J85" s="264"/>
      <c r="K85" s="264"/>
      <c r="L85" s="264"/>
      <c r="M85" s="264"/>
      <c r="N85" s="264"/>
      <c r="O85" s="264"/>
      <c r="P85" s="264"/>
      <c r="Q85" s="264"/>
      <c r="R85" s="264"/>
      <c r="S85" s="276"/>
      <c r="T85" s="264"/>
      <c r="U85" s="264"/>
      <c r="V85" s="264"/>
      <c r="W85" s="264"/>
      <c r="X85" s="264"/>
      <c r="Y85" s="264"/>
    </row>
    <row r="86" spans="1:25">
      <c r="B86" s="287"/>
      <c r="C86" s="287"/>
      <c r="D86" s="293"/>
      <c r="E86" s="293"/>
      <c r="F86" s="287"/>
      <c r="G86" s="287"/>
      <c r="H86" s="255"/>
      <c r="I86" s="255"/>
      <c r="J86" s="261"/>
      <c r="K86" s="261"/>
      <c r="L86" s="261"/>
      <c r="M86" s="261"/>
      <c r="N86" s="261"/>
      <c r="O86" s="261"/>
      <c r="P86" s="261"/>
      <c r="Q86" s="261"/>
      <c r="R86" s="261"/>
      <c r="S86" s="289"/>
      <c r="T86" s="261"/>
      <c r="U86" s="261"/>
      <c r="V86" s="261"/>
      <c r="W86" s="261"/>
      <c r="X86" s="261"/>
      <c r="Y86" s="261"/>
    </row>
    <row r="87" ht="15.5" spans="1:25">
      <c r="A87" s="281" t="s">
        <v>49</v>
      </c>
      <c r="B87" s="287"/>
      <c r="C87" s="287"/>
      <c r="D87" s="293"/>
      <c r="E87" s="293"/>
      <c r="F87" s="287"/>
      <c r="G87" s="287"/>
      <c r="H87" s="255"/>
      <c r="I87" s="255"/>
      <c r="J87" s="261"/>
      <c r="K87" s="261"/>
      <c r="L87" s="261"/>
      <c r="M87" s="261"/>
      <c r="N87" s="261"/>
      <c r="O87" s="261"/>
      <c r="P87" s="261"/>
      <c r="Q87" s="261"/>
      <c r="R87" s="261"/>
      <c r="S87" s="289"/>
      <c r="T87" s="261"/>
      <c r="U87" s="261"/>
      <c r="V87" s="261"/>
      <c r="W87" s="261"/>
      <c r="X87" s="261"/>
      <c r="Y87" s="261"/>
    </row>
    <row r="88" ht="15.5" spans="1:25">
      <c r="A88" s="281" t="s">
        <v>50</v>
      </c>
      <c r="B88" s="289"/>
      <c r="C88" s="289"/>
      <c r="D88" s="289"/>
      <c r="E88" s="294"/>
      <c r="F88" s="289"/>
      <c r="G88" s="289"/>
      <c r="H88" s="289"/>
      <c r="I88" s="289"/>
      <c r="J88" s="289"/>
      <c r="K88" s="289"/>
      <c r="L88" s="289"/>
      <c r="M88" s="289"/>
      <c r="N88" s="289"/>
      <c r="O88" s="289"/>
      <c r="P88" s="289"/>
      <c r="Q88" s="289"/>
      <c r="R88" s="289"/>
      <c r="S88" s="289"/>
      <c r="T88" s="261"/>
      <c r="U88" s="261"/>
      <c r="V88" s="261"/>
      <c r="W88" s="261"/>
      <c r="X88" s="261"/>
      <c r="Y88" s="261"/>
    </row>
    <row r="89" ht="15.5" spans="1:25">
      <c r="A89" s="283" t="s">
        <v>51</v>
      </c>
      <c r="B89" s="266"/>
      <c r="C89" s="266"/>
      <c r="D89" s="295"/>
      <c r="E89" s="295"/>
      <c r="F89" s="266"/>
      <c r="G89" s="266"/>
      <c r="H89" s="266"/>
      <c r="I89" s="266"/>
      <c r="J89" s="266"/>
      <c r="K89" s="266"/>
      <c r="L89" s="266"/>
      <c r="M89" s="266"/>
      <c r="N89" s="266"/>
      <c r="O89" s="266"/>
      <c r="P89" s="266"/>
      <c r="Q89" s="266"/>
      <c r="R89" s="266"/>
      <c r="S89" s="290"/>
      <c r="T89" s="266"/>
      <c r="U89" s="266"/>
      <c r="V89" s="266"/>
      <c r="W89" s="266"/>
      <c r="X89" s="266"/>
      <c r="Y89" s="266"/>
    </row>
    <row r="90" ht="15.5" spans="1:25">
      <c r="A90" s="284" t="s">
        <v>52</v>
      </c>
      <c r="B90" s="296"/>
      <c r="C90" s="296"/>
      <c r="D90" s="297"/>
      <c r="E90" s="297"/>
      <c r="F90" s="296"/>
      <c r="G90" s="296"/>
      <c r="H90" s="296"/>
      <c r="I90" s="296"/>
      <c r="J90" s="296"/>
      <c r="K90" s="296"/>
      <c r="L90" s="288"/>
      <c r="M90" s="288"/>
      <c r="N90" s="288"/>
      <c r="O90" s="288"/>
      <c r="P90" s="288"/>
      <c r="Q90" s="288"/>
      <c r="R90" s="288"/>
      <c r="S90" s="291"/>
      <c r="T90" s="288"/>
      <c r="U90" s="288"/>
      <c r="V90" s="288"/>
      <c r="W90" s="288"/>
      <c r="X90" s="288"/>
      <c r="Y90" s="288"/>
    </row>
    <row r="91" ht="15.5" spans="1:25">
      <c r="A91" s="281" t="s">
        <v>53</v>
      </c>
      <c r="B91" s="261"/>
      <c r="C91" s="261"/>
      <c r="D91" s="298"/>
      <c r="E91" s="298"/>
      <c r="F91" s="261"/>
      <c r="G91" s="261"/>
      <c r="H91" s="261"/>
      <c r="I91" s="261"/>
      <c r="J91" s="261"/>
      <c r="K91" s="261"/>
      <c r="L91" s="261"/>
      <c r="M91" s="261"/>
      <c r="N91" s="261"/>
      <c r="O91" s="261"/>
      <c r="P91" s="261"/>
      <c r="Q91" s="261"/>
      <c r="R91" s="261"/>
      <c r="S91" s="289"/>
      <c r="T91" s="261"/>
      <c r="U91" s="261"/>
      <c r="V91" s="261"/>
      <c r="W91" s="261"/>
      <c r="X91" s="261"/>
      <c r="Y91" s="261"/>
    </row>
    <row r="92" ht="15.5" spans="1:25">
      <c r="A92" s="281" t="s">
        <v>54</v>
      </c>
      <c r="B92" s="288"/>
      <c r="C92" s="288"/>
      <c r="D92" s="299"/>
      <c r="E92" s="299"/>
      <c r="F92" s="288"/>
      <c r="G92" s="288"/>
      <c r="H92" s="288"/>
      <c r="I92" s="288"/>
      <c r="J92" s="288"/>
      <c r="K92" s="288"/>
      <c r="L92" s="288"/>
      <c r="M92" s="288"/>
      <c r="N92" s="288"/>
      <c r="O92" s="288"/>
      <c r="P92" s="288"/>
      <c r="Q92" s="288"/>
      <c r="R92" s="288"/>
      <c r="S92" s="288"/>
      <c r="T92" s="288"/>
      <c r="U92" s="288"/>
      <c r="V92" s="288"/>
      <c r="W92" s="288"/>
      <c r="X92" s="288"/>
      <c r="Y92" s="288"/>
    </row>
    <row r="93" ht="15.5" spans="1:25">
      <c r="A93" s="281"/>
      <c r="B93" s="261"/>
      <c r="C93" s="255"/>
      <c r="D93" s="300"/>
      <c r="E93" s="300"/>
      <c r="F93" s="255"/>
      <c r="G93" s="255"/>
      <c r="H93" s="255"/>
      <c r="I93" s="255"/>
      <c r="J93" s="261"/>
      <c r="K93" s="261"/>
      <c r="L93" s="261"/>
      <c r="M93" s="261"/>
      <c r="N93" s="261"/>
      <c r="O93" s="261"/>
      <c r="P93" s="261"/>
      <c r="Q93" s="261"/>
      <c r="R93" s="261"/>
      <c r="S93" s="289"/>
      <c r="T93" s="255"/>
      <c r="U93" s="255"/>
      <c r="V93" s="255"/>
      <c r="W93" s="255"/>
      <c r="X93" s="255"/>
      <c r="Y93" s="255"/>
    </row>
  </sheetData>
  <mergeCells count="4">
    <mergeCell ref="A1:E1"/>
    <mergeCell ref="G1:J1"/>
    <mergeCell ref="A34:R34"/>
    <mergeCell ref="A74:S74"/>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KYC调单">
    <tabColor rgb="FFFFFFFF"/>
  </sheetPr>
  <dimension ref="A1:AA403"/>
  <sheetViews>
    <sheetView topLeftCell="G1" workbookViewId="0">
      <pane ySplit="1" topLeftCell="A2" activePane="bottomLeft" state="frozen"/>
      <selection/>
      <selection pane="bottomLeft" activeCell="K1" sqref="K1"/>
    </sheetView>
  </sheetViews>
  <sheetFormatPr defaultColWidth="9.81818181818182" defaultRowHeight="16.5"/>
  <cols>
    <col min="1" max="1" width="14.1636363636364" style="49" customWidth="1"/>
    <col min="2" max="2" width="13.4818181818182" style="49" customWidth="1"/>
    <col min="3" max="3" width="21.7090909090909" style="49" customWidth="1"/>
    <col min="4" max="5" width="16.8636363636364" style="49" customWidth="1"/>
    <col min="6" max="6" width="61.6363636363636" style="231" customWidth="1"/>
    <col min="7" max="7" width="16.0545454545455" style="100" customWidth="1"/>
    <col min="8" max="8" width="18.4818181818182" style="100" customWidth="1"/>
    <col min="9" max="9" width="16.1818181818182" style="49" customWidth="1"/>
    <col min="10" max="10" width="24.0090909090909" style="49" customWidth="1"/>
    <col min="11" max="11" width="22.6545454545455" style="232" customWidth="1"/>
    <col min="12" max="12" width="31.8363636363636" style="49" customWidth="1"/>
    <col min="13" max="14" width="30.8909090909091" style="49" customWidth="1"/>
    <col min="15" max="15" width="26.0272727272727" style="10" customWidth="1"/>
    <col min="16" max="16" width="41.8090909090909" style="10" customWidth="1"/>
    <col min="17" max="17" width="17.2636363636364" style="10" customWidth="1"/>
    <col min="18" max="18" width="21.8545454545455" style="10" customWidth="1"/>
    <col min="19" max="19" width="17.2636363636364" style="10" customWidth="1"/>
    <col min="20" max="20" width="21.8545454545455" style="10" customWidth="1"/>
    <col min="21" max="21" width="17.2636363636364" style="10" customWidth="1"/>
    <col min="22" max="23" width="13.6181818181818" style="10" customWidth="1"/>
    <col min="24" max="27" width="13.6727272727273" style="10"/>
  </cols>
  <sheetData>
    <row r="1" ht="30" spans="1:27">
      <c r="A1" s="2" t="s">
        <v>56</v>
      </c>
      <c r="B1" s="2" t="s">
        <v>57</v>
      </c>
      <c r="C1" s="3" t="s">
        <v>58</v>
      </c>
      <c r="D1" s="3" t="s">
        <v>59</v>
      </c>
      <c r="E1" s="3" t="s">
        <v>60</v>
      </c>
      <c r="F1" s="3" t="s">
        <v>61</v>
      </c>
      <c r="G1" s="233" t="s">
        <v>62</v>
      </c>
      <c r="H1" s="233" t="s">
        <v>63</v>
      </c>
      <c r="I1" s="2" t="s">
        <v>64</v>
      </c>
      <c r="J1" s="2" t="s">
        <v>65</v>
      </c>
      <c r="K1" s="120" t="s">
        <v>66</v>
      </c>
      <c r="L1" s="57" t="s">
        <v>67</v>
      </c>
      <c r="M1" s="120" t="s">
        <v>68</v>
      </c>
      <c r="N1" s="120" t="s">
        <v>69</v>
      </c>
      <c r="O1" s="57" t="s">
        <v>70</v>
      </c>
      <c r="P1" s="57" t="s">
        <v>71</v>
      </c>
      <c r="Q1" s="57" t="s">
        <v>72</v>
      </c>
      <c r="R1" s="57" t="s">
        <v>73</v>
      </c>
      <c r="S1" s="57" t="s">
        <v>74</v>
      </c>
      <c r="T1" s="57" t="s">
        <v>75</v>
      </c>
      <c r="U1" s="57" t="s">
        <v>76</v>
      </c>
      <c r="V1" s="57" t="s">
        <v>77</v>
      </c>
      <c r="W1" s="57"/>
      <c r="X1" s="57"/>
      <c r="Y1" s="57"/>
      <c r="Z1" s="57"/>
      <c r="AA1" s="57"/>
    </row>
    <row r="2" ht="30" customHeight="1" spans="1:27">
      <c r="A2" s="79" t="s">
        <v>78</v>
      </c>
      <c r="B2" s="78">
        <v>45614</v>
      </c>
      <c r="C2" s="69" t="str">
        <f>YEAR(B2)&amp;"年"&amp;MONTH(B2)&amp;"月"</f>
        <v>2024年11月</v>
      </c>
      <c r="D2" s="69" t="s">
        <v>10</v>
      </c>
      <c r="E2" s="79" t="s">
        <v>40</v>
      </c>
      <c r="F2" s="234" t="s">
        <v>79</v>
      </c>
      <c r="G2" s="83" t="s">
        <v>80</v>
      </c>
      <c r="H2" s="235" t="s">
        <v>81</v>
      </c>
      <c r="I2" s="79" t="s">
        <v>82</v>
      </c>
      <c r="J2" s="69"/>
      <c r="K2" s="236" t="s">
        <v>83</v>
      </c>
      <c r="L2" s="69" t="s">
        <v>84</v>
      </c>
      <c r="M2" s="69" t="s">
        <v>7</v>
      </c>
      <c r="N2" s="79"/>
      <c r="O2" s="69" t="s">
        <v>85</v>
      </c>
      <c r="P2" s="69"/>
      <c r="Q2" s="78"/>
      <c r="R2" s="237"/>
      <c r="S2" s="237"/>
      <c r="T2" s="237"/>
      <c r="U2" s="69"/>
      <c r="V2" s="69"/>
      <c r="W2" s="69"/>
      <c r="X2" s="69"/>
      <c r="Y2" s="69"/>
      <c r="Z2" s="69"/>
      <c r="AA2" s="69"/>
    </row>
    <row r="3" ht="30" customHeight="1" spans="1:27">
      <c r="A3" s="79" t="s">
        <v>78</v>
      </c>
      <c r="B3" s="10"/>
      <c r="C3" s="10"/>
      <c r="D3" s="69" t="s">
        <v>10</v>
      </c>
      <c r="E3" s="79" t="s">
        <v>40</v>
      </c>
      <c r="F3" s="136"/>
      <c r="G3" s="83" t="s">
        <v>80</v>
      </c>
      <c r="H3" s="235" t="s">
        <v>86</v>
      </c>
      <c r="I3" s="79" t="s">
        <v>82</v>
      </c>
      <c r="J3" s="69"/>
      <c r="K3" s="236" t="s">
        <v>87</v>
      </c>
      <c r="L3" s="69" t="s">
        <v>88</v>
      </c>
      <c r="M3" s="69" t="s">
        <v>7</v>
      </c>
      <c r="N3" s="79"/>
      <c r="O3" s="69" t="s">
        <v>89</v>
      </c>
      <c r="P3" s="69"/>
      <c r="Q3" s="78"/>
      <c r="R3" s="237"/>
      <c r="S3" s="237"/>
      <c r="T3" s="237"/>
      <c r="U3" s="69"/>
      <c r="V3" s="69"/>
      <c r="W3" s="69"/>
      <c r="X3" s="69"/>
      <c r="Y3" s="69"/>
      <c r="Z3" s="69"/>
      <c r="AA3" s="69"/>
    </row>
    <row r="4" ht="30" customHeight="1" spans="1:27">
      <c r="A4" s="79" t="s">
        <v>78</v>
      </c>
      <c r="B4" s="10"/>
      <c r="C4" s="10"/>
      <c r="D4" s="69" t="s">
        <v>10</v>
      </c>
      <c r="E4" s="79" t="s">
        <v>40</v>
      </c>
      <c r="F4" s="136"/>
      <c r="G4" s="83" t="s">
        <v>80</v>
      </c>
      <c r="H4" s="235" t="s">
        <v>90</v>
      </c>
      <c r="I4" s="79" t="s">
        <v>82</v>
      </c>
      <c r="J4" s="69"/>
      <c r="K4" s="236" t="s">
        <v>91</v>
      </c>
      <c r="L4" s="69" t="s">
        <v>92</v>
      </c>
      <c r="M4" s="69" t="s">
        <v>7</v>
      </c>
      <c r="N4" s="79"/>
      <c r="O4" s="69" t="s">
        <v>85</v>
      </c>
      <c r="P4" s="69"/>
      <c r="Q4" s="78"/>
      <c r="R4" s="237"/>
      <c r="S4" s="237"/>
      <c r="T4" s="237"/>
      <c r="U4" s="69"/>
      <c r="V4" s="69"/>
      <c r="W4" s="69"/>
      <c r="X4" s="69"/>
      <c r="Y4" s="69"/>
      <c r="Z4" s="69"/>
      <c r="AA4" s="69"/>
    </row>
    <row r="5" ht="30" customHeight="1" spans="1:27">
      <c r="A5" s="79" t="s">
        <v>78</v>
      </c>
      <c r="B5" s="10"/>
      <c r="C5" s="10"/>
      <c r="D5" s="69" t="s">
        <v>10</v>
      </c>
      <c r="E5" s="79" t="s">
        <v>40</v>
      </c>
      <c r="F5" s="136"/>
      <c r="G5" s="83" t="s">
        <v>80</v>
      </c>
      <c r="H5" s="235" t="s">
        <v>90</v>
      </c>
      <c r="I5" s="79" t="s">
        <v>82</v>
      </c>
      <c r="J5" s="69"/>
      <c r="K5" s="236" t="s">
        <v>93</v>
      </c>
      <c r="L5" s="69" t="s">
        <v>92</v>
      </c>
      <c r="M5" s="69" t="s">
        <v>7</v>
      </c>
      <c r="N5" s="79"/>
      <c r="O5" s="69" t="s">
        <v>94</v>
      </c>
      <c r="P5" s="69"/>
      <c r="Q5" s="78"/>
      <c r="R5" s="237"/>
      <c r="S5" s="237"/>
      <c r="T5" s="237"/>
      <c r="U5" s="69"/>
      <c r="V5" s="69"/>
      <c r="W5" s="69"/>
      <c r="X5" s="69"/>
      <c r="Y5" s="69"/>
      <c r="Z5" s="69"/>
      <c r="AA5" s="69"/>
    </row>
    <row r="6" ht="30" customHeight="1" spans="1:27">
      <c r="A6" s="79" t="s">
        <v>78</v>
      </c>
      <c r="B6" s="10"/>
      <c r="C6" s="10"/>
      <c r="D6" s="69" t="s">
        <v>10</v>
      </c>
      <c r="E6" s="79" t="s">
        <v>40</v>
      </c>
      <c r="F6" s="136"/>
      <c r="G6" s="83" t="s">
        <v>80</v>
      </c>
      <c r="H6" s="235" t="s">
        <v>81</v>
      </c>
      <c r="I6" s="79" t="s">
        <v>82</v>
      </c>
      <c r="J6" s="69"/>
      <c r="K6" s="236" t="s">
        <v>95</v>
      </c>
      <c r="L6" s="69" t="s">
        <v>96</v>
      </c>
      <c r="M6" s="69" t="s">
        <v>7</v>
      </c>
      <c r="N6" s="79"/>
      <c r="O6" s="69" t="s">
        <v>97</v>
      </c>
      <c r="P6" s="69"/>
      <c r="Q6" s="78"/>
      <c r="R6" s="237"/>
      <c r="S6" s="237"/>
      <c r="T6" s="237"/>
      <c r="U6" s="69"/>
      <c r="V6" s="69"/>
      <c r="W6" s="69"/>
      <c r="X6" s="69"/>
      <c r="Y6" s="69"/>
      <c r="Z6" s="69"/>
      <c r="AA6" s="69"/>
    </row>
    <row r="7" ht="30" customHeight="1" spans="1:27">
      <c r="A7" s="79" t="s">
        <v>78</v>
      </c>
      <c r="B7" s="78">
        <v>45630</v>
      </c>
      <c r="C7" s="69" t="str">
        <f>YEAR(B7)&amp;"年"&amp;MONTH(B7)&amp;"月"</f>
        <v>2024年12月</v>
      </c>
      <c r="D7" s="69" t="s">
        <v>10</v>
      </c>
      <c r="E7" s="79" t="s">
        <v>40</v>
      </c>
      <c r="F7" s="69" t="s">
        <v>98</v>
      </c>
      <c r="G7" s="83" t="s">
        <v>80</v>
      </c>
      <c r="H7" s="235" t="s">
        <v>86</v>
      </c>
      <c r="I7" s="79" t="s">
        <v>82</v>
      </c>
      <c r="J7" s="69"/>
      <c r="K7" s="236" t="s">
        <v>99</v>
      </c>
      <c r="L7" s="69" t="s">
        <v>100</v>
      </c>
      <c r="M7" s="69" t="s">
        <v>7</v>
      </c>
      <c r="N7" s="79"/>
      <c r="O7" s="69" t="s">
        <v>94</v>
      </c>
      <c r="P7" s="69"/>
      <c r="Q7" s="78"/>
      <c r="R7" s="237"/>
      <c r="S7" s="237"/>
      <c r="T7" s="237"/>
      <c r="U7" s="69"/>
      <c r="V7" s="69"/>
      <c r="W7" s="69"/>
      <c r="X7" s="69"/>
      <c r="Y7" s="69"/>
      <c r="Z7" s="69"/>
      <c r="AA7" s="69"/>
    </row>
    <row r="8" ht="30" customHeight="1" spans="1:27">
      <c r="A8" s="79" t="s">
        <v>78</v>
      </c>
      <c r="B8" s="10"/>
      <c r="C8" s="10"/>
      <c r="D8" s="69" t="s">
        <v>10</v>
      </c>
      <c r="E8" s="79" t="s">
        <v>40</v>
      </c>
      <c r="F8" s="136"/>
      <c r="G8" s="83" t="s">
        <v>80</v>
      </c>
      <c r="H8" s="235" t="s">
        <v>86</v>
      </c>
      <c r="I8" s="79" t="s">
        <v>82</v>
      </c>
      <c r="J8" s="69"/>
      <c r="K8" s="236" t="s">
        <v>101</v>
      </c>
      <c r="L8" s="69" t="s">
        <v>100</v>
      </c>
      <c r="M8" s="69" t="s">
        <v>7</v>
      </c>
      <c r="N8" s="79"/>
      <c r="O8" s="69" t="s">
        <v>89</v>
      </c>
      <c r="P8" s="69"/>
      <c r="Q8" s="78"/>
      <c r="R8" s="237"/>
      <c r="S8" s="237"/>
      <c r="T8" s="237"/>
      <c r="U8" s="69"/>
      <c r="V8" s="69"/>
      <c r="W8" s="69"/>
      <c r="X8" s="69"/>
      <c r="Y8" s="69"/>
      <c r="Z8" s="69"/>
      <c r="AA8" s="69"/>
    </row>
    <row r="9" ht="30" customHeight="1" spans="1:27">
      <c r="A9" s="79" t="s">
        <v>78</v>
      </c>
      <c r="B9" s="10"/>
      <c r="C9" s="10"/>
      <c r="D9" s="69" t="s">
        <v>10</v>
      </c>
      <c r="E9" s="79" t="s">
        <v>40</v>
      </c>
      <c r="F9" s="136"/>
      <c r="G9" s="83" t="s">
        <v>80</v>
      </c>
      <c r="H9" s="235" t="s">
        <v>86</v>
      </c>
      <c r="I9" s="79" t="s">
        <v>82</v>
      </c>
      <c r="J9" s="69"/>
      <c r="K9" s="236" t="s">
        <v>99</v>
      </c>
      <c r="L9" s="69" t="s">
        <v>100</v>
      </c>
      <c r="M9" s="69" t="s">
        <v>7</v>
      </c>
      <c r="N9" s="79"/>
      <c r="O9" s="69" t="s">
        <v>94</v>
      </c>
      <c r="P9" s="69"/>
      <c r="Q9" s="78"/>
      <c r="R9" s="237"/>
      <c r="S9" s="237"/>
      <c r="T9" s="237"/>
      <c r="U9" s="69"/>
      <c r="V9" s="69"/>
      <c r="W9" s="69"/>
      <c r="X9" s="69"/>
      <c r="Y9" s="69"/>
      <c r="Z9" s="69"/>
      <c r="AA9" s="69"/>
    </row>
    <row r="10" ht="30" customHeight="1" spans="1:27">
      <c r="A10" s="40" t="s">
        <v>78</v>
      </c>
      <c r="B10" s="7">
        <v>45638</v>
      </c>
      <c r="C10" s="6" t="str">
        <f t="shared" ref="C10:C71" si="0">YEAR(B10)&amp;"年"&amp;MONTH(B10)&amp;"月"</f>
        <v>2024年12月</v>
      </c>
      <c r="D10" s="6" t="s">
        <v>10</v>
      </c>
      <c r="E10" s="40" t="s">
        <v>40</v>
      </c>
      <c r="F10" s="141" t="s">
        <v>102</v>
      </c>
      <c r="G10" s="61" t="s">
        <v>80</v>
      </c>
      <c r="H10" s="95" t="s">
        <v>81</v>
      </c>
      <c r="I10" s="40" t="s">
        <v>82</v>
      </c>
      <c r="J10" s="6"/>
      <c r="K10" s="71" t="s">
        <v>103</v>
      </c>
      <c r="L10" s="6" t="s">
        <v>104</v>
      </c>
      <c r="M10" s="6" t="s">
        <v>105</v>
      </c>
      <c r="N10" s="40"/>
      <c r="O10" s="6" t="s">
        <v>85</v>
      </c>
      <c r="P10" s="6"/>
      <c r="Q10" s="7"/>
      <c r="R10" s="74"/>
      <c r="S10" s="74"/>
      <c r="T10" s="74"/>
      <c r="U10" s="6"/>
      <c r="V10" s="6"/>
      <c r="W10" s="6"/>
      <c r="X10" s="6"/>
      <c r="Y10" s="6"/>
      <c r="Z10" s="6"/>
      <c r="AA10" s="6"/>
    </row>
    <row r="11" ht="30" customHeight="1" spans="1:27">
      <c r="A11" s="40" t="s">
        <v>78</v>
      </c>
      <c r="B11" s="7">
        <v>45638</v>
      </c>
      <c r="C11" s="6" t="str">
        <f t="shared" si="0"/>
        <v>2024年12月</v>
      </c>
      <c r="D11" s="6" t="s">
        <v>10</v>
      </c>
      <c r="E11" s="40" t="s">
        <v>40</v>
      </c>
      <c r="F11" s="141" t="s">
        <v>106</v>
      </c>
      <c r="G11" s="61" t="s">
        <v>80</v>
      </c>
      <c r="H11" s="95" t="s">
        <v>107</v>
      </c>
      <c r="I11" s="40" t="s">
        <v>82</v>
      </c>
      <c r="J11" s="6"/>
      <c r="K11" s="71" t="s">
        <v>108</v>
      </c>
      <c r="L11" s="6" t="s">
        <v>109</v>
      </c>
      <c r="M11" s="6" t="s">
        <v>105</v>
      </c>
      <c r="N11" s="238" t="s">
        <v>110</v>
      </c>
      <c r="O11" s="6" t="s">
        <v>111</v>
      </c>
      <c r="P11" s="6"/>
      <c r="Q11" s="7"/>
      <c r="R11" s="74"/>
      <c r="S11" s="74"/>
      <c r="T11" s="74"/>
      <c r="U11" s="6"/>
      <c r="V11" s="6"/>
      <c r="W11" s="6"/>
      <c r="X11" s="6"/>
      <c r="Y11" s="6"/>
      <c r="Z11" s="6"/>
      <c r="AA11" s="6"/>
    </row>
    <row r="12" ht="30" customHeight="1" spans="1:27">
      <c r="A12" s="40" t="s">
        <v>78</v>
      </c>
      <c r="B12" s="7">
        <v>45638</v>
      </c>
      <c r="C12" s="6" t="str">
        <f t="shared" si="0"/>
        <v>2024年12月</v>
      </c>
      <c r="D12" s="6" t="s">
        <v>10</v>
      </c>
      <c r="E12" s="40" t="s">
        <v>40</v>
      </c>
      <c r="F12" s="141" t="s">
        <v>112</v>
      </c>
      <c r="G12" s="61" t="s">
        <v>80</v>
      </c>
      <c r="H12" s="95" t="s">
        <v>81</v>
      </c>
      <c r="I12" s="40" t="s">
        <v>82</v>
      </c>
      <c r="J12" s="6"/>
      <c r="K12" s="71" t="s">
        <v>103</v>
      </c>
      <c r="L12" s="6" t="s">
        <v>104</v>
      </c>
      <c r="M12" s="6" t="s">
        <v>105</v>
      </c>
      <c r="N12" s="238" t="s">
        <v>110</v>
      </c>
      <c r="O12" s="6" t="s">
        <v>85</v>
      </c>
      <c r="P12" s="6"/>
      <c r="Q12" s="7"/>
      <c r="R12" s="74"/>
      <c r="S12" s="74"/>
      <c r="T12" s="74"/>
      <c r="U12" s="6"/>
      <c r="V12" s="6"/>
      <c r="W12" s="6"/>
      <c r="X12" s="6"/>
      <c r="Y12" s="6"/>
      <c r="Z12" s="6"/>
      <c r="AA12" s="6"/>
    </row>
    <row r="13" ht="30" customHeight="1" spans="1:27">
      <c r="A13" s="40" t="s">
        <v>78</v>
      </c>
      <c r="B13" s="7">
        <v>45638</v>
      </c>
      <c r="C13" s="6" t="str">
        <f t="shared" si="0"/>
        <v>2024年12月</v>
      </c>
      <c r="D13" s="6" t="s">
        <v>10</v>
      </c>
      <c r="E13" s="40" t="s">
        <v>40</v>
      </c>
      <c r="F13" s="141" t="s">
        <v>113</v>
      </c>
      <c r="G13" s="61" t="s">
        <v>80</v>
      </c>
      <c r="H13" s="95" t="s">
        <v>107</v>
      </c>
      <c r="I13" s="40" t="s">
        <v>82</v>
      </c>
      <c r="J13" s="6"/>
      <c r="K13" s="71" t="s">
        <v>114</v>
      </c>
      <c r="L13" s="6" t="s">
        <v>115</v>
      </c>
      <c r="M13" s="6" t="s">
        <v>105</v>
      </c>
      <c r="N13" s="238" t="s">
        <v>110</v>
      </c>
      <c r="O13" s="6" t="s">
        <v>85</v>
      </c>
      <c r="P13" s="6"/>
      <c r="Q13" s="7"/>
      <c r="R13" s="74"/>
      <c r="S13" s="74"/>
      <c r="T13" s="74"/>
      <c r="U13" s="6"/>
      <c r="V13" s="6"/>
      <c r="W13" s="6"/>
      <c r="X13" s="6"/>
      <c r="Y13" s="6"/>
      <c r="Z13" s="6"/>
      <c r="AA13" s="6"/>
    </row>
    <row r="14" ht="30" customHeight="1" spans="1:27">
      <c r="A14" s="40" t="s">
        <v>78</v>
      </c>
      <c r="B14" s="7">
        <v>45643</v>
      </c>
      <c r="C14" s="6" t="str">
        <f t="shared" si="0"/>
        <v>2024年12月</v>
      </c>
      <c r="D14" s="6" t="s">
        <v>10</v>
      </c>
      <c r="E14" s="40" t="s">
        <v>40</v>
      </c>
      <c r="F14" s="141" t="s">
        <v>116</v>
      </c>
      <c r="G14" s="61" t="s">
        <v>80</v>
      </c>
      <c r="H14" s="95" t="s">
        <v>117</v>
      </c>
      <c r="I14" s="40" t="s">
        <v>82</v>
      </c>
      <c r="J14" s="6"/>
      <c r="K14" s="71" t="s">
        <v>118</v>
      </c>
      <c r="L14" s="6" t="s">
        <v>119</v>
      </c>
      <c r="M14" s="6" t="s">
        <v>105</v>
      </c>
      <c r="N14" s="238" t="s">
        <v>110</v>
      </c>
      <c r="O14" s="6" t="s">
        <v>120</v>
      </c>
      <c r="P14" s="6"/>
      <c r="Q14" s="7"/>
      <c r="R14" s="74"/>
      <c r="S14" s="74"/>
      <c r="T14" s="74"/>
      <c r="U14" s="6"/>
      <c r="V14" s="6"/>
      <c r="W14" s="6"/>
      <c r="X14" s="6"/>
      <c r="Y14" s="6"/>
      <c r="Z14" s="6"/>
      <c r="AA14" s="6"/>
    </row>
    <row r="15" ht="30" customHeight="1" spans="1:27">
      <c r="A15" s="40"/>
      <c r="B15" s="7">
        <v>45644</v>
      </c>
      <c r="C15" s="6" t="str">
        <f t="shared" si="0"/>
        <v>2024年12月</v>
      </c>
      <c r="D15" s="6" t="s">
        <v>10</v>
      </c>
      <c r="E15" s="40" t="s">
        <v>39</v>
      </c>
      <c r="F15" s="141"/>
      <c r="G15" s="61"/>
      <c r="H15" s="61"/>
      <c r="I15" s="40" t="s">
        <v>82</v>
      </c>
      <c r="J15" s="6" t="s">
        <v>121</v>
      </c>
      <c r="K15" s="8" t="s">
        <v>122</v>
      </c>
      <c r="L15" s="6" t="s">
        <v>123</v>
      </c>
      <c r="M15" s="6" t="s">
        <v>105</v>
      </c>
      <c r="N15" s="238" t="s">
        <v>110</v>
      </c>
      <c r="O15" s="6" t="s">
        <v>124</v>
      </c>
      <c r="P15" s="6"/>
      <c r="Q15" s="7"/>
      <c r="R15" s="74"/>
      <c r="S15" s="74"/>
      <c r="T15" s="74"/>
      <c r="U15" s="6"/>
      <c r="V15" s="6"/>
      <c r="W15" s="6"/>
      <c r="X15" s="6"/>
      <c r="Y15" s="6"/>
      <c r="Z15" s="6"/>
      <c r="AA15" s="6"/>
    </row>
    <row r="16" ht="30" customHeight="1" spans="1:27">
      <c r="A16" s="40"/>
      <c r="B16" s="7">
        <v>45646</v>
      </c>
      <c r="C16" s="6" t="str">
        <f t="shared" si="0"/>
        <v>2024年12月</v>
      </c>
      <c r="D16" s="6" t="s">
        <v>10</v>
      </c>
      <c r="E16" s="40" t="s">
        <v>39</v>
      </c>
      <c r="F16" s="141"/>
      <c r="G16" s="61"/>
      <c r="H16" s="61"/>
      <c r="I16" s="40" t="s">
        <v>82</v>
      </c>
      <c r="J16" s="6">
        <v>12.24</v>
      </c>
      <c r="K16" s="8" t="s">
        <v>125</v>
      </c>
      <c r="L16" s="6" t="s">
        <v>126</v>
      </c>
      <c r="M16" s="6" t="s">
        <v>105</v>
      </c>
      <c r="N16" s="238" t="s">
        <v>110</v>
      </c>
      <c r="O16" s="6" t="s">
        <v>124</v>
      </c>
      <c r="P16" s="6"/>
      <c r="Q16" s="7"/>
      <c r="R16" s="74"/>
      <c r="S16" s="74"/>
      <c r="T16" s="74"/>
      <c r="U16" s="6"/>
      <c r="V16" s="6"/>
      <c r="W16" s="6"/>
      <c r="X16" s="6"/>
      <c r="Y16" s="6"/>
      <c r="Z16" s="6"/>
      <c r="AA16" s="6"/>
    </row>
    <row r="17" ht="30" customHeight="1" spans="1:27">
      <c r="A17" s="40"/>
      <c r="B17" s="7">
        <v>45672</v>
      </c>
      <c r="C17" s="6" t="str">
        <f t="shared" si="0"/>
        <v>2025年1月</v>
      </c>
      <c r="D17" s="6" t="s">
        <v>10</v>
      </c>
      <c r="E17" s="40" t="s">
        <v>39</v>
      </c>
      <c r="F17" s="109"/>
      <c r="G17" s="61"/>
      <c r="H17" s="61"/>
      <c r="I17" s="40" t="s">
        <v>82</v>
      </c>
      <c r="J17" s="6"/>
      <c r="K17" s="8" t="s">
        <v>127</v>
      </c>
      <c r="L17" s="6" t="s">
        <v>128</v>
      </c>
      <c r="M17" s="6" t="s">
        <v>105</v>
      </c>
      <c r="N17" s="238" t="s">
        <v>110</v>
      </c>
      <c r="O17" s="6" t="s">
        <v>129</v>
      </c>
      <c r="P17" s="6"/>
      <c r="Q17" s="7"/>
      <c r="R17" s="74"/>
      <c r="S17" s="74"/>
      <c r="T17" s="74"/>
      <c r="U17" s="6"/>
      <c r="V17" s="6"/>
      <c r="W17" s="6"/>
      <c r="X17" s="6"/>
      <c r="Y17" s="6"/>
      <c r="Z17" s="6"/>
      <c r="AA17" s="6"/>
    </row>
    <row r="18" ht="30" customHeight="1" spans="1:27">
      <c r="A18" s="40"/>
      <c r="B18" s="7">
        <v>45674</v>
      </c>
      <c r="C18" s="6" t="str">
        <f t="shared" si="0"/>
        <v>2025年1月</v>
      </c>
      <c r="D18" s="6" t="s">
        <v>10</v>
      </c>
      <c r="E18" s="40" t="s">
        <v>39</v>
      </c>
      <c r="F18" s="141"/>
      <c r="G18" s="61"/>
      <c r="H18" s="61"/>
      <c r="I18" s="40" t="s">
        <v>82</v>
      </c>
      <c r="J18" s="6"/>
      <c r="K18" s="8" t="s">
        <v>130</v>
      </c>
      <c r="L18" s="6" t="s">
        <v>131</v>
      </c>
      <c r="M18" s="6" t="s">
        <v>105</v>
      </c>
      <c r="N18" s="238" t="s">
        <v>110</v>
      </c>
      <c r="O18" s="6" t="s">
        <v>97</v>
      </c>
      <c r="P18" s="6"/>
      <c r="Q18" s="7"/>
      <c r="R18" s="74"/>
      <c r="S18" s="74"/>
      <c r="T18" s="74"/>
      <c r="U18" s="6"/>
      <c r="V18" s="6"/>
      <c r="W18" s="6"/>
      <c r="X18" s="6"/>
      <c r="Y18" s="6"/>
      <c r="Z18" s="6"/>
      <c r="AA18" s="6"/>
    </row>
    <row r="19" ht="30" customHeight="1" spans="1:27">
      <c r="A19" s="40"/>
      <c r="B19" s="7">
        <v>45674</v>
      </c>
      <c r="C19" s="6" t="str">
        <f t="shared" si="0"/>
        <v>2025年1月</v>
      </c>
      <c r="D19" s="6" t="s">
        <v>10</v>
      </c>
      <c r="E19" s="40" t="s">
        <v>39</v>
      </c>
      <c r="F19" s="141"/>
      <c r="G19" s="61"/>
      <c r="H19" s="61"/>
      <c r="I19" s="40" t="s">
        <v>82</v>
      </c>
      <c r="J19" s="6"/>
      <c r="K19" s="8" t="s">
        <v>132</v>
      </c>
      <c r="L19" s="6" t="s">
        <v>133</v>
      </c>
      <c r="M19" s="6" t="s">
        <v>105</v>
      </c>
      <c r="N19" s="238" t="s">
        <v>110</v>
      </c>
      <c r="O19" s="6" t="s">
        <v>111</v>
      </c>
      <c r="P19" s="6"/>
      <c r="Q19" s="7"/>
      <c r="R19" s="74"/>
      <c r="S19" s="74"/>
      <c r="T19" s="74"/>
      <c r="U19" s="6"/>
      <c r="V19" s="6"/>
      <c r="W19" s="6"/>
      <c r="X19" s="6"/>
      <c r="Y19" s="6"/>
      <c r="Z19" s="6"/>
      <c r="AA19" s="6"/>
    </row>
    <row r="20" ht="30" customHeight="1" spans="1:27">
      <c r="A20" s="40"/>
      <c r="B20" s="7">
        <v>45674</v>
      </c>
      <c r="C20" s="6" t="str">
        <f t="shared" si="0"/>
        <v>2025年1月</v>
      </c>
      <c r="D20" s="6" t="s">
        <v>10</v>
      </c>
      <c r="E20" s="40" t="s">
        <v>39</v>
      </c>
      <c r="F20" s="141"/>
      <c r="G20" s="61"/>
      <c r="H20" s="61"/>
      <c r="I20" s="40" t="s">
        <v>82</v>
      </c>
      <c r="J20" s="6"/>
      <c r="K20" s="8" t="s">
        <v>134</v>
      </c>
      <c r="L20" s="6" t="s">
        <v>135</v>
      </c>
      <c r="M20" s="6" t="s">
        <v>105</v>
      </c>
      <c r="N20" s="238" t="s">
        <v>110</v>
      </c>
      <c r="O20" s="6" t="s">
        <v>136</v>
      </c>
      <c r="P20" s="6"/>
      <c r="Q20" s="7"/>
      <c r="R20" s="74"/>
      <c r="S20" s="74"/>
      <c r="T20" s="74"/>
      <c r="U20" s="6"/>
      <c r="V20" s="6"/>
      <c r="W20" s="6"/>
      <c r="X20" s="6"/>
      <c r="Y20" s="6"/>
      <c r="Z20" s="6"/>
      <c r="AA20" s="6"/>
    </row>
    <row r="21" ht="30" customHeight="1" spans="1:27">
      <c r="A21" s="40" t="s">
        <v>78</v>
      </c>
      <c r="B21" s="7">
        <v>45670</v>
      </c>
      <c r="C21" s="6" t="str">
        <f t="shared" si="0"/>
        <v>2025年1月</v>
      </c>
      <c r="D21" s="6" t="s">
        <v>10</v>
      </c>
      <c r="E21" s="40" t="s">
        <v>40</v>
      </c>
      <c r="F21" s="141" t="s">
        <v>137</v>
      </c>
      <c r="G21" s="61" t="s">
        <v>80</v>
      </c>
      <c r="H21" s="108" t="s">
        <v>107</v>
      </c>
      <c r="I21" s="40" t="s">
        <v>82</v>
      </c>
      <c r="J21" s="6"/>
      <c r="K21" s="8" t="s">
        <v>114</v>
      </c>
      <c r="L21" s="6" t="s">
        <v>115</v>
      </c>
      <c r="M21" s="6" t="s">
        <v>105</v>
      </c>
      <c r="N21" s="238" t="s">
        <v>110</v>
      </c>
      <c r="O21" s="6" t="s">
        <v>85</v>
      </c>
      <c r="P21" s="6"/>
      <c r="Q21" s="7"/>
      <c r="R21" s="74"/>
      <c r="S21" s="74"/>
      <c r="T21" s="74"/>
      <c r="U21" s="6"/>
      <c r="V21" s="6"/>
      <c r="W21" s="6"/>
      <c r="X21" s="6"/>
      <c r="Y21" s="6"/>
      <c r="Z21" s="6"/>
      <c r="AA21" s="6"/>
    </row>
    <row r="22" ht="30" customHeight="1" spans="1:27">
      <c r="A22" s="40" t="s">
        <v>78</v>
      </c>
      <c r="B22" s="7">
        <v>45670</v>
      </c>
      <c r="C22" s="6" t="str">
        <f t="shared" si="0"/>
        <v>2025年1月</v>
      </c>
      <c r="D22" s="6" t="s">
        <v>10</v>
      </c>
      <c r="E22" s="40" t="s">
        <v>40</v>
      </c>
      <c r="F22" s="141" t="s">
        <v>138</v>
      </c>
      <c r="G22" s="61" t="s">
        <v>139</v>
      </c>
      <c r="H22" s="61"/>
      <c r="I22" s="40" t="s">
        <v>82</v>
      </c>
      <c r="J22" s="6"/>
      <c r="K22" s="8" t="s">
        <v>140</v>
      </c>
      <c r="L22" s="6" t="s">
        <v>141</v>
      </c>
      <c r="M22" s="6" t="s">
        <v>105</v>
      </c>
      <c r="N22" s="238" t="s">
        <v>110</v>
      </c>
      <c r="O22" s="10" t="s">
        <v>120</v>
      </c>
      <c r="P22" s="109"/>
      <c r="Q22" s="7"/>
      <c r="R22" s="74"/>
      <c r="S22" s="74"/>
      <c r="T22" s="74"/>
      <c r="U22" s="6"/>
      <c r="V22" s="6"/>
      <c r="W22" s="6"/>
      <c r="X22" s="6"/>
      <c r="Y22" s="6"/>
      <c r="Z22" s="6"/>
      <c r="AA22" s="6"/>
    </row>
    <row r="23" ht="30" customHeight="1" spans="1:27">
      <c r="A23" s="40" t="s">
        <v>142</v>
      </c>
      <c r="B23" s="7">
        <v>45675</v>
      </c>
      <c r="C23" s="6" t="str">
        <f t="shared" si="0"/>
        <v>2025年1月</v>
      </c>
      <c r="D23" s="6" t="s">
        <v>12</v>
      </c>
      <c r="E23" s="40" t="s">
        <v>40</v>
      </c>
      <c r="F23" s="141" t="s">
        <v>143</v>
      </c>
      <c r="G23" s="61" t="s">
        <v>139</v>
      </c>
      <c r="H23" s="61"/>
      <c r="I23" s="40" t="s">
        <v>82</v>
      </c>
      <c r="J23" s="6"/>
      <c r="K23" s="8" t="s">
        <v>144</v>
      </c>
      <c r="L23" s="6" t="s">
        <v>145</v>
      </c>
      <c r="M23" s="6" t="s">
        <v>105</v>
      </c>
      <c r="N23" s="238" t="s">
        <v>110</v>
      </c>
      <c r="O23" s="6" t="s">
        <v>146</v>
      </c>
      <c r="P23" s="6" t="s">
        <v>147</v>
      </c>
      <c r="Q23" s="7"/>
      <c r="R23" s="74"/>
      <c r="S23" s="74"/>
      <c r="T23" s="74"/>
      <c r="U23" s="6"/>
      <c r="V23" s="6"/>
      <c r="W23" s="6"/>
      <c r="X23" s="6"/>
      <c r="Y23" s="6"/>
      <c r="Z23" s="6"/>
      <c r="AA23" s="6"/>
    </row>
    <row r="24" ht="30" customHeight="1" spans="1:27">
      <c r="A24" s="40" t="s">
        <v>142</v>
      </c>
      <c r="B24" s="7">
        <v>45675</v>
      </c>
      <c r="C24" s="6" t="str">
        <f t="shared" si="0"/>
        <v>2025年1月</v>
      </c>
      <c r="D24" s="6" t="s">
        <v>11</v>
      </c>
      <c r="E24" s="40" t="s">
        <v>40</v>
      </c>
      <c r="F24" s="141" t="s">
        <v>148</v>
      </c>
      <c r="G24" s="61" t="s">
        <v>149</v>
      </c>
      <c r="H24" s="61"/>
      <c r="I24" s="40" t="s">
        <v>82</v>
      </c>
      <c r="J24" s="40"/>
      <c r="K24" s="8" t="s">
        <v>150</v>
      </c>
      <c r="L24" s="6" t="s">
        <v>151</v>
      </c>
      <c r="M24" s="6" t="s">
        <v>105</v>
      </c>
      <c r="N24" s="238" t="s">
        <v>110</v>
      </c>
      <c r="O24" s="6" t="s">
        <v>111</v>
      </c>
      <c r="P24" s="6"/>
      <c r="Q24" s="7"/>
      <c r="R24" s="74"/>
      <c r="S24" s="74"/>
      <c r="T24" s="74"/>
      <c r="U24" s="6"/>
      <c r="V24" s="6"/>
      <c r="W24" s="6"/>
      <c r="X24" s="6"/>
      <c r="Y24" s="6"/>
      <c r="Z24" s="6"/>
      <c r="AA24" s="6"/>
    </row>
    <row r="25" ht="30" customHeight="1" spans="1:27">
      <c r="A25" s="40" t="s">
        <v>78</v>
      </c>
      <c r="B25" s="7">
        <v>45674</v>
      </c>
      <c r="C25" s="6" t="str">
        <f t="shared" si="0"/>
        <v>2025年1月</v>
      </c>
      <c r="D25" s="6" t="s">
        <v>10</v>
      </c>
      <c r="E25" s="40" t="s">
        <v>40</v>
      </c>
      <c r="F25" s="141" t="s">
        <v>152</v>
      </c>
      <c r="G25" s="61" t="s">
        <v>80</v>
      </c>
      <c r="H25" s="108" t="s">
        <v>107</v>
      </c>
      <c r="I25" s="40" t="s">
        <v>82</v>
      </c>
      <c r="J25" s="40"/>
      <c r="K25" s="8" t="s">
        <v>153</v>
      </c>
      <c r="L25" s="6" t="s">
        <v>154</v>
      </c>
      <c r="M25" s="6" t="s">
        <v>105</v>
      </c>
      <c r="N25" s="238" t="s">
        <v>110</v>
      </c>
      <c r="O25" s="6" t="s">
        <v>120</v>
      </c>
      <c r="P25" s="6"/>
      <c r="Q25" s="7"/>
      <c r="R25" s="74"/>
      <c r="S25" s="74"/>
      <c r="T25" s="74"/>
      <c r="U25" s="6"/>
      <c r="V25" s="6"/>
      <c r="W25" s="6"/>
      <c r="X25" s="6"/>
      <c r="Y25" s="6"/>
      <c r="Z25" s="6"/>
      <c r="AA25" s="6"/>
    </row>
    <row r="26" ht="30" customHeight="1" spans="1:27">
      <c r="A26" s="40" t="s">
        <v>78</v>
      </c>
      <c r="B26" s="7">
        <v>45675</v>
      </c>
      <c r="C26" s="6" t="str">
        <f t="shared" si="0"/>
        <v>2025年1月</v>
      </c>
      <c r="D26" s="6" t="s">
        <v>10</v>
      </c>
      <c r="E26" s="40" t="s">
        <v>40</v>
      </c>
      <c r="F26" s="239" t="s">
        <v>155</v>
      </c>
      <c r="G26" s="240" t="s">
        <v>149</v>
      </c>
      <c r="H26" s="240"/>
      <c r="I26" s="40" t="s">
        <v>82</v>
      </c>
      <c r="J26" s="6"/>
      <c r="K26" s="8"/>
      <c r="L26" s="6" t="s">
        <v>156</v>
      </c>
      <c r="M26" s="6" t="s">
        <v>105</v>
      </c>
      <c r="N26" s="238" t="s">
        <v>110</v>
      </c>
      <c r="O26" s="6" t="s">
        <v>94</v>
      </c>
      <c r="P26" s="6"/>
      <c r="Q26" s="7"/>
      <c r="R26" s="74"/>
      <c r="S26" s="74"/>
      <c r="T26" s="74"/>
      <c r="U26" s="6"/>
      <c r="V26" s="6"/>
      <c r="W26" s="6"/>
      <c r="X26" s="6"/>
      <c r="Y26" s="6"/>
      <c r="Z26" s="6"/>
      <c r="AA26" s="6"/>
    </row>
    <row r="27" ht="30" customHeight="1" spans="1:27">
      <c r="A27" s="40" t="s">
        <v>78</v>
      </c>
      <c r="B27" s="7">
        <v>45677</v>
      </c>
      <c r="C27" s="6" t="str">
        <f t="shared" si="0"/>
        <v>2025年1月</v>
      </c>
      <c r="D27" s="6" t="s">
        <v>10</v>
      </c>
      <c r="E27" s="40" t="s">
        <v>40</v>
      </c>
      <c r="F27" s="141" t="s">
        <v>157</v>
      </c>
      <c r="G27" s="61" t="s">
        <v>80</v>
      </c>
      <c r="H27" s="108" t="s">
        <v>158</v>
      </c>
      <c r="I27" s="40" t="s">
        <v>82</v>
      </c>
      <c r="J27" s="6"/>
      <c r="K27" s="8" t="s">
        <v>159</v>
      </c>
      <c r="L27" s="6" t="s">
        <v>160</v>
      </c>
      <c r="M27" s="6" t="s">
        <v>105</v>
      </c>
      <c r="N27" s="238" t="s">
        <v>110</v>
      </c>
      <c r="O27" s="6" t="s">
        <v>161</v>
      </c>
      <c r="P27" s="6"/>
      <c r="Q27" s="7"/>
      <c r="R27" s="74"/>
      <c r="S27" s="74"/>
      <c r="T27" s="74"/>
      <c r="U27" s="6"/>
      <c r="V27" s="6"/>
      <c r="W27" s="6"/>
      <c r="X27" s="6"/>
      <c r="Y27" s="6"/>
      <c r="Z27" s="6"/>
      <c r="AA27" s="6"/>
    </row>
    <row r="28" ht="30" customHeight="1" spans="1:27">
      <c r="A28" s="40" t="s">
        <v>78</v>
      </c>
      <c r="B28" s="7">
        <v>45677</v>
      </c>
      <c r="C28" s="6" t="str">
        <f t="shared" si="0"/>
        <v>2025年1月</v>
      </c>
      <c r="D28" s="6" t="s">
        <v>10</v>
      </c>
      <c r="E28" s="40" t="s">
        <v>40</v>
      </c>
      <c r="F28" s="141" t="s">
        <v>162</v>
      </c>
      <c r="G28" s="61" t="s">
        <v>80</v>
      </c>
      <c r="H28" s="108" t="s">
        <v>163</v>
      </c>
      <c r="I28" s="40" t="s">
        <v>82</v>
      </c>
      <c r="J28" s="6"/>
      <c r="K28" s="8" t="s">
        <v>114</v>
      </c>
      <c r="L28" s="6" t="s">
        <v>115</v>
      </c>
      <c r="M28" s="6" t="s">
        <v>105</v>
      </c>
      <c r="N28" s="238" t="s">
        <v>110</v>
      </c>
      <c r="O28" s="6" t="s">
        <v>85</v>
      </c>
      <c r="P28" s="6"/>
      <c r="Q28" s="7"/>
      <c r="R28" s="74"/>
      <c r="S28" s="74"/>
      <c r="T28" s="74"/>
      <c r="U28" s="6"/>
      <c r="V28" s="6"/>
      <c r="W28" s="6"/>
      <c r="X28" s="6"/>
      <c r="Y28" s="6"/>
      <c r="Z28" s="6"/>
      <c r="AA28" s="6"/>
    </row>
    <row r="29" ht="30" customHeight="1" spans="1:27">
      <c r="A29" s="40" t="s">
        <v>78</v>
      </c>
      <c r="B29" s="7">
        <v>45677</v>
      </c>
      <c r="C29" s="6" t="str">
        <f t="shared" si="0"/>
        <v>2025年1月</v>
      </c>
      <c r="D29" s="6" t="s">
        <v>10</v>
      </c>
      <c r="E29" s="40" t="s">
        <v>40</v>
      </c>
      <c r="F29" s="141" t="s">
        <v>164</v>
      </c>
      <c r="G29" s="61" t="s">
        <v>80</v>
      </c>
      <c r="H29" s="108" t="s">
        <v>81</v>
      </c>
      <c r="I29" s="40" t="s">
        <v>82</v>
      </c>
      <c r="J29" s="6"/>
      <c r="K29" s="8" t="s">
        <v>103</v>
      </c>
      <c r="L29" s="6" t="s">
        <v>104</v>
      </c>
      <c r="M29" s="6" t="s">
        <v>105</v>
      </c>
      <c r="N29" s="238" t="s">
        <v>110</v>
      </c>
      <c r="O29" s="6" t="s">
        <v>85</v>
      </c>
      <c r="P29" s="6"/>
      <c r="Q29" s="7"/>
      <c r="R29" s="74"/>
      <c r="S29" s="74"/>
      <c r="T29" s="74"/>
      <c r="U29" s="6"/>
      <c r="V29" s="6"/>
      <c r="W29" s="6"/>
      <c r="X29" s="6"/>
      <c r="Y29" s="6"/>
      <c r="Z29" s="6"/>
      <c r="AA29" s="6"/>
    </row>
    <row r="30" ht="30" customHeight="1" spans="1:27">
      <c r="A30" s="40" t="s">
        <v>78</v>
      </c>
      <c r="B30" s="7">
        <v>45677</v>
      </c>
      <c r="C30" s="6" t="str">
        <f t="shared" si="0"/>
        <v>2025年1月</v>
      </c>
      <c r="D30" s="6" t="s">
        <v>10</v>
      </c>
      <c r="E30" s="40" t="s">
        <v>40</v>
      </c>
      <c r="F30" s="141" t="s">
        <v>165</v>
      </c>
      <c r="G30" s="61" t="s">
        <v>80</v>
      </c>
      <c r="H30" s="108" t="s">
        <v>163</v>
      </c>
      <c r="I30" s="40" t="s">
        <v>82</v>
      </c>
      <c r="J30" s="6"/>
      <c r="K30" s="8" t="s">
        <v>166</v>
      </c>
      <c r="L30" s="6" t="s">
        <v>167</v>
      </c>
      <c r="M30" s="6" t="s">
        <v>105</v>
      </c>
      <c r="N30" s="238" t="s">
        <v>110</v>
      </c>
      <c r="O30" s="6" t="s">
        <v>168</v>
      </c>
      <c r="P30" s="6"/>
      <c r="Q30" s="7"/>
      <c r="R30" s="74"/>
      <c r="S30" s="74"/>
      <c r="T30" s="74"/>
      <c r="U30" s="6"/>
      <c r="V30" s="6"/>
      <c r="W30" s="6"/>
      <c r="X30" s="6"/>
      <c r="Y30" s="6"/>
      <c r="Z30" s="6"/>
      <c r="AA30" s="6"/>
    </row>
    <row r="31" ht="30" customHeight="1" spans="1:27">
      <c r="A31" s="40" t="s">
        <v>142</v>
      </c>
      <c r="B31" s="7">
        <v>45677</v>
      </c>
      <c r="C31" s="6" t="str">
        <f t="shared" si="0"/>
        <v>2025年1月</v>
      </c>
      <c r="D31" s="6" t="s">
        <v>11</v>
      </c>
      <c r="E31" s="40" t="s">
        <v>40</v>
      </c>
      <c r="F31" s="141" t="s">
        <v>169</v>
      </c>
      <c r="G31" s="61" t="s">
        <v>149</v>
      </c>
      <c r="H31" s="61"/>
      <c r="I31" s="40" t="s">
        <v>82</v>
      </c>
      <c r="J31" s="75">
        <v>45679.4583333333</v>
      </c>
      <c r="K31" s="8" t="s">
        <v>170</v>
      </c>
      <c r="L31" s="6" t="s">
        <v>171</v>
      </c>
      <c r="M31" s="6" t="s">
        <v>105</v>
      </c>
      <c r="N31" s="238" t="s">
        <v>110</v>
      </c>
      <c r="O31" s="6" t="s">
        <v>111</v>
      </c>
      <c r="P31" s="6"/>
      <c r="Q31" s="7"/>
      <c r="R31" s="74"/>
      <c r="S31" s="74"/>
      <c r="T31" s="74"/>
      <c r="U31" s="6"/>
      <c r="V31" s="6"/>
      <c r="W31" s="6"/>
      <c r="X31" s="6"/>
      <c r="Y31" s="6"/>
      <c r="Z31" s="6"/>
      <c r="AA31" s="6"/>
    </row>
    <row r="32" ht="30" customHeight="1" spans="1:27">
      <c r="A32" s="40"/>
      <c r="B32" s="7">
        <v>45678</v>
      </c>
      <c r="C32" s="6" t="str">
        <f t="shared" si="0"/>
        <v>2025年1月</v>
      </c>
      <c r="D32" s="6" t="s">
        <v>10</v>
      </c>
      <c r="E32" s="40" t="s">
        <v>39</v>
      </c>
      <c r="F32" s="141" t="s">
        <v>172</v>
      </c>
      <c r="G32" s="61" t="s">
        <v>173</v>
      </c>
      <c r="H32" s="61"/>
      <c r="I32" s="40" t="s">
        <v>82</v>
      </c>
      <c r="J32" s="6"/>
      <c r="K32" s="8" t="s">
        <v>174</v>
      </c>
      <c r="L32" s="6" t="s">
        <v>175</v>
      </c>
      <c r="M32" s="6" t="s">
        <v>105</v>
      </c>
      <c r="N32" s="238" t="s">
        <v>110</v>
      </c>
      <c r="O32" s="6" t="s">
        <v>120</v>
      </c>
      <c r="P32" s="6"/>
      <c r="Q32" s="7"/>
      <c r="R32" s="74"/>
      <c r="S32" s="74"/>
      <c r="T32" s="74"/>
      <c r="U32" s="6"/>
      <c r="V32" s="6"/>
      <c r="W32" s="6"/>
      <c r="X32" s="6"/>
      <c r="Y32" s="6"/>
      <c r="Z32" s="6"/>
      <c r="AA32" s="6"/>
    </row>
    <row r="33" ht="30" customHeight="1" spans="1:27">
      <c r="A33" s="40" t="s">
        <v>78</v>
      </c>
      <c r="B33" s="7">
        <v>45679</v>
      </c>
      <c r="C33" s="6" t="str">
        <f t="shared" si="0"/>
        <v>2025年1月</v>
      </c>
      <c r="D33" s="6" t="s">
        <v>10</v>
      </c>
      <c r="E33" s="40" t="s">
        <v>40</v>
      </c>
      <c r="F33" s="141" t="s">
        <v>176</v>
      </c>
      <c r="G33" s="61" t="s">
        <v>80</v>
      </c>
      <c r="H33" s="108" t="s">
        <v>163</v>
      </c>
      <c r="I33" s="40" t="s">
        <v>82</v>
      </c>
      <c r="J33" s="6"/>
      <c r="K33" s="8" t="s">
        <v>177</v>
      </c>
      <c r="L33" s="6" t="s">
        <v>178</v>
      </c>
      <c r="M33" s="6" t="s">
        <v>105</v>
      </c>
      <c r="N33" s="238" t="s">
        <v>110</v>
      </c>
      <c r="O33" s="6" t="s">
        <v>179</v>
      </c>
      <c r="P33" s="6"/>
      <c r="Q33" s="7"/>
      <c r="R33" s="74"/>
      <c r="S33" s="74"/>
      <c r="T33" s="74"/>
      <c r="U33" s="6"/>
      <c r="V33" s="6"/>
      <c r="W33" s="6"/>
      <c r="X33" s="6"/>
      <c r="Y33" s="6"/>
      <c r="Z33" s="6"/>
      <c r="AA33" s="6"/>
    </row>
    <row r="34" ht="30" customHeight="1" spans="1:27">
      <c r="A34" s="40" t="s">
        <v>78</v>
      </c>
      <c r="B34" s="7">
        <v>45679</v>
      </c>
      <c r="C34" s="6" t="str">
        <f t="shared" si="0"/>
        <v>2025年1月</v>
      </c>
      <c r="D34" s="6" t="s">
        <v>10</v>
      </c>
      <c r="E34" s="40" t="s">
        <v>40</v>
      </c>
      <c r="F34" s="141" t="s">
        <v>180</v>
      </c>
      <c r="G34" s="61" t="s">
        <v>80</v>
      </c>
      <c r="H34" s="108" t="s">
        <v>163</v>
      </c>
      <c r="I34" s="40" t="s">
        <v>82</v>
      </c>
      <c r="J34" s="6"/>
      <c r="K34" s="8" t="s">
        <v>181</v>
      </c>
      <c r="L34" s="6" t="s">
        <v>182</v>
      </c>
      <c r="M34" s="6" t="s">
        <v>105</v>
      </c>
      <c r="N34" s="238" t="s">
        <v>110</v>
      </c>
      <c r="O34" s="6" t="s">
        <v>85</v>
      </c>
      <c r="P34" s="6"/>
      <c r="Q34" s="7"/>
      <c r="R34" s="74"/>
      <c r="S34" s="74"/>
      <c r="T34" s="74"/>
      <c r="U34" s="6"/>
      <c r="V34" s="6"/>
      <c r="W34" s="6"/>
      <c r="X34" s="6"/>
      <c r="Y34" s="6"/>
      <c r="Z34" s="6"/>
      <c r="AA34" s="6"/>
    </row>
    <row r="35" ht="30" customHeight="1" spans="1:27">
      <c r="A35" s="40" t="s">
        <v>78</v>
      </c>
      <c r="B35" s="7">
        <v>45679</v>
      </c>
      <c r="C35" s="6" t="str">
        <f t="shared" si="0"/>
        <v>2025年1月</v>
      </c>
      <c r="D35" s="6" t="s">
        <v>10</v>
      </c>
      <c r="E35" s="40" t="s">
        <v>40</v>
      </c>
      <c r="F35" s="141" t="s">
        <v>183</v>
      </c>
      <c r="G35" s="61" t="s">
        <v>139</v>
      </c>
      <c r="H35" s="61"/>
      <c r="I35" s="40" t="s">
        <v>82</v>
      </c>
      <c r="J35" s="6"/>
      <c r="K35" s="8" t="s">
        <v>184</v>
      </c>
      <c r="L35" s="6" t="s">
        <v>185</v>
      </c>
      <c r="M35" s="6" t="s">
        <v>105</v>
      </c>
      <c r="N35" s="238" t="s">
        <v>110</v>
      </c>
      <c r="O35" s="6" t="s">
        <v>186</v>
      </c>
      <c r="P35" s="6"/>
      <c r="Q35" s="7"/>
      <c r="R35" s="74"/>
      <c r="S35" s="74"/>
      <c r="T35" s="74"/>
      <c r="U35" s="6"/>
      <c r="V35" s="6"/>
      <c r="W35" s="6"/>
      <c r="X35" s="6"/>
      <c r="Y35" s="6"/>
      <c r="Z35" s="6"/>
      <c r="AA35" s="6"/>
    </row>
    <row r="36" ht="30" customHeight="1" spans="1:27">
      <c r="A36" s="40" t="s">
        <v>78</v>
      </c>
      <c r="B36" s="7">
        <v>45679</v>
      </c>
      <c r="C36" s="6" t="str">
        <f t="shared" si="0"/>
        <v>2025年1月</v>
      </c>
      <c r="D36" s="6" t="s">
        <v>10</v>
      </c>
      <c r="E36" s="40" t="s">
        <v>40</v>
      </c>
      <c r="F36" s="141" t="s">
        <v>187</v>
      </c>
      <c r="G36" s="61" t="s">
        <v>80</v>
      </c>
      <c r="H36" s="108" t="s">
        <v>188</v>
      </c>
      <c r="I36" s="40" t="s">
        <v>82</v>
      </c>
      <c r="J36" s="6"/>
      <c r="K36" s="8" t="s">
        <v>189</v>
      </c>
      <c r="L36" s="6" t="s">
        <v>190</v>
      </c>
      <c r="M36" s="6" t="s">
        <v>105</v>
      </c>
      <c r="N36" s="238" t="s">
        <v>110</v>
      </c>
      <c r="O36" s="6" t="s">
        <v>89</v>
      </c>
      <c r="P36" s="6"/>
      <c r="Q36" s="7"/>
      <c r="R36" s="74"/>
      <c r="S36" s="74"/>
      <c r="T36" s="74"/>
      <c r="U36" s="6"/>
      <c r="V36" s="6"/>
      <c r="W36" s="6"/>
      <c r="X36" s="6"/>
      <c r="Y36" s="6"/>
      <c r="Z36" s="6"/>
      <c r="AA36" s="6"/>
    </row>
    <row r="37" ht="30" customHeight="1" spans="1:27">
      <c r="A37" s="40" t="s">
        <v>78</v>
      </c>
      <c r="B37" s="7">
        <v>45679</v>
      </c>
      <c r="C37" s="6" t="str">
        <f t="shared" si="0"/>
        <v>2025年1月</v>
      </c>
      <c r="D37" s="6" t="s">
        <v>10</v>
      </c>
      <c r="E37" s="40" t="s">
        <v>40</v>
      </c>
      <c r="F37" s="141" t="s">
        <v>191</v>
      </c>
      <c r="G37" s="61" t="s">
        <v>149</v>
      </c>
      <c r="H37" s="61"/>
      <c r="I37" s="40" t="s">
        <v>82</v>
      </c>
      <c r="J37" s="6"/>
      <c r="K37" s="8" t="s">
        <v>192</v>
      </c>
      <c r="L37" s="6" t="s">
        <v>193</v>
      </c>
      <c r="M37" s="6" t="s">
        <v>105</v>
      </c>
      <c r="N37" s="238" t="s">
        <v>110</v>
      </c>
      <c r="O37" s="6" t="s">
        <v>194</v>
      </c>
      <c r="P37" s="6"/>
      <c r="Q37" s="7"/>
      <c r="R37" s="74"/>
      <c r="S37" s="74"/>
      <c r="T37" s="74"/>
      <c r="U37" s="6"/>
      <c r="V37" s="6"/>
      <c r="W37" s="6"/>
      <c r="X37" s="6"/>
      <c r="Y37" s="6"/>
      <c r="Z37" s="6"/>
      <c r="AA37" s="6"/>
    </row>
    <row r="38" ht="30" customHeight="1" spans="1:27">
      <c r="A38" s="40" t="s">
        <v>78</v>
      </c>
      <c r="B38" s="7">
        <v>45679</v>
      </c>
      <c r="C38" s="6" t="str">
        <f t="shared" si="0"/>
        <v>2025年1月</v>
      </c>
      <c r="D38" s="6" t="s">
        <v>10</v>
      </c>
      <c r="E38" s="40" t="s">
        <v>40</v>
      </c>
      <c r="F38" s="141" t="s">
        <v>195</v>
      </c>
      <c r="G38" s="61" t="s">
        <v>149</v>
      </c>
      <c r="H38" s="61"/>
      <c r="I38" s="40" t="s">
        <v>82</v>
      </c>
      <c r="J38" s="6"/>
      <c r="K38" s="8" t="s">
        <v>196</v>
      </c>
      <c r="L38" s="59" t="s">
        <v>197</v>
      </c>
      <c r="M38" s="6" t="s">
        <v>105</v>
      </c>
      <c r="N38" s="238" t="s">
        <v>110</v>
      </c>
      <c r="O38" s="6" t="s">
        <v>111</v>
      </c>
      <c r="P38" s="6"/>
      <c r="Q38" s="74"/>
      <c r="R38" s="74"/>
      <c r="S38" s="74"/>
      <c r="T38" s="74"/>
      <c r="U38" s="6"/>
      <c r="V38" s="6"/>
      <c r="W38" s="6"/>
      <c r="X38" s="6"/>
      <c r="Y38" s="6"/>
      <c r="Z38" s="6"/>
      <c r="AA38" s="6"/>
    </row>
    <row r="39" ht="30" customHeight="1" spans="1:27">
      <c r="A39" s="40" t="s">
        <v>142</v>
      </c>
      <c r="B39" s="7">
        <v>45680</v>
      </c>
      <c r="C39" s="6" t="str">
        <f t="shared" si="0"/>
        <v>2025年1月</v>
      </c>
      <c r="D39" s="6" t="s">
        <v>11</v>
      </c>
      <c r="E39" s="40" t="s">
        <v>40</v>
      </c>
      <c r="F39" s="141" t="s">
        <v>198</v>
      </c>
      <c r="G39" s="61" t="s">
        <v>149</v>
      </c>
      <c r="H39" s="61"/>
      <c r="I39" s="40" t="s">
        <v>82</v>
      </c>
      <c r="J39" s="6"/>
      <c r="K39" s="8" t="s">
        <v>199</v>
      </c>
      <c r="L39" s="6" t="s">
        <v>200</v>
      </c>
      <c r="M39" s="6" t="s">
        <v>105</v>
      </c>
      <c r="N39" s="238" t="s">
        <v>110</v>
      </c>
      <c r="O39" s="6" t="s">
        <v>111</v>
      </c>
      <c r="P39" s="6"/>
      <c r="Q39" s="74"/>
      <c r="R39" s="74"/>
      <c r="S39" s="74"/>
      <c r="T39" s="74"/>
      <c r="U39" s="6"/>
      <c r="V39" s="6"/>
      <c r="W39" s="6"/>
      <c r="X39" s="6"/>
      <c r="Y39" s="6"/>
      <c r="Z39" s="6"/>
      <c r="AA39" s="6"/>
    </row>
    <row r="40" ht="30" customHeight="1" spans="1:27">
      <c r="A40" s="40"/>
      <c r="B40" s="7">
        <v>45680</v>
      </c>
      <c r="C40" s="6" t="str">
        <f t="shared" si="0"/>
        <v>2025年1月</v>
      </c>
      <c r="D40" s="6" t="s">
        <v>10</v>
      </c>
      <c r="E40" s="40" t="s">
        <v>39</v>
      </c>
      <c r="F40" s="141" t="s">
        <v>201</v>
      </c>
      <c r="G40" s="61"/>
      <c r="H40" s="61"/>
      <c r="I40" s="40" t="s">
        <v>82</v>
      </c>
      <c r="J40" s="6"/>
      <c r="K40" s="8" t="s">
        <v>202</v>
      </c>
      <c r="L40" s="6" t="s">
        <v>203</v>
      </c>
      <c r="M40" s="6" t="s">
        <v>105</v>
      </c>
      <c r="N40" s="238" t="s">
        <v>110</v>
      </c>
      <c r="O40" s="6" t="s">
        <v>94</v>
      </c>
      <c r="P40" s="6"/>
      <c r="Q40" s="74"/>
      <c r="R40" s="74"/>
      <c r="S40" s="74"/>
      <c r="T40" s="74"/>
      <c r="U40" s="6"/>
      <c r="V40" s="6"/>
      <c r="W40" s="6"/>
      <c r="X40" s="6"/>
      <c r="Y40" s="6"/>
      <c r="Z40" s="6"/>
      <c r="AA40" s="6"/>
    </row>
    <row r="41" ht="21" customHeight="1" spans="1:27">
      <c r="A41" s="40" t="s">
        <v>142</v>
      </c>
      <c r="B41" s="7">
        <v>45695</v>
      </c>
      <c r="C41" s="6" t="str">
        <f t="shared" si="0"/>
        <v>2025年2月</v>
      </c>
      <c r="D41" s="6" t="s">
        <v>12</v>
      </c>
      <c r="E41" s="40" t="s">
        <v>39</v>
      </c>
      <c r="F41" s="141" t="s">
        <v>204</v>
      </c>
      <c r="G41" s="61"/>
      <c r="H41" s="61"/>
      <c r="I41" s="40" t="s">
        <v>82</v>
      </c>
      <c r="J41" s="6"/>
      <c r="K41" s="59" t="s">
        <v>205</v>
      </c>
      <c r="L41" s="6" t="s">
        <v>206</v>
      </c>
      <c r="M41" s="6" t="s">
        <v>105</v>
      </c>
      <c r="N41" s="238" t="s">
        <v>110</v>
      </c>
      <c r="O41" s="6" t="s">
        <v>179</v>
      </c>
      <c r="P41" s="6"/>
      <c r="Q41" s="74"/>
      <c r="R41" s="74"/>
      <c r="S41" s="74"/>
      <c r="T41" s="74"/>
      <c r="U41" s="6"/>
      <c r="V41" s="6"/>
      <c r="W41" s="6"/>
      <c r="X41" s="6"/>
      <c r="Y41" s="6"/>
      <c r="Z41" s="6"/>
      <c r="AA41" s="6"/>
    </row>
    <row r="42" ht="21" customHeight="1" spans="1:27">
      <c r="A42" s="40" t="s">
        <v>207</v>
      </c>
      <c r="B42" s="7">
        <v>45698</v>
      </c>
      <c r="C42" s="6" t="str">
        <f t="shared" si="0"/>
        <v>2025年2月</v>
      </c>
      <c r="D42" s="6" t="s">
        <v>10</v>
      </c>
      <c r="E42" s="40" t="s">
        <v>39</v>
      </c>
      <c r="F42" s="141" t="s">
        <v>208</v>
      </c>
      <c r="G42" s="61"/>
      <c r="H42" s="61"/>
      <c r="I42" s="40" t="s">
        <v>82</v>
      </c>
      <c r="J42" s="6"/>
      <c r="K42" s="8" t="s">
        <v>184</v>
      </c>
      <c r="L42" s="6" t="s">
        <v>185</v>
      </c>
      <c r="M42" s="6" t="s">
        <v>105</v>
      </c>
      <c r="N42" s="238" t="s">
        <v>110</v>
      </c>
      <c r="O42" s="6" t="s">
        <v>186</v>
      </c>
      <c r="P42" s="6" t="s">
        <v>209</v>
      </c>
      <c r="Q42" s="6"/>
      <c r="R42" s="6"/>
      <c r="S42" s="6"/>
      <c r="T42" s="6"/>
      <c r="U42" s="6"/>
      <c r="V42" s="6"/>
      <c r="W42" s="6"/>
      <c r="X42" s="6"/>
      <c r="Y42" s="6"/>
      <c r="Z42" s="6"/>
      <c r="AA42" s="6"/>
    </row>
    <row r="43" ht="21" customHeight="1" spans="1:27">
      <c r="A43" s="40" t="s">
        <v>207</v>
      </c>
      <c r="B43" s="7">
        <v>45701</v>
      </c>
      <c r="C43" s="6" t="str">
        <f t="shared" si="0"/>
        <v>2025年2月</v>
      </c>
      <c r="D43" s="6" t="s">
        <v>11</v>
      </c>
      <c r="E43" s="40" t="s">
        <v>40</v>
      </c>
      <c r="F43" s="141" t="s">
        <v>210</v>
      </c>
      <c r="G43" s="61" t="s">
        <v>149</v>
      </c>
      <c r="H43" s="61"/>
      <c r="I43" s="40" t="s">
        <v>82</v>
      </c>
      <c r="J43" s="6"/>
      <c r="K43" s="8" t="s">
        <v>211</v>
      </c>
      <c r="L43" s="6" t="s">
        <v>212</v>
      </c>
      <c r="M43" s="6" t="s">
        <v>105</v>
      </c>
      <c r="N43" s="6" t="s">
        <v>50</v>
      </c>
      <c r="O43" s="6" t="s">
        <v>85</v>
      </c>
      <c r="P43" s="6" t="s">
        <v>213</v>
      </c>
      <c r="Q43" s="6"/>
      <c r="R43" s="6"/>
      <c r="S43" s="6"/>
      <c r="T43" s="6"/>
      <c r="U43" s="6"/>
      <c r="V43" s="6"/>
      <c r="W43" s="6"/>
      <c r="X43" s="6"/>
      <c r="Y43" s="6"/>
      <c r="Z43" s="6"/>
      <c r="AA43" s="6"/>
    </row>
    <row r="44" ht="21" customHeight="1" spans="1:27">
      <c r="A44" s="40" t="s">
        <v>142</v>
      </c>
      <c r="B44" s="7">
        <v>45701</v>
      </c>
      <c r="C44" s="6" t="str">
        <f t="shared" si="0"/>
        <v>2025年2月</v>
      </c>
      <c r="D44" s="6" t="s">
        <v>12</v>
      </c>
      <c r="E44" s="40" t="s">
        <v>39</v>
      </c>
      <c r="F44" s="141" t="s">
        <v>214</v>
      </c>
      <c r="G44" s="61"/>
      <c r="H44" s="61"/>
      <c r="I44" s="40" t="s">
        <v>82</v>
      </c>
      <c r="J44" s="6"/>
      <c r="K44" s="8" t="s">
        <v>215</v>
      </c>
      <c r="L44" s="6" t="s">
        <v>216</v>
      </c>
      <c r="M44" s="6" t="s">
        <v>105</v>
      </c>
      <c r="N44" s="238" t="s">
        <v>110</v>
      </c>
      <c r="O44" s="6" t="s">
        <v>179</v>
      </c>
      <c r="P44" s="6"/>
      <c r="Q44" s="6"/>
      <c r="R44" s="6"/>
      <c r="S44" s="6"/>
      <c r="T44" s="6"/>
      <c r="U44" s="6"/>
      <c r="V44" s="6"/>
      <c r="W44" s="6"/>
      <c r="X44" s="6"/>
      <c r="Y44" s="6"/>
      <c r="Z44" s="6"/>
      <c r="AA44" s="6"/>
    </row>
    <row r="45" ht="21" customHeight="1" spans="1:27">
      <c r="A45" s="40" t="s">
        <v>207</v>
      </c>
      <c r="B45" s="7">
        <v>45701</v>
      </c>
      <c r="C45" s="6" t="str">
        <f t="shared" si="0"/>
        <v>2025年2月</v>
      </c>
      <c r="D45" s="6" t="s">
        <v>10</v>
      </c>
      <c r="E45" s="40" t="s">
        <v>39</v>
      </c>
      <c r="F45" s="141" t="s">
        <v>217</v>
      </c>
      <c r="G45" s="61"/>
      <c r="H45" s="61"/>
      <c r="I45" s="40" t="s">
        <v>82</v>
      </c>
      <c r="J45" s="6"/>
      <c r="K45" s="8" t="s">
        <v>218</v>
      </c>
      <c r="L45" s="6" t="s">
        <v>219</v>
      </c>
      <c r="M45" s="6" t="s">
        <v>105</v>
      </c>
      <c r="N45" s="238" t="s">
        <v>110</v>
      </c>
      <c r="O45" s="6" t="s">
        <v>85</v>
      </c>
      <c r="P45" s="6" t="s">
        <v>209</v>
      </c>
      <c r="Q45" s="6"/>
      <c r="R45" s="6"/>
      <c r="S45" s="6"/>
      <c r="T45" s="6"/>
      <c r="U45" s="6"/>
      <c r="V45" s="6"/>
      <c r="W45" s="6"/>
      <c r="X45" s="6"/>
      <c r="Y45" s="6"/>
      <c r="Z45" s="6"/>
      <c r="AA45" s="6"/>
    </row>
    <row r="46" ht="21" customHeight="1" spans="1:27">
      <c r="A46" s="40" t="s">
        <v>142</v>
      </c>
      <c r="B46" s="7">
        <v>45701</v>
      </c>
      <c r="C46" s="6" t="str">
        <f t="shared" si="0"/>
        <v>2025年2月</v>
      </c>
      <c r="D46" s="6" t="s">
        <v>10</v>
      </c>
      <c r="E46" s="40" t="s">
        <v>39</v>
      </c>
      <c r="F46" s="141" t="s">
        <v>220</v>
      </c>
      <c r="G46" s="61"/>
      <c r="H46" s="61"/>
      <c r="I46" s="40" t="s">
        <v>82</v>
      </c>
      <c r="J46" s="6"/>
      <c r="K46" s="8" t="s">
        <v>221</v>
      </c>
      <c r="L46" s="6" t="s">
        <v>222</v>
      </c>
      <c r="M46" s="6" t="s">
        <v>105</v>
      </c>
      <c r="N46" s="238" t="s">
        <v>110</v>
      </c>
      <c r="O46" s="6" t="s">
        <v>85</v>
      </c>
      <c r="P46" s="6"/>
      <c r="Q46" s="6"/>
      <c r="R46" s="6"/>
      <c r="S46" s="6"/>
      <c r="T46" s="6"/>
      <c r="U46" s="6"/>
      <c r="V46" s="6"/>
      <c r="W46" s="6"/>
      <c r="X46" s="6"/>
      <c r="Y46" s="6"/>
      <c r="Z46" s="6"/>
      <c r="AA46" s="6"/>
    </row>
    <row r="47" ht="21" customHeight="1" spans="1:27">
      <c r="A47" s="40" t="s">
        <v>207</v>
      </c>
      <c r="B47" s="7">
        <v>45701</v>
      </c>
      <c r="C47" s="6" t="str">
        <f t="shared" si="0"/>
        <v>2025年2月</v>
      </c>
      <c r="D47" s="6" t="s">
        <v>12</v>
      </c>
      <c r="E47" s="40" t="s">
        <v>39</v>
      </c>
      <c r="F47" s="141" t="s">
        <v>223</v>
      </c>
      <c r="G47" s="61"/>
      <c r="H47" s="61"/>
      <c r="I47" s="40" t="s">
        <v>82</v>
      </c>
      <c r="J47" s="6"/>
      <c r="K47" s="8" t="s">
        <v>224</v>
      </c>
      <c r="L47" s="6" t="s">
        <v>225</v>
      </c>
      <c r="M47" s="6" t="s">
        <v>105</v>
      </c>
      <c r="N47" s="238" t="s">
        <v>110</v>
      </c>
      <c r="O47" s="6" t="s">
        <v>124</v>
      </c>
      <c r="P47" s="6" t="s">
        <v>209</v>
      </c>
      <c r="Q47" s="6"/>
      <c r="R47" s="6"/>
      <c r="S47" s="6"/>
      <c r="T47" s="6"/>
      <c r="U47" s="6"/>
      <c r="V47" s="6"/>
      <c r="W47" s="6"/>
      <c r="X47" s="6"/>
      <c r="Y47" s="6"/>
      <c r="Z47" s="6"/>
      <c r="AA47" s="6"/>
    </row>
    <row r="48" ht="21" customHeight="1" spans="1:27">
      <c r="A48" s="40" t="s">
        <v>142</v>
      </c>
      <c r="B48" s="7">
        <v>45701</v>
      </c>
      <c r="C48" s="6" t="str">
        <f t="shared" si="0"/>
        <v>2025年2月</v>
      </c>
      <c r="D48" s="6" t="s">
        <v>10</v>
      </c>
      <c r="E48" s="40" t="s">
        <v>39</v>
      </c>
      <c r="F48" s="141" t="s">
        <v>226</v>
      </c>
      <c r="G48" s="61"/>
      <c r="H48" s="61"/>
      <c r="I48" s="40" t="s">
        <v>82</v>
      </c>
      <c r="J48" s="6"/>
      <c r="K48" s="8" t="s">
        <v>227</v>
      </c>
      <c r="L48" s="6" t="s">
        <v>228</v>
      </c>
      <c r="M48" s="6" t="s">
        <v>105</v>
      </c>
      <c r="N48" s="238" t="s">
        <v>110</v>
      </c>
      <c r="O48" s="6" t="s">
        <v>194</v>
      </c>
      <c r="P48" s="6"/>
      <c r="Q48" s="6"/>
      <c r="R48" s="6"/>
      <c r="S48" s="6"/>
      <c r="T48" s="6"/>
      <c r="U48" s="6"/>
      <c r="V48" s="6"/>
      <c r="W48" s="6"/>
      <c r="X48" s="6"/>
      <c r="Y48" s="6"/>
      <c r="Z48" s="6"/>
      <c r="AA48" s="6"/>
    </row>
    <row r="49" ht="21" customHeight="1" spans="1:27">
      <c r="A49" s="40" t="s">
        <v>207</v>
      </c>
      <c r="B49" s="7">
        <v>45702</v>
      </c>
      <c r="C49" s="6" t="str">
        <f t="shared" si="0"/>
        <v>2025年2月</v>
      </c>
      <c r="D49" s="6" t="s">
        <v>12</v>
      </c>
      <c r="E49" s="40" t="s">
        <v>39</v>
      </c>
      <c r="F49" s="141" t="s">
        <v>229</v>
      </c>
      <c r="G49" s="61"/>
      <c r="H49" s="61"/>
      <c r="I49" s="40" t="s">
        <v>82</v>
      </c>
      <c r="J49" s="6"/>
      <c r="K49" s="8" t="s">
        <v>230</v>
      </c>
      <c r="L49" s="6" t="s">
        <v>231</v>
      </c>
      <c r="M49" s="6" t="s">
        <v>105</v>
      </c>
      <c r="N49" s="6" t="s">
        <v>50</v>
      </c>
      <c r="O49" s="6"/>
      <c r="P49" s="6" t="s">
        <v>232</v>
      </c>
      <c r="Q49" s="6"/>
      <c r="R49" s="6"/>
      <c r="S49" s="6"/>
      <c r="T49" s="6"/>
      <c r="U49" s="6"/>
      <c r="V49" s="6"/>
      <c r="W49" s="6"/>
      <c r="X49" s="6"/>
      <c r="Y49" s="6"/>
      <c r="Z49" s="6"/>
      <c r="AA49" s="6"/>
    </row>
    <row r="50" ht="21" customHeight="1" spans="1:27">
      <c r="A50" s="40" t="s">
        <v>142</v>
      </c>
      <c r="B50" s="7">
        <v>45702</v>
      </c>
      <c r="C50" s="6" t="str">
        <f t="shared" si="0"/>
        <v>2025年2月</v>
      </c>
      <c r="D50" s="6" t="s">
        <v>10</v>
      </c>
      <c r="E50" s="40" t="s">
        <v>39</v>
      </c>
      <c r="F50" s="141" t="s">
        <v>233</v>
      </c>
      <c r="G50" s="61"/>
      <c r="H50" s="61"/>
      <c r="I50" s="40" t="s">
        <v>82</v>
      </c>
      <c r="J50" s="6"/>
      <c r="K50" s="8" t="s">
        <v>234</v>
      </c>
      <c r="L50" s="6" t="s">
        <v>235</v>
      </c>
      <c r="M50" s="6" t="s">
        <v>105</v>
      </c>
      <c r="N50" s="238" t="s">
        <v>110</v>
      </c>
      <c r="O50" s="6" t="s">
        <v>194</v>
      </c>
      <c r="P50" s="6"/>
      <c r="Q50" s="6"/>
      <c r="R50" s="6"/>
      <c r="S50" s="6"/>
      <c r="T50" s="6"/>
      <c r="U50" s="6"/>
      <c r="V50" s="6"/>
      <c r="W50" s="6"/>
      <c r="X50" s="6"/>
      <c r="Y50" s="6"/>
      <c r="Z50" s="6"/>
      <c r="AA50" s="6"/>
    </row>
    <row r="51" ht="21" customHeight="1" spans="1:27">
      <c r="A51" s="40" t="s">
        <v>207</v>
      </c>
      <c r="B51" s="7">
        <v>45706</v>
      </c>
      <c r="C51" s="6" t="str">
        <f t="shared" si="0"/>
        <v>2025年2月</v>
      </c>
      <c r="D51" s="6" t="s">
        <v>10</v>
      </c>
      <c r="E51" s="40" t="s">
        <v>39</v>
      </c>
      <c r="F51" s="141" t="s">
        <v>236</v>
      </c>
      <c r="G51" s="61"/>
      <c r="H51" s="61" t="s">
        <v>237</v>
      </c>
      <c r="I51" s="40" t="s">
        <v>82</v>
      </c>
      <c r="J51" s="75">
        <v>45708.4583333333</v>
      </c>
      <c r="K51" s="8" t="s">
        <v>238</v>
      </c>
      <c r="L51" s="8" t="s">
        <v>239</v>
      </c>
      <c r="M51" s="6" t="s">
        <v>105</v>
      </c>
      <c r="N51" s="6" t="s">
        <v>50</v>
      </c>
      <c r="O51" s="6" t="s">
        <v>111</v>
      </c>
      <c r="P51" s="6"/>
      <c r="Q51" s="6"/>
      <c r="R51" s="6"/>
      <c r="S51" s="6"/>
      <c r="T51" s="6"/>
      <c r="U51" s="6"/>
      <c r="V51" s="6"/>
      <c r="W51" s="6"/>
      <c r="X51" s="6"/>
      <c r="Y51" s="6"/>
      <c r="Z51" s="6"/>
      <c r="AA51" s="6"/>
    </row>
    <row r="52" ht="21" customHeight="1" spans="1:27">
      <c r="A52" s="40" t="s">
        <v>142</v>
      </c>
      <c r="B52" s="7">
        <v>45706</v>
      </c>
      <c r="C52" s="6" t="str">
        <f t="shared" si="0"/>
        <v>2025年2月</v>
      </c>
      <c r="D52" s="6" t="s">
        <v>12</v>
      </c>
      <c r="E52" s="40" t="s">
        <v>39</v>
      </c>
      <c r="F52" s="141" t="s">
        <v>240</v>
      </c>
      <c r="G52" s="61"/>
      <c r="H52" s="61"/>
      <c r="I52" s="40" t="s">
        <v>82</v>
      </c>
      <c r="J52" s="6"/>
      <c r="K52" s="8" t="s">
        <v>241</v>
      </c>
      <c r="L52" s="8" t="s">
        <v>242</v>
      </c>
      <c r="M52" s="6" t="s">
        <v>105</v>
      </c>
      <c r="N52" s="6" t="s">
        <v>110</v>
      </c>
      <c r="O52" s="6" t="s">
        <v>179</v>
      </c>
      <c r="P52" s="6"/>
      <c r="Q52" s="6"/>
      <c r="R52" s="6"/>
      <c r="S52" s="6"/>
      <c r="T52" s="6"/>
      <c r="U52" s="6"/>
      <c r="V52" s="6"/>
      <c r="W52" s="6"/>
      <c r="X52" s="6"/>
      <c r="Y52" s="6"/>
      <c r="Z52" s="6"/>
      <c r="AA52" s="6"/>
    </row>
    <row r="53" ht="21" customHeight="1" spans="1:27">
      <c r="A53" s="40" t="s">
        <v>142</v>
      </c>
      <c r="B53" s="7">
        <v>45707</v>
      </c>
      <c r="C53" s="6" t="str">
        <f t="shared" si="0"/>
        <v>2025年2月</v>
      </c>
      <c r="D53" s="6" t="s">
        <v>12</v>
      </c>
      <c r="E53" s="40" t="s">
        <v>39</v>
      </c>
      <c r="F53" s="141" t="s">
        <v>243</v>
      </c>
      <c r="G53" s="61"/>
      <c r="H53" s="61"/>
      <c r="I53" s="40" t="s">
        <v>82</v>
      </c>
      <c r="J53" s="6"/>
      <c r="K53" s="90" t="s">
        <v>244</v>
      </c>
      <c r="L53" s="6" t="s">
        <v>245</v>
      </c>
      <c r="M53" s="6" t="s">
        <v>105</v>
      </c>
      <c r="N53" s="6" t="s">
        <v>110</v>
      </c>
      <c r="O53" s="6" t="s">
        <v>89</v>
      </c>
      <c r="P53" s="6"/>
      <c r="Q53" s="6"/>
      <c r="R53" s="6"/>
      <c r="S53" s="6"/>
      <c r="T53" s="6"/>
      <c r="U53" s="6"/>
      <c r="V53" s="6"/>
      <c r="W53" s="6"/>
      <c r="X53" s="6"/>
      <c r="Y53" s="6"/>
      <c r="Z53" s="6"/>
      <c r="AA53" s="6"/>
    </row>
    <row r="54" ht="21" customHeight="1" spans="1:27">
      <c r="A54" s="40" t="s">
        <v>142</v>
      </c>
      <c r="B54" s="7">
        <v>45708</v>
      </c>
      <c r="C54" s="6" t="str">
        <f t="shared" si="0"/>
        <v>2025年2月</v>
      </c>
      <c r="D54" s="6" t="s">
        <v>12</v>
      </c>
      <c r="E54" s="40" t="s">
        <v>39</v>
      </c>
      <c r="F54" s="141" t="s">
        <v>246</v>
      </c>
      <c r="G54" s="61"/>
      <c r="H54" s="61"/>
      <c r="I54" s="40" t="s">
        <v>82</v>
      </c>
      <c r="J54" s="6"/>
      <c r="K54" s="8" t="s">
        <v>247</v>
      </c>
      <c r="L54" s="6" t="s">
        <v>248</v>
      </c>
      <c r="M54" s="6" t="s">
        <v>105</v>
      </c>
      <c r="N54" s="6" t="s">
        <v>50</v>
      </c>
      <c r="O54" s="6" t="s">
        <v>85</v>
      </c>
      <c r="P54" s="6"/>
      <c r="Q54" s="6"/>
      <c r="R54" s="6"/>
      <c r="S54" s="6"/>
      <c r="T54" s="6"/>
      <c r="U54" s="6"/>
      <c r="V54" s="6"/>
      <c r="W54" s="6"/>
      <c r="X54" s="6"/>
      <c r="Y54" s="6"/>
      <c r="Z54" s="6"/>
      <c r="AA54" s="6"/>
    </row>
    <row r="55" ht="21" customHeight="1" spans="1:27">
      <c r="A55" s="40" t="s">
        <v>78</v>
      </c>
      <c r="B55" s="7">
        <v>45714</v>
      </c>
      <c r="C55" s="6" t="str">
        <f t="shared" si="0"/>
        <v>2025年2月</v>
      </c>
      <c r="D55" s="6" t="s">
        <v>10</v>
      </c>
      <c r="E55" s="40" t="s">
        <v>40</v>
      </c>
      <c r="F55" s="141" t="s">
        <v>249</v>
      </c>
      <c r="G55" s="61" t="s">
        <v>80</v>
      </c>
      <c r="H55" s="61" t="s">
        <v>250</v>
      </c>
      <c r="I55" s="40" t="s">
        <v>82</v>
      </c>
      <c r="J55" s="6"/>
      <c r="K55" s="8" t="s">
        <v>103</v>
      </c>
      <c r="L55" s="6" t="s">
        <v>104</v>
      </c>
      <c r="M55" s="6" t="s">
        <v>105</v>
      </c>
      <c r="N55" s="6"/>
      <c r="O55" s="6" t="s">
        <v>85</v>
      </c>
      <c r="P55" s="6"/>
      <c r="Q55" s="6"/>
      <c r="R55" s="6"/>
      <c r="S55" s="6"/>
      <c r="T55" s="6"/>
      <c r="U55" s="6"/>
      <c r="V55" s="6"/>
      <c r="W55" s="6"/>
      <c r="X55" s="6"/>
      <c r="Y55" s="6"/>
      <c r="Z55" s="6"/>
      <c r="AA55" s="6"/>
    </row>
    <row r="56" ht="21" customHeight="1" spans="1:27">
      <c r="A56" s="40"/>
      <c r="B56" s="7">
        <v>45719</v>
      </c>
      <c r="C56" s="6" t="str">
        <f t="shared" si="0"/>
        <v>2025年3月</v>
      </c>
      <c r="D56" s="6" t="s">
        <v>12</v>
      </c>
      <c r="E56" s="40" t="s">
        <v>39</v>
      </c>
      <c r="F56" s="141" t="s">
        <v>251</v>
      </c>
      <c r="G56" s="61"/>
      <c r="H56" s="61"/>
      <c r="I56" s="40" t="s">
        <v>82</v>
      </c>
      <c r="J56" s="6"/>
      <c r="K56" s="8" t="s">
        <v>252</v>
      </c>
      <c r="L56" s="6" t="s">
        <v>253</v>
      </c>
      <c r="M56" s="6" t="s">
        <v>105</v>
      </c>
      <c r="N56" s="109"/>
      <c r="O56" s="6" t="s">
        <v>136</v>
      </c>
      <c r="P56" s="6"/>
      <c r="Q56" s="6"/>
      <c r="R56" s="6"/>
      <c r="S56" s="6"/>
      <c r="T56" s="6"/>
      <c r="U56" s="6"/>
      <c r="V56" s="6"/>
      <c r="W56" s="6"/>
      <c r="X56" s="6"/>
      <c r="Y56" s="6"/>
      <c r="Z56" s="6"/>
      <c r="AA56" s="6"/>
    </row>
    <row r="57" ht="21" customHeight="1" spans="1:27">
      <c r="A57" s="40" t="s">
        <v>142</v>
      </c>
      <c r="B57" s="7">
        <v>45719</v>
      </c>
      <c r="C57" s="6" t="str">
        <f t="shared" si="0"/>
        <v>2025年3月</v>
      </c>
      <c r="D57" s="6" t="s">
        <v>12</v>
      </c>
      <c r="E57" s="40" t="s">
        <v>39</v>
      </c>
      <c r="F57" s="141" t="s">
        <v>254</v>
      </c>
      <c r="G57" s="61"/>
      <c r="H57" s="61"/>
      <c r="I57" s="40" t="s">
        <v>82</v>
      </c>
      <c r="J57" s="6"/>
      <c r="K57" s="8" t="s">
        <v>221</v>
      </c>
      <c r="L57" s="6" t="s">
        <v>222</v>
      </c>
      <c r="M57" s="6" t="s">
        <v>105</v>
      </c>
      <c r="N57" s="6"/>
      <c r="O57" s="6" t="s">
        <v>85</v>
      </c>
      <c r="P57" s="6"/>
      <c r="Q57" s="6"/>
      <c r="R57" s="6"/>
      <c r="S57" s="6"/>
      <c r="T57" s="6"/>
      <c r="U57" s="6"/>
      <c r="V57" s="6"/>
      <c r="W57" s="6"/>
      <c r="X57" s="6"/>
      <c r="Y57" s="6"/>
      <c r="Z57" s="6"/>
      <c r="AA57" s="6"/>
    </row>
    <row r="58" ht="21" customHeight="1" spans="1:27">
      <c r="A58" s="40" t="s">
        <v>142</v>
      </c>
      <c r="B58" s="7">
        <v>45721</v>
      </c>
      <c r="C58" s="6" t="str">
        <f t="shared" si="0"/>
        <v>2025年3月</v>
      </c>
      <c r="D58" s="6" t="s">
        <v>12</v>
      </c>
      <c r="E58" s="40" t="s">
        <v>39</v>
      </c>
      <c r="F58" s="141" t="s">
        <v>255</v>
      </c>
      <c r="G58" s="61"/>
      <c r="H58" s="61"/>
      <c r="I58" s="40" t="s">
        <v>82</v>
      </c>
      <c r="J58" s="6"/>
      <c r="K58" s="8" t="s">
        <v>227</v>
      </c>
      <c r="L58" s="6" t="s">
        <v>228</v>
      </c>
      <c r="M58" s="6" t="s">
        <v>105</v>
      </c>
      <c r="N58" s="6"/>
      <c r="O58" s="6" t="s">
        <v>194</v>
      </c>
      <c r="P58" s="6"/>
      <c r="Q58" s="6"/>
      <c r="R58" s="6"/>
      <c r="S58" s="6"/>
      <c r="T58" s="6"/>
      <c r="U58" s="6"/>
      <c r="V58" s="6"/>
      <c r="W58" s="6"/>
      <c r="X58" s="6"/>
      <c r="Y58" s="6"/>
      <c r="Z58" s="6"/>
      <c r="AA58" s="6"/>
    </row>
    <row r="59" ht="21" customHeight="1" spans="1:27">
      <c r="A59" s="40" t="s">
        <v>207</v>
      </c>
      <c r="B59" s="7">
        <v>45721</v>
      </c>
      <c r="C59" s="6" t="str">
        <f t="shared" si="0"/>
        <v>2025年3月</v>
      </c>
      <c r="D59" s="6" t="s">
        <v>12</v>
      </c>
      <c r="E59" s="40" t="s">
        <v>39</v>
      </c>
      <c r="F59" s="141" t="s">
        <v>256</v>
      </c>
      <c r="G59" s="61"/>
      <c r="H59" s="61"/>
      <c r="I59" s="40" t="s">
        <v>82</v>
      </c>
      <c r="J59" s="6"/>
      <c r="K59" s="8" t="s">
        <v>205</v>
      </c>
      <c r="L59" s="241" t="s">
        <v>206</v>
      </c>
      <c r="M59" s="6" t="s">
        <v>105</v>
      </c>
      <c r="N59" s="6" t="s">
        <v>50</v>
      </c>
      <c r="O59" s="6" t="s">
        <v>179</v>
      </c>
      <c r="P59" s="6" t="s">
        <v>257</v>
      </c>
      <c r="Q59" s="6"/>
      <c r="R59" s="6"/>
      <c r="S59" s="6"/>
      <c r="T59" s="6"/>
      <c r="U59" s="6"/>
      <c r="V59" s="6"/>
      <c r="W59" s="6"/>
      <c r="X59" s="6"/>
      <c r="Y59" s="6"/>
      <c r="Z59" s="6"/>
      <c r="AA59" s="6"/>
    </row>
    <row r="60" ht="21" customHeight="1" spans="1:27">
      <c r="A60" s="40" t="s">
        <v>142</v>
      </c>
      <c r="B60" s="7">
        <v>45721</v>
      </c>
      <c r="C60" s="6" t="str">
        <f t="shared" si="0"/>
        <v>2025年3月</v>
      </c>
      <c r="D60" s="6" t="s">
        <v>12</v>
      </c>
      <c r="E60" s="40" t="s">
        <v>39</v>
      </c>
      <c r="F60" s="141" t="s">
        <v>258</v>
      </c>
      <c r="G60" s="61"/>
      <c r="H60" s="61"/>
      <c r="I60" s="40" t="s">
        <v>82</v>
      </c>
      <c r="J60" s="6"/>
      <c r="K60" s="8" t="s">
        <v>259</v>
      </c>
      <c r="L60" s="6" t="s">
        <v>260</v>
      </c>
      <c r="M60" s="6" t="s">
        <v>105</v>
      </c>
      <c r="N60" s="6"/>
      <c r="O60" s="6" t="s">
        <v>261</v>
      </c>
      <c r="P60" s="6"/>
      <c r="Q60" s="6"/>
      <c r="R60" s="6"/>
      <c r="S60" s="6"/>
      <c r="T60" s="6"/>
      <c r="U60" s="6"/>
      <c r="V60" s="6"/>
      <c r="W60" s="6"/>
      <c r="X60" s="6"/>
      <c r="Y60" s="6"/>
      <c r="Z60" s="6"/>
      <c r="AA60" s="6"/>
    </row>
    <row r="61" ht="21" customHeight="1" spans="1:27">
      <c r="A61" s="40" t="s">
        <v>207</v>
      </c>
      <c r="B61" s="7">
        <v>45721</v>
      </c>
      <c r="C61" s="6" t="str">
        <f t="shared" si="0"/>
        <v>2025年3月</v>
      </c>
      <c r="D61" s="6" t="s">
        <v>12</v>
      </c>
      <c r="E61" s="40" t="s">
        <v>39</v>
      </c>
      <c r="F61" s="141" t="s">
        <v>262</v>
      </c>
      <c r="G61" s="61"/>
      <c r="H61" s="61"/>
      <c r="I61" s="40" t="s">
        <v>82</v>
      </c>
      <c r="J61" s="6"/>
      <c r="K61" s="8" t="s">
        <v>263</v>
      </c>
      <c r="L61" s="6" t="s">
        <v>264</v>
      </c>
      <c r="M61" s="6" t="s">
        <v>105</v>
      </c>
      <c r="N61" s="6" t="s">
        <v>50</v>
      </c>
      <c r="O61" s="6" t="s">
        <v>168</v>
      </c>
      <c r="P61" s="6" t="s">
        <v>265</v>
      </c>
      <c r="Q61" s="6"/>
      <c r="R61" s="6"/>
      <c r="S61" s="6"/>
      <c r="T61" s="6"/>
      <c r="U61" s="6"/>
      <c r="V61" s="6"/>
      <c r="W61" s="6"/>
      <c r="X61" s="6"/>
      <c r="Y61" s="6"/>
      <c r="Z61" s="6"/>
      <c r="AA61" s="6"/>
    </row>
    <row r="62" ht="21" customHeight="1" spans="1:27">
      <c r="A62" s="40" t="s">
        <v>142</v>
      </c>
      <c r="B62" s="7">
        <v>45723</v>
      </c>
      <c r="C62" s="6" t="str">
        <f t="shared" si="0"/>
        <v>2025年3月</v>
      </c>
      <c r="D62" s="6" t="s">
        <v>12</v>
      </c>
      <c r="E62" s="40" t="s">
        <v>39</v>
      </c>
      <c r="F62" s="141" t="s">
        <v>266</v>
      </c>
      <c r="G62" s="61"/>
      <c r="H62" s="61"/>
      <c r="I62" s="40" t="s">
        <v>82</v>
      </c>
      <c r="J62" s="6"/>
      <c r="K62" s="8" t="s">
        <v>247</v>
      </c>
      <c r="L62" s="6" t="s">
        <v>248</v>
      </c>
      <c r="M62" s="6" t="s">
        <v>105</v>
      </c>
      <c r="N62" s="6"/>
      <c r="O62" s="6" t="s">
        <v>85</v>
      </c>
      <c r="P62" s="6"/>
      <c r="Q62" s="6"/>
      <c r="R62" s="6"/>
      <c r="S62" s="6"/>
      <c r="T62" s="6"/>
      <c r="U62" s="6"/>
      <c r="V62" s="6"/>
      <c r="W62" s="6"/>
      <c r="X62" s="6"/>
      <c r="Y62" s="6"/>
      <c r="Z62" s="6"/>
      <c r="AA62" s="6"/>
    </row>
    <row r="63" ht="21" customHeight="1" spans="1:27">
      <c r="A63" s="40" t="s">
        <v>142</v>
      </c>
      <c r="B63" s="7">
        <v>45726</v>
      </c>
      <c r="C63" s="6" t="str">
        <f t="shared" si="0"/>
        <v>2025年3月</v>
      </c>
      <c r="D63" s="6" t="s">
        <v>12</v>
      </c>
      <c r="E63" s="40" t="s">
        <v>39</v>
      </c>
      <c r="F63" s="141" t="s">
        <v>267</v>
      </c>
      <c r="G63" s="61"/>
      <c r="H63" s="61"/>
      <c r="I63" s="40" t="s">
        <v>82</v>
      </c>
      <c r="J63" s="6"/>
      <c r="K63" s="8" t="s">
        <v>268</v>
      </c>
      <c r="L63" s="6" t="s">
        <v>269</v>
      </c>
      <c r="M63" s="6" t="s">
        <v>105</v>
      </c>
      <c r="N63" s="6"/>
      <c r="O63" s="6" t="s">
        <v>270</v>
      </c>
      <c r="P63" s="6"/>
      <c r="Q63" s="6"/>
      <c r="R63" s="6"/>
      <c r="S63" s="6"/>
      <c r="T63" s="6"/>
      <c r="U63" s="6"/>
      <c r="V63" s="6"/>
      <c r="W63" s="6"/>
      <c r="X63" s="6"/>
      <c r="Y63" s="6"/>
      <c r="Z63" s="6"/>
      <c r="AA63" s="6"/>
    </row>
    <row r="64" ht="21" customHeight="1" spans="1:27">
      <c r="A64" s="40" t="s">
        <v>142</v>
      </c>
      <c r="B64" s="7">
        <v>45727</v>
      </c>
      <c r="C64" s="6" t="str">
        <f t="shared" si="0"/>
        <v>2025年3月</v>
      </c>
      <c r="D64" s="6" t="s">
        <v>12</v>
      </c>
      <c r="E64" s="40" t="s">
        <v>39</v>
      </c>
      <c r="F64" s="59" t="s">
        <v>271</v>
      </c>
      <c r="G64" s="61"/>
      <c r="H64" s="61"/>
      <c r="I64" s="40" t="s">
        <v>82</v>
      </c>
      <c r="J64" s="6"/>
      <c r="K64" s="8" t="s">
        <v>272</v>
      </c>
      <c r="L64" s="6" t="s">
        <v>273</v>
      </c>
      <c r="M64" s="6" t="s">
        <v>105</v>
      </c>
      <c r="N64" s="6"/>
      <c r="O64" s="6" t="s">
        <v>111</v>
      </c>
      <c r="P64" s="6" t="s">
        <v>274</v>
      </c>
      <c r="Q64" s="6"/>
      <c r="R64" s="6"/>
      <c r="S64" s="6"/>
      <c r="T64" s="6"/>
      <c r="U64" s="6"/>
      <c r="V64" s="6"/>
      <c r="W64" s="6"/>
      <c r="X64" s="6"/>
      <c r="Y64" s="6"/>
      <c r="Z64" s="6"/>
      <c r="AA64" s="6"/>
    </row>
    <row r="65" ht="21" customHeight="1" spans="1:27">
      <c r="A65" s="40" t="s">
        <v>78</v>
      </c>
      <c r="B65" s="7">
        <v>45730</v>
      </c>
      <c r="C65" s="6" t="str">
        <f t="shared" si="0"/>
        <v>2025年3月</v>
      </c>
      <c r="D65" s="6" t="s">
        <v>10</v>
      </c>
      <c r="E65" s="40" t="s">
        <v>41</v>
      </c>
      <c r="F65" s="141" t="s">
        <v>275</v>
      </c>
      <c r="G65" s="61"/>
      <c r="H65" s="61"/>
      <c r="I65" s="40" t="s">
        <v>82</v>
      </c>
      <c r="J65" s="6"/>
      <c r="K65" s="109"/>
      <c r="L65" s="109"/>
      <c r="M65" s="6" t="s">
        <v>105</v>
      </c>
      <c r="N65" s="109"/>
      <c r="O65" s="10" t="s">
        <v>94</v>
      </c>
      <c r="P65" s="109"/>
      <c r="Q65" s="7"/>
      <c r="R65" s="6"/>
      <c r="S65" s="6"/>
      <c r="T65" s="6"/>
      <c r="U65" s="6"/>
      <c r="V65" s="6"/>
      <c r="W65" s="6"/>
      <c r="X65" s="6"/>
      <c r="Y65" s="6"/>
      <c r="Z65" s="6"/>
      <c r="AA65" s="6"/>
    </row>
    <row r="66" ht="21" customHeight="1" spans="1:27">
      <c r="A66" s="40" t="s">
        <v>207</v>
      </c>
      <c r="B66" s="7">
        <v>45730</v>
      </c>
      <c r="C66" s="6" t="str">
        <f t="shared" si="0"/>
        <v>2025年3月</v>
      </c>
      <c r="D66" s="6" t="s">
        <v>11</v>
      </c>
      <c r="E66" s="40" t="s">
        <v>41</v>
      </c>
      <c r="F66" s="141" t="s">
        <v>276</v>
      </c>
      <c r="G66" s="61"/>
      <c r="H66" s="61"/>
      <c r="I66" s="40" t="s">
        <v>82</v>
      </c>
      <c r="J66" s="6"/>
      <c r="K66" s="8" t="s">
        <v>277</v>
      </c>
      <c r="L66" s="6" t="s">
        <v>278</v>
      </c>
      <c r="M66" s="6" t="s">
        <v>7</v>
      </c>
      <c r="N66" s="6" t="s">
        <v>50</v>
      </c>
      <c r="O66" s="6" t="s">
        <v>129</v>
      </c>
      <c r="P66" s="6" t="s">
        <v>279</v>
      </c>
      <c r="Q66" s="6"/>
      <c r="R66" s="6"/>
      <c r="S66" s="6"/>
      <c r="T66" s="6"/>
      <c r="U66" s="6"/>
      <c r="V66" s="6"/>
      <c r="W66" s="6"/>
      <c r="X66" s="6"/>
      <c r="Y66" s="6"/>
      <c r="Z66" s="6"/>
      <c r="AA66" s="6"/>
    </row>
    <row r="67" ht="21" customHeight="1" spans="1:27">
      <c r="A67" s="40" t="s">
        <v>207</v>
      </c>
      <c r="B67" s="7">
        <v>45735</v>
      </c>
      <c r="C67" s="6" t="str">
        <f t="shared" si="0"/>
        <v>2025年3月</v>
      </c>
      <c r="D67" s="6" t="s">
        <v>10</v>
      </c>
      <c r="E67" s="40" t="s">
        <v>39</v>
      </c>
      <c r="F67" s="141" t="s">
        <v>280</v>
      </c>
      <c r="G67" s="61"/>
      <c r="H67" s="61"/>
      <c r="I67" s="40" t="s">
        <v>82</v>
      </c>
      <c r="J67" s="6"/>
      <c r="K67" s="8" t="s">
        <v>281</v>
      </c>
      <c r="L67" s="8" t="s">
        <v>282</v>
      </c>
      <c r="M67" s="6" t="s">
        <v>105</v>
      </c>
      <c r="N67" s="6" t="s">
        <v>110</v>
      </c>
      <c r="O67" s="6" t="s">
        <v>261</v>
      </c>
      <c r="P67" s="6" t="s">
        <v>265</v>
      </c>
      <c r="Q67" s="6"/>
      <c r="R67" s="6"/>
      <c r="S67" s="6"/>
      <c r="T67" s="6"/>
      <c r="U67" s="6"/>
      <c r="V67" s="6"/>
      <c r="W67" s="6"/>
      <c r="X67" s="6"/>
      <c r="Y67" s="6"/>
      <c r="Z67" s="6"/>
      <c r="AA67" s="6"/>
    </row>
    <row r="68" ht="21" customHeight="1" spans="1:27">
      <c r="A68" s="40" t="s">
        <v>207</v>
      </c>
      <c r="B68" s="7">
        <v>45736</v>
      </c>
      <c r="C68" s="6" t="str">
        <f t="shared" si="0"/>
        <v>2025年3月</v>
      </c>
      <c r="D68" s="6" t="s">
        <v>10</v>
      </c>
      <c r="E68" s="40" t="s">
        <v>39</v>
      </c>
      <c r="F68" s="141" t="s">
        <v>283</v>
      </c>
      <c r="G68" s="61"/>
      <c r="H68" s="61"/>
      <c r="I68" s="40" t="s">
        <v>82</v>
      </c>
      <c r="J68" s="6"/>
      <c r="K68" s="71" t="s">
        <v>284</v>
      </c>
      <c r="L68" s="6" t="s">
        <v>285</v>
      </c>
      <c r="M68" s="6" t="s">
        <v>105</v>
      </c>
      <c r="N68" s="6" t="s">
        <v>110</v>
      </c>
      <c r="O68" s="6" t="s">
        <v>111</v>
      </c>
      <c r="P68" s="6" t="s">
        <v>265</v>
      </c>
      <c r="Q68" s="6"/>
      <c r="R68" s="6"/>
      <c r="S68" s="6"/>
      <c r="T68" s="6"/>
      <c r="U68" s="6"/>
      <c r="V68" s="6"/>
      <c r="W68" s="6"/>
      <c r="X68" s="6"/>
      <c r="Y68" s="6"/>
      <c r="Z68" s="6"/>
      <c r="AA68" s="6"/>
    </row>
    <row r="69" ht="21" customHeight="1" spans="1:27">
      <c r="A69" s="40" t="s">
        <v>142</v>
      </c>
      <c r="B69" s="7">
        <v>45736</v>
      </c>
      <c r="C69" s="6" t="str">
        <f t="shared" si="0"/>
        <v>2025年3月</v>
      </c>
      <c r="D69" s="6" t="s">
        <v>10</v>
      </c>
      <c r="E69" s="40" t="s">
        <v>39</v>
      </c>
      <c r="F69" s="141" t="s">
        <v>286</v>
      </c>
      <c r="G69" s="61"/>
      <c r="H69" s="61"/>
      <c r="I69" s="40" t="s">
        <v>82</v>
      </c>
      <c r="J69" s="6"/>
      <c r="K69" s="8" t="s">
        <v>287</v>
      </c>
      <c r="L69" s="6" t="s">
        <v>288</v>
      </c>
      <c r="M69" s="6" t="s">
        <v>105</v>
      </c>
      <c r="N69" s="6"/>
      <c r="O69" s="6" t="s">
        <v>270</v>
      </c>
      <c r="P69" s="6"/>
      <c r="Q69" s="6"/>
      <c r="R69" s="6"/>
      <c r="S69" s="6"/>
      <c r="T69" s="6"/>
      <c r="U69" s="6"/>
      <c r="V69" s="6"/>
      <c r="W69" s="6"/>
      <c r="X69" s="6"/>
      <c r="Y69" s="6"/>
      <c r="Z69" s="6"/>
      <c r="AA69" s="6"/>
    </row>
    <row r="70" ht="21" customHeight="1" spans="1:27">
      <c r="A70" s="40" t="s">
        <v>142</v>
      </c>
      <c r="B70" s="7">
        <v>45736</v>
      </c>
      <c r="C70" s="6" t="str">
        <f t="shared" si="0"/>
        <v>2025年3月</v>
      </c>
      <c r="D70" s="6" t="s">
        <v>11</v>
      </c>
      <c r="E70" s="40" t="s">
        <v>41</v>
      </c>
      <c r="F70" s="141" t="s">
        <v>289</v>
      </c>
      <c r="G70" s="61"/>
      <c r="H70" s="61"/>
      <c r="I70" s="40" t="s">
        <v>290</v>
      </c>
      <c r="J70" s="6"/>
      <c r="K70" s="8" t="s">
        <v>291</v>
      </c>
      <c r="L70" s="6" t="s">
        <v>292</v>
      </c>
      <c r="M70" s="6" t="s">
        <v>7</v>
      </c>
      <c r="N70" s="6"/>
      <c r="O70" s="6" t="s">
        <v>129</v>
      </c>
      <c r="P70" s="6"/>
      <c r="Q70" s="6"/>
      <c r="R70" s="6"/>
      <c r="S70" s="6"/>
      <c r="T70" s="6"/>
      <c r="U70" s="6"/>
      <c r="V70" s="6"/>
      <c r="W70" s="6"/>
      <c r="X70" s="6"/>
      <c r="Y70" s="6"/>
      <c r="Z70" s="6"/>
      <c r="AA70" s="6"/>
    </row>
    <row r="71" ht="21" customHeight="1" spans="1:27">
      <c r="A71" s="40" t="s">
        <v>78</v>
      </c>
      <c r="B71" s="7">
        <v>45740</v>
      </c>
      <c r="C71" s="6" t="str">
        <f t="shared" si="0"/>
        <v>2025年3月</v>
      </c>
      <c r="D71" s="6" t="s">
        <v>10</v>
      </c>
      <c r="E71" s="40" t="s">
        <v>40</v>
      </c>
      <c r="F71" s="141" t="s">
        <v>293</v>
      </c>
      <c r="G71" s="61" t="s">
        <v>139</v>
      </c>
      <c r="H71" s="61"/>
      <c r="I71" s="40" t="s">
        <v>82</v>
      </c>
      <c r="J71" s="6"/>
      <c r="K71" s="8" t="s">
        <v>294</v>
      </c>
      <c r="L71" s="6" t="s">
        <v>295</v>
      </c>
      <c r="M71" s="6" t="s">
        <v>105</v>
      </c>
      <c r="N71" s="6"/>
      <c r="O71" s="6" t="s">
        <v>89</v>
      </c>
      <c r="P71" s="6"/>
      <c r="Q71" s="6"/>
      <c r="R71" s="6"/>
      <c r="S71" s="6"/>
      <c r="T71" s="6"/>
      <c r="U71" s="6"/>
      <c r="V71" s="6"/>
      <c r="W71" s="6"/>
      <c r="X71" s="6"/>
      <c r="Y71" s="6"/>
      <c r="Z71" s="6"/>
      <c r="AA71" s="6"/>
    </row>
    <row r="72" ht="21" customHeight="1" spans="1:27">
      <c r="A72" s="40"/>
      <c r="B72" s="10"/>
      <c r="C72" s="10"/>
      <c r="D72" s="40"/>
      <c r="E72" s="40"/>
      <c r="F72" s="10"/>
      <c r="G72" s="61" t="s">
        <v>173</v>
      </c>
      <c r="H72" s="61"/>
      <c r="I72" s="40" t="s">
        <v>82</v>
      </c>
      <c r="J72" s="6"/>
      <c r="K72" s="8" t="s">
        <v>296</v>
      </c>
      <c r="L72" s="6" t="s">
        <v>297</v>
      </c>
      <c r="M72" s="6" t="s">
        <v>105</v>
      </c>
      <c r="N72" s="6"/>
      <c r="O72" s="6" t="s">
        <v>111</v>
      </c>
      <c r="P72" s="6"/>
      <c r="Q72" s="6"/>
      <c r="R72" s="6"/>
      <c r="S72" s="6"/>
      <c r="T72" s="6"/>
      <c r="U72" s="6"/>
      <c r="V72" s="6"/>
      <c r="W72" s="6"/>
      <c r="X72" s="6"/>
      <c r="Y72" s="6"/>
      <c r="Z72" s="6"/>
      <c r="AA72" s="6"/>
    </row>
    <row r="73" ht="21" customHeight="1" spans="1:27">
      <c r="A73" s="40"/>
      <c r="B73" s="10"/>
      <c r="C73" s="10"/>
      <c r="D73" s="40"/>
      <c r="E73" s="40"/>
      <c r="F73" s="10"/>
      <c r="G73" s="61" t="s">
        <v>149</v>
      </c>
      <c r="H73" s="61"/>
      <c r="I73" s="40" t="s">
        <v>82</v>
      </c>
      <c r="J73" s="6"/>
      <c r="K73" s="8" t="s">
        <v>298</v>
      </c>
      <c r="L73" s="6" t="s">
        <v>299</v>
      </c>
      <c r="M73" s="6" t="s">
        <v>105</v>
      </c>
      <c r="N73" s="6"/>
      <c r="O73" s="6" t="s">
        <v>300</v>
      </c>
      <c r="P73" s="6"/>
      <c r="Q73" s="6"/>
      <c r="R73" s="6"/>
      <c r="S73" s="6"/>
      <c r="T73" s="6"/>
      <c r="U73" s="6"/>
      <c r="V73" s="6"/>
      <c r="W73" s="6"/>
      <c r="X73" s="6"/>
      <c r="Y73" s="6"/>
      <c r="Z73" s="6"/>
      <c r="AA73" s="6"/>
    </row>
    <row r="74" ht="21" customHeight="1" spans="1:27">
      <c r="A74" s="40"/>
      <c r="B74" s="10"/>
      <c r="C74" s="10"/>
      <c r="D74" s="40"/>
      <c r="E74" s="40"/>
      <c r="F74" s="10"/>
      <c r="G74" s="61" t="s">
        <v>139</v>
      </c>
      <c r="H74" s="61"/>
      <c r="I74" s="40" t="s">
        <v>82</v>
      </c>
      <c r="J74" s="6"/>
      <c r="K74" s="8" t="s">
        <v>301</v>
      </c>
      <c r="L74" s="6" t="s">
        <v>302</v>
      </c>
      <c r="M74" s="6" t="s">
        <v>105</v>
      </c>
      <c r="N74" s="6"/>
      <c r="O74" s="6" t="s">
        <v>97</v>
      </c>
      <c r="P74" s="6"/>
      <c r="Q74" s="6"/>
      <c r="R74" s="6"/>
      <c r="S74" s="6"/>
      <c r="T74" s="6"/>
      <c r="U74" s="6"/>
      <c r="V74" s="6"/>
      <c r="W74" s="6"/>
      <c r="X74" s="6"/>
      <c r="Y74" s="6"/>
      <c r="Z74" s="6"/>
      <c r="AA74" s="6"/>
    </row>
    <row r="75" ht="21" customHeight="1" spans="1:27">
      <c r="A75" s="40"/>
      <c r="B75" s="10"/>
      <c r="C75" s="10"/>
      <c r="D75" s="40"/>
      <c r="E75" s="40"/>
      <c r="F75" s="10"/>
      <c r="G75" s="61" t="s">
        <v>303</v>
      </c>
      <c r="H75" s="61"/>
      <c r="I75" s="40" t="s">
        <v>82</v>
      </c>
      <c r="J75" s="6"/>
      <c r="K75" s="8" t="s">
        <v>304</v>
      </c>
      <c r="L75" s="6" t="s">
        <v>305</v>
      </c>
      <c r="M75" s="6" t="s">
        <v>105</v>
      </c>
      <c r="N75" s="6"/>
      <c r="O75" s="6" t="s">
        <v>111</v>
      </c>
      <c r="P75" s="6"/>
      <c r="Q75" s="6"/>
      <c r="R75" s="6"/>
      <c r="S75" s="6"/>
      <c r="T75" s="6"/>
      <c r="U75" s="6"/>
      <c r="V75" s="6"/>
      <c r="W75" s="6"/>
      <c r="X75" s="6"/>
      <c r="Y75" s="6"/>
      <c r="Z75" s="6"/>
      <c r="AA75" s="6"/>
    </row>
    <row r="76" ht="21" customHeight="1" spans="1:27">
      <c r="A76" s="40" t="s">
        <v>207</v>
      </c>
      <c r="B76" s="7">
        <v>45740</v>
      </c>
      <c r="C76" s="6" t="str">
        <f t="shared" ref="C76:C110" si="1">YEAR(B76)&amp;"年"&amp;MONTH(B76)&amp;"月"</f>
        <v>2025年3月</v>
      </c>
      <c r="D76" s="6" t="s">
        <v>12</v>
      </c>
      <c r="E76" s="40" t="s">
        <v>39</v>
      </c>
      <c r="F76" s="141" t="s">
        <v>306</v>
      </c>
      <c r="G76" s="61"/>
      <c r="H76" s="61"/>
      <c r="I76" s="40" t="s">
        <v>82</v>
      </c>
      <c r="J76" s="6"/>
      <c r="K76" s="8" t="s">
        <v>307</v>
      </c>
      <c r="L76" s="6" t="s">
        <v>308</v>
      </c>
      <c r="M76" s="6" t="s">
        <v>105</v>
      </c>
      <c r="N76" s="6" t="s">
        <v>110</v>
      </c>
      <c r="O76" s="6" t="s">
        <v>270</v>
      </c>
      <c r="P76" s="6" t="s">
        <v>265</v>
      </c>
      <c r="Q76" s="6"/>
      <c r="R76" s="6"/>
      <c r="S76" s="6"/>
      <c r="T76" s="6"/>
      <c r="U76" s="6"/>
      <c r="V76" s="6"/>
      <c r="W76" s="6"/>
      <c r="X76" s="6"/>
      <c r="Y76" s="6"/>
      <c r="Z76" s="6"/>
      <c r="AA76" s="6"/>
    </row>
    <row r="77" ht="21" customHeight="1" spans="1:27">
      <c r="A77" s="40" t="s">
        <v>142</v>
      </c>
      <c r="B77" s="7">
        <v>45740</v>
      </c>
      <c r="C77" s="6" t="str">
        <f t="shared" si="1"/>
        <v>2025年3月</v>
      </c>
      <c r="D77" s="6" t="s">
        <v>12</v>
      </c>
      <c r="E77" s="40" t="s">
        <v>39</v>
      </c>
      <c r="F77" s="141" t="s">
        <v>309</v>
      </c>
      <c r="G77" s="61"/>
      <c r="H77" s="61"/>
      <c r="I77" s="40" t="s">
        <v>82</v>
      </c>
      <c r="J77" s="6"/>
      <c r="K77" s="8" t="s">
        <v>310</v>
      </c>
      <c r="L77" s="6" t="s">
        <v>311</v>
      </c>
      <c r="M77" s="6" t="s">
        <v>105</v>
      </c>
      <c r="N77" s="6"/>
      <c r="O77" s="6" t="s">
        <v>270</v>
      </c>
      <c r="P77" s="6"/>
      <c r="Q77" s="6"/>
      <c r="R77" s="6"/>
      <c r="S77" s="6"/>
      <c r="T77" s="6"/>
      <c r="U77" s="6"/>
      <c r="V77" s="6"/>
      <c r="W77" s="6"/>
      <c r="X77" s="6"/>
      <c r="Y77" s="6"/>
      <c r="Z77" s="6"/>
      <c r="AA77" s="6"/>
    </row>
    <row r="78" ht="21" customHeight="1" spans="1:27">
      <c r="A78" s="40" t="s">
        <v>142</v>
      </c>
      <c r="B78" s="7">
        <v>45740</v>
      </c>
      <c r="C78" s="6" t="str">
        <f t="shared" si="1"/>
        <v>2025年3月</v>
      </c>
      <c r="D78" s="6" t="s">
        <v>12</v>
      </c>
      <c r="E78" s="40" t="s">
        <v>39</v>
      </c>
      <c r="F78" s="141" t="s">
        <v>312</v>
      </c>
      <c r="G78" s="61"/>
      <c r="H78" s="61"/>
      <c r="I78" s="40" t="s">
        <v>82</v>
      </c>
      <c r="J78" s="6"/>
      <c r="K78" s="59" t="s">
        <v>310</v>
      </c>
      <c r="L78" s="6" t="s">
        <v>311</v>
      </c>
      <c r="M78" s="6" t="s">
        <v>105</v>
      </c>
      <c r="N78" s="6"/>
      <c r="O78" s="6" t="s">
        <v>270</v>
      </c>
      <c r="P78" s="6"/>
      <c r="Q78" s="6"/>
      <c r="R78" s="6"/>
      <c r="S78" s="6"/>
      <c r="T78" s="6"/>
      <c r="U78" s="6"/>
      <c r="V78" s="6"/>
      <c r="W78" s="6"/>
      <c r="X78" s="6"/>
      <c r="Y78" s="6"/>
      <c r="Z78" s="6"/>
      <c r="AA78" s="6"/>
    </row>
    <row r="79" ht="21" customHeight="1" spans="1:27">
      <c r="A79" s="40" t="s">
        <v>207</v>
      </c>
      <c r="B79" s="7">
        <v>45740</v>
      </c>
      <c r="C79" s="6" t="str">
        <f t="shared" si="1"/>
        <v>2025年3月</v>
      </c>
      <c r="D79" s="6" t="s">
        <v>12</v>
      </c>
      <c r="E79" s="40" t="s">
        <v>39</v>
      </c>
      <c r="F79" s="141" t="s">
        <v>313</v>
      </c>
      <c r="G79" s="61"/>
      <c r="H79" s="61"/>
      <c r="I79" s="40" t="s">
        <v>82</v>
      </c>
      <c r="J79" s="6"/>
      <c r="K79" s="8" t="s">
        <v>314</v>
      </c>
      <c r="L79" s="6" t="s">
        <v>315</v>
      </c>
      <c r="M79" s="6" t="s">
        <v>105</v>
      </c>
      <c r="N79" s="6" t="s">
        <v>110</v>
      </c>
      <c r="O79" s="6" t="s">
        <v>129</v>
      </c>
      <c r="P79" s="6" t="s">
        <v>265</v>
      </c>
      <c r="Q79" s="6"/>
      <c r="R79" s="6"/>
      <c r="S79" s="6"/>
      <c r="T79" s="6"/>
      <c r="U79" s="6"/>
      <c r="V79" s="6"/>
      <c r="W79" s="6"/>
      <c r="X79" s="6"/>
      <c r="Y79" s="6"/>
      <c r="Z79" s="6"/>
      <c r="AA79" s="6"/>
    </row>
    <row r="80" ht="21" customHeight="1" spans="1:27">
      <c r="A80" s="40" t="s">
        <v>207</v>
      </c>
      <c r="B80" s="7">
        <v>45740</v>
      </c>
      <c r="C80" s="6" t="str">
        <f t="shared" si="1"/>
        <v>2025年3月</v>
      </c>
      <c r="D80" s="6" t="s">
        <v>10</v>
      </c>
      <c r="E80" s="40" t="s">
        <v>39</v>
      </c>
      <c r="F80" s="141" t="s">
        <v>316</v>
      </c>
      <c r="G80" s="61"/>
      <c r="H80" s="61"/>
      <c r="I80" s="40" t="s">
        <v>82</v>
      </c>
      <c r="J80" s="6"/>
      <c r="K80" s="8" t="s">
        <v>317</v>
      </c>
      <c r="L80" s="6" t="s">
        <v>318</v>
      </c>
      <c r="M80" s="6" t="s">
        <v>105</v>
      </c>
      <c r="N80" s="6" t="s">
        <v>110</v>
      </c>
      <c r="O80" s="6" t="s">
        <v>89</v>
      </c>
      <c r="P80" s="6" t="s">
        <v>265</v>
      </c>
      <c r="Q80" s="6"/>
      <c r="R80" s="6"/>
      <c r="S80" s="6"/>
      <c r="T80" s="6"/>
      <c r="U80" s="6"/>
      <c r="V80" s="6"/>
      <c r="W80" s="6"/>
      <c r="X80" s="6"/>
      <c r="Y80" s="6"/>
      <c r="Z80" s="6"/>
      <c r="AA80" s="6"/>
    </row>
    <row r="81" ht="21" customHeight="1" spans="1:27">
      <c r="A81" s="40" t="s">
        <v>142</v>
      </c>
      <c r="B81" s="7">
        <v>45740</v>
      </c>
      <c r="C81" s="6" t="str">
        <f t="shared" si="1"/>
        <v>2025年3月</v>
      </c>
      <c r="D81" s="6" t="s">
        <v>12</v>
      </c>
      <c r="E81" s="40" t="s">
        <v>39</v>
      </c>
      <c r="F81" s="141" t="s">
        <v>319</v>
      </c>
      <c r="G81" s="61"/>
      <c r="H81" s="61"/>
      <c r="I81" s="40" t="s">
        <v>82</v>
      </c>
      <c r="J81" s="6"/>
      <c r="K81" s="8" t="s">
        <v>320</v>
      </c>
      <c r="L81" s="6" t="s">
        <v>321</v>
      </c>
      <c r="M81" s="6" t="s">
        <v>105</v>
      </c>
      <c r="N81" s="6"/>
      <c r="O81" s="6" t="s">
        <v>120</v>
      </c>
      <c r="P81" s="6"/>
      <c r="Q81" s="6"/>
      <c r="R81" s="6"/>
      <c r="S81" s="6"/>
      <c r="T81" s="6"/>
      <c r="U81" s="6"/>
      <c r="V81" s="6"/>
      <c r="W81" s="6"/>
      <c r="X81" s="6"/>
      <c r="Y81" s="6"/>
      <c r="Z81" s="6"/>
      <c r="AA81" s="6"/>
    </row>
    <row r="82" ht="28" spans="1:27">
      <c r="A82" s="40" t="s">
        <v>207</v>
      </c>
      <c r="B82" s="7">
        <v>45750</v>
      </c>
      <c r="C82" s="6" t="str">
        <f t="shared" si="1"/>
        <v>2025年4月</v>
      </c>
      <c r="D82" s="6" t="s">
        <v>12</v>
      </c>
      <c r="E82" s="40" t="s">
        <v>39</v>
      </c>
      <c r="F82" s="140" t="s">
        <v>322</v>
      </c>
      <c r="G82" s="61"/>
      <c r="H82" s="61"/>
      <c r="I82" s="40" t="s">
        <v>82</v>
      </c>
      <c r="J82" s="6"/>
      <c r="K82" s="8" t="s">
        <v>323</v>
      </c>
      <c r="L82" s="6" t="s">
        <v>324</v>
      </c>
      <c r="M82" s="6" t="s">
        <v>105</v>
      </c>
      <c r="N82" s="6"/>
      <c r="O82" s="6" t="s">
        <v>194</v>
      </c>
      <c r="P82" s="6"/>
      <c r="Q82" s="6"/>
      <c r="R82" s="6"/>
      <c r="S82" s="6"/>
      <c r="T82" s="6"/>
      <c r="U82" s="6"/>
      <c r="V82" s="6"/>
      <c r="W82" s="6"/>
      <c r="X82" s="6"/>
      <c r="Y82" s="6"/>
      <c r="Z82" s="6"/>
      <c r="AA82" s="6"/>
    </row>
    <row r="83" ht="21" customHeight="1" spans="1:27">
      <c r="A83" s="40" t="s">
        <v>207</v>
      </c>
      <c r="B83" s="7">
        <v>45751</v>
      </c>
      <c r="C83" s="6" t="str">
        <f t="shared" si="1"/>
        <v>2025年4月</v>
      </c>
      <c r="D83" s="6" t="s">
        <v>11</v>
      </c>
      <c r="E83" s="40" t="s">
        <v>40</v>
      </c>
      <c r="F83" s="141" t="s">
        <v>325</v>
      </c>
      <c r="G83" s="61"/>
      <c r="H83" s="61"/>
      <c r="I83" s="40" t="s">
        <v>82</v>
      </c>
      <c r="J83" s="6"/>
      <c r="K83" s="8" t="s">
        <v>326</v>
      </c>
      <c r="L83" s="6" t="s">
        <v>327</v>
      </c>
      <c r="M83" s="6" t="s">
        <v>105</v>
      </c>
      <c r="N83" s="6" t="s">
        <v>110</v>
      </c>
      <c r="O83" s="6" t="s">
        <v>111</v>
      </c>
      <c r="P83" s="6" t="s">
        <v>265</v>
      </c>
      <c r="Q83" s="6"/>
      <c r="R83" s="6"/>
      <c r="S83" s="6"/>
      <c r="T83" s="6"/>
      <c r="U83" s="6"/>
      <c r="V83" s="6"/>
      <c r="W83" s="6"/>
      <c r="X83" s="6"/>
      <c r="Y83" s="6"/>
      <c r="Z83" s="6"/>
      <c r="AA83" s="6"/>
    </row>
    <row r="84" ht="21" customHeight="1" spans="1:27">
      <c r="A84" s="40" t="s">
        <v>207</v>
      </c>
      <c r="B84" s="7">
        <v>45755</v>
      </c>
      <c r="C84" s="6" t="str">
        <f t="shared" si="1"/>
        <v>2025年4月</v>
      </c>
      <c r="D84" s="6" t="s">
        <v>12</v>
      </c>
      <c r="E84" s="40" t="s">
        <v>39</v>
      </c>
      <c r="F84" s="141" t="s">
        <v>328</v>
      </c>
      <c r="G84" s="61"/>
      <c r="H84" s="61"/>
      <c r="I84" s="40" t="s">
        <v>82</v>
      </c>
      <c r="J84" s="6"/>
      <c r="K84" s="242" t="s">
        <v>329</v>
      </c>
      <c r="L84" s="241" t="s">
        <v>330</v>
      </c>
      <c r="M84" s="6" t="s">
        <v>105</v>
      </c>
      <c r="N84" s="6" t="s">
        <v>110</v>
      </c>
      <c r="O84" s="6" t="s">
        <v>124</v>
      </c>
      <c r="P84" s="6" t="s">
        <v>265</v>
      </c>
      <c r="Q84" s="6"/>
      <c r="R84" s="6"/>
      <c r="S84" s="6"/>
      <c r="T84" s="6"/>
      <c r="U84" s="6"/>
      <c r="V84" s="6"/>
      <c r="W84" s="6"/>
      <c r="X84" s="6"/>
      <c r="Y84" s="6"/>
      <c r="Z84" s="6"/>
      <c r="AA84" s="6"/>
    </row>
    <row r="85" ht="21" customHeight="1" spans="1:27">
      <c r="A85" s="40" t="s">
        <v>142</v>
      </c>
      <c r="B85" s="7">
        <v>45757</v>
      </c>
      <c r="C85" s="6" t="str">
        <f t="shared" si="1"/>
        <v>2025年4月</v>
      </c>
      <c r="D85" s="6" t="s">
        <v>10</v>
      </c>
      <c r="E85" s="40" t="s">
        <v>39</v>
      </c>
      <c r="F85" s="141" t="s">
        <v>331</v>
      </c>
      <c r="G85" s="61"/>
      <c r="H85" s="61"/>
      <c r="I85" s="40" t="s">
        <v>82</v>
      </c>
      <c r="J85" s="6"/>
      <c r="K85" s="8" t="s">
        <v>332</v>
      </c>
      <c r="L85" s="6" t="s">
        <v>333</v>
      </c>
      <c r="M85" s="6" t="s">
        <v>105</v>
      </c>
      <c r="N85" s="6"/>
      <c r="O85" s="6" t="s">
        <v>124</v>
      </c>
      <c r="P85" s="6"/>
      <c r="Q85" s="6"/>
      <c r="R85" s="6"/>
      <c r="S85" s="6"/>
      <c r="T85" s="6"/>
      <c r="U85" s="6"/>
      <c r="V85" s="6"/>
      <c r="W85" s="6"/>
      <c r="X85" s="6"/>
      <c r="Y85" s="6"/>
      <c r="Z85" s="6"/>
      <c r="AA85" s="6"/>
    </row>
    <row r="86" ht="21" customHeight="1" spans="1:27">
      <c r="A86" s="40" t="s">
        <v>207</v>
      </c>
      <c r="B86" s="7">
        <v>45762</v>
      </c>
      <c r="C86" s="6" t="str">
        <f t="shared" si="1"/>
        <v>2025年4月</v>
      </c>
      <c r="D86" s="6" t="s">
        <v>10</v>
      </c>
      <c r="E86" s="40" t="s">
        <v>40</v>
      </c>
      <c r="F86" s="141" t="s">
        <v>334</v>
      </c>
      <c r="G86" s="61"/>
      <c r="H86" s="61"/>
      <c r="I86" s="40" t="s">
        <v>82</v>
      </c>
      <c r="J86" s="6"/>
      <c r="K86" s="8" t="s">
        <v>335</v>
      </c>
      <c r="L86" s="6" t="s">
        <v>336</v>
      </c>
      <c r="M86" s="6" t="s">
        <v>105</v>
      </c>
      <c r="N86" s="6" t="s">
        <v>110</v>
      </c>
      <c r="O86" s="6" t="s">
        <v>111</v>
      </c>
      <c r="P86" s="6" t="s">
        <v>265</v>
      </c>
      <c r="Q86" s="6"/>
      <c r="R86" s="6"/>
      <c r="S86" s="6"/>
      <c r="T86" s="6"/>
      <c r="U86" s="6"/>
      <c r="V86" s="6"/>
      <c r="W86" s="6"/>
      <c r="X86" s="6"/>
      <c r="Y86" s="6"/>
      <c r="Z86" s="6"/>
      <c r="AA86" s="6"/>
    </row>
    <row r="87" ht="21" customHeight="1" spans="1:27">
      <c r="A87" s="40" t="s">
        <v>142</v>
      </c>
      <c r="B87" s="7">
        <v>45769</v>
      </c>
      <c r="C87" s="6" t="str">
        <f t="shared" si="1"/>
        <v>2025年4月</v>
      </c>
      <c r="D87" s="6" t="s">
        <v>12</v>
      </c>
      <c r="E87" s="40" t="s">
        <v>39</v>
      </c>
      <c r="F87" s="141" t="s">
        <v>337</v>
      </c>
      <c r="G87" s="61"/>
      <c r="H87" s="61"/>
      <c r="I87" s="40" t="s">
        <v>82</v>
      </c>
      <c r="J87" s="6"/>
      <c r="K87" s="8" t="s">
        <v>338</v>
      </c>
      <c r="L87" s="6" t="s">
        <v>339</v>
      </c>
      <c r="M87" s="6" t="s">
        <v>105</v>
      </c>
      <c r="N87" s="6"/>
      <c r="O87" s="6" t="s">
        <v>194</v>
      </c>
      <c r="P87" s="6"/>
      <c r="Q87" s="6"/>
      <c r="R87" s="6"/>
      <c r="S87" s="6"/>
      <c r="T87" s="6"/>
      <c r="U87" s="6"/>
      <c r="V87" s="6"/>
      <c r="W87" s="6"/>
      <c r="X87" s="6"/>
      <c r="Y87" s="6"/>
      <c r="Z87" s="6"/>
      <c r="AA87" s="6"/>
    </row>
    <row r="88" ht="21" customHeight="1" spans="1:27">
      <c r="A88" s="40" t="s">
        <v>142</v>
      </c>
      <c r="B88" s="7">
        <v>45769</v>
      </c>
      <c r="C88" s="6" t="str">
        <f t="shared" si="1"/>
        <v>2025年4月</v>
      </c>
      <c r="D88" s="6" t="s">
        <v>10</v>
      </c>
      <c r="E88" s="40" t="s">
        <v>39</v>
      </c>
      <c r="F88" s="141" t="s">
        <v>340</v>
      </c>
      <c r="G88" s="61"/>
      <c r="H88" s="61"/>
      <c r="I88" s="40" t="s">
        <v>82</v>
      </c>
      <c r="J88" s="6"/>
      <c r="K88" s="8" t="s">
        <v>341</v>
      </c>
      <c r="L88" s="6" t="s">
        <v>342</v>
      </c>
      <c r="M88" s="6" t="s">
        <v>105</v>
      </c>
      <c r="N88" s="6"/>
      <c r="O88" s="6" t="s">
        <v>194</v>
      </c>
      <c r="P88" s="6"/>
      <c r="Q88" s="6"/>
      <c r="R88" s="6"/>
      <c r="S88" s="6"/>
      <c r="T88" s="6"/>
      <c r="U88" s="6"/>
      <c r="V88" s="6"/>
      <c r="W88" s="6"/>
      <c r="X88" s="6"/>
      <c r="Y88" s="6"/>
      <c r="Z88" s="6"/>
      <c r="AA88" s="6"/>
    </row>
    <row r="89" ht="21" customHeight="1" spans="1:27">
      <c r="A89" s="40" t="s">
        <v>142</v>
      </c>
      <c r="B89" s="7">
        <v>45769</v>
      </c>
      <c r="C89" s="6" t="str">
        <f t="shared" si="1"/>
        <v>2025年4月</v>
      </c>
      <c r="D89" s="6" t="s">
        <v>10</v>
      </c>
      <c r="E89" s="40" t="s">
        <v>39</v>
      </c>
      <c r="F89" s="141" t="s">
        <v>343</v>
      </c>
      <c r="G89" s="61"/>
      <c r="H89" s="61"/>
      <c r="I89" s="40" t="s">
        <v>82</v>
      </c>
      <c r="J89" s="6"/>
      <c r="K89" s="8" t="s">
        <v>344</v>
      </c>
      <c r="L89" s="6" t="s">
        <v>345</v>
      </c>
      <c r="M89" s="6" t="s">
        <v>105</v>
      </c>
      <c r="N89" s="6"/>
      <c r="O89" s="6" t="s">
        <v>346</v>
      </c>
      <c r="P89" s="6"/>
      <c r="Q89" s="6"/>
      <c r="R89" s="6"/>
      <c r="S89" s="6"/>
      <c r="T89" s="6"/>
      <c r="U89" s="6"/>
      <c r="V89" s="6"/>
      <c r="W89" s="6"/>
      <c r="X89" s="6"/>
      <c r="Y89" s="6"/>
      <c r="Z89" s="6"/>
      <c r="AA89" s="6"/>
    </row>
    <row r="90" ht="21" customHeight="1" spans="1:27">
      <c r="A90" s="40" t="s">
        <v>207</v>
      </c>
      <c r="B90" s="7">
        <v>45769</v>
      </c>
      <c r="C90" s="6" t="str">
        <f t="shared" si="1"/>
        <v>2025年4月</v>
      </c>
      <c r="D90" s="6" t="s">
        <v>12</v>
      </c>
      <c r="E90" s="40" t="s">
        <v>39</v>
      </c>
      <c r="F90" s="141" t="s">
        <v>347</v>
      </c>
      <c r="G90" s="61"/>
      <c r="H90" s="61"/>
      <c r="I90" s="40" t="s">
        <v>82</v>
      </c>
      <c r="J90" s="6"/>
      <c r="K90" s="8" t="s">
        <v>348</v>
      </c>
      <c r="L90" s="6" t="s">
        <v>349</v>
      </c>
      <c r="M90" s="6" t="s">
        <v>105</v>
      </c>
      <c r="N90" s="6"/>
      <c r="O90" s="6" t="s">
        <v>111</v>
      </c>
      <c r="P90" s="6" t="s">
        <v>350</v>
      </c>
      <c r="Q90" s="6"/>
      <c r="R90" s="6"/>
      <c r="S90" s="6"/>
      <c r="T90" s="6"/>
      <c r="U90" s="6"/>
      <c r="V90" s="6"/>
      <c r="W90" s="6"/>
      <c r="X90" s="6"/>
      <c r="Y90" s="6"/>
      <c r="Z90" s="6"/>
      <c r="AA90" s="6"/>
    </row>
    <row r="91" ht="21" customHeight="1" spans="1:27">
      <c r="A91" s="40" t="s">
        <v>142</v>
      </c>
      <c r="B91" s="7">
        <v>45769</v>
      </c>
      <c r="C91" s="6" t="str">
        <f t="shared" si="1"/>
        <v>2025年4月</v>
      </c>
      <c r="D91" s="6" t="s">
        <v>12</v>
      </c>
      <c r="E91" s="40" t="s">
        <v>39</v>
      </c>
      <c r="F91" s="141" t="s">
        <v>351</v>
      </c>
      <c r="G91" s="61"/>
      <c r="H91" s="61"/>
      <c r="I91" s="40" t="s">
        <v>82</v>
      </c>
      <c r="J91" s="6"/>
      <c r="K91" s="71" t="s">
        <v>352</v>
      </c>
      <c r="L91" s="6" t="s">
        <v>353</v>
      </c>
      <c r="M91" s="6" t="s">
        <v>105</v>
      </c>
      <c r="N91" s="6"/>
      <c r="O91" s="6" t="s">
        <v>270</v>
      </c>
      <c r="P91" s="6"/>
      <c r="Q91" s="6"/>
      <c r="R91" s="6"/>
      <c r="S91" s="6"/>
      <c r="T91" s="6"/>
      <c r="U91" s="6"/>
      <c r="V91" s="6"/>
      <c r="W91" s="6"/>
      <c r="X91" s="6"/>
      <c r="Y91" s="6"/>
      <c r="Z91" s="6"/>
      <c r="AA91" s="6"/>
    </row>
    <row r="92" ht="21" customHeight="1" spans="1:27">
      <c r="A92" s="40" t="s">
        <v>142</v>
      </c>
      <c r="B92" s="7">
        <v>45770</v>
      </c>
      <c r="C92" s="6" t="str">
        <f t="shared" si="1"/>
        <v>2025年4月</v>
      </c>
      <c r="D92" s="6" t="s">
        <v>12</v>
      </c>
      <c r="E92" s="40" t="s">
        <v>39</v>
      </c>
      <c r="F92" s="141" t="s">
        <v>354</v>
      </c>
      <c r="G92" s="61"/>
      <c r="H92" s="61"/>
      <c r="I92" s="40" t="s">
        <v>82</v>
      </c>
      <c r="J92" s="6"/>
      <c r="K92" s="8" t="s">
        <v>296</v>
      </c>
      <c r="L92" s="6" t="s">
        <v>297</v>
      </c>
      <c r="M92" s="6" t="s">
        <v>105</v>
      </c>
      <c r="N92" s="6"/>
      <c r="O92" s="6" t="s">
        <v>111</v>
      </c>
      <c r="P92" s="6"/>
      <c r="Q92" s="6"/>
      <c r="R92" s="6"/>
      <c r="S92" s="6"/>
      <c r="T92" s="6"/>
      <c r="U92" s="6"/>
      <c r="V92" s="6"/>
      <c r="W92" s="6"/>
      <c r="X92" s="6"/>
      <c r="Y92" s="6"/>
      <c r="Z92" s="6"/>
      <c r="AA92" s="6"/>
    </row>
    <row r="93" ht="21" customHeight="1" spans="1:27">
      <c r="A93" s="40" t="s">
        <v>142</v>
      </c>
      <c r="B93" s="7">
        <v>45771</v>
      </c>
      <c r="C93" s="6" t="str">
        <f t="shared" si="1"/>
        <v>2025年4月</v>
      </c>
      <c r="D93" s="6" t="s">
        <v>10</v>
      </c>
      <c r="E93" s="40" t="s">
        <v>39</v>
      </c>
      <c r="F93" s="141" t="s">
        <v>355</v>
      </c>
      <c r="G93" s="61"/>
      <c r="H93" s="61"/>
      <c r="I93" s="40" t="s">
        <v>82</v>
      </c>
      <c r="J93" s="6"/>
      <c r="K93" s="8" t="s">
        <v>356</v>
      </c>
      <c r="L93" s="6" t="s">
        <v>357</v>
      </c>
      <c r="M93" s="6" t="s">
        <v>105</v>
      </c>
      <c r="N93" s="6"/>
      <c r="O93" s="6" t="s">
        <v>85</v>
      </c>
      <c r="P93" s="6"/>
      <c r="Q93" s="6"/>
      <c r="R93" s="6"/>
      <c r="S93" s="6"/>
      <c r="T93" s="6"/>
      <c r="U93" s="6"/>
      <c r="V93" s="6"/>
      <c r="W93" s="6"/>
      <c r="X93" s="6"/>
      <c r="Y93" s="6"/>
      <c r="Z93" s="6"/>
      <c r="AA93" s="6"/>
    </row>
    <row r="94" ht="21" customHeight="1" spans="1:27">
      <c r="A94" s="40" t="s">
        <v>142</v>
      </c>
      <c r="B94" s="7">
        <v>45771</v>
      </c>
      <c r="C94" s="6" t="str">
        <f t="shared" si="1"/>
        <v>2025年4月</v>
      </c>
      <c r="D94" s="6" t="s">
        <v>12</v>
      </c>
      <c r="E94" s="40" t="s">
        <v>39</v>
      </c>
      <c r="F94" s="141" t="s">
        <v>358</v>
      </c>
      <c r="G94" s="61"/>
      <c r="H94" s="61"/>
      <c r="I94" s="40" t="s">
        <v>82</v>
      </c>
      <c r="J94" s="6"/>
      <c r="K94" s="8" t="s">
        <v>359</v>
      </c>
      <c r="L94" s="6" t="s">
        <v>360</v>
      </c>
      <c r="M94" s="6" t="s">
        <v>105</v>
      </c>
      <c r="N94" s="6"/>
      <c r="O94" s="6" t="s">
        <v>261</v>
      </c>
      <c r="P94" s="6"/>
      <c r="Q94" s="6"/>
      <c r="R94" s="6"/>
      <c r="S94" s="6"/>
      <c r="T94" s="6"/>
      <c r="U94" s="6"/>
      <c r="V94" s="6"/>
      <c r="W94" s="6"/>
      <c r="X94" s="6"/>
      <c r="Y94" s="6"/>
      <c r="Z94" s="6"/>
      <c r="AA94" s="6"/>
    </row>
    <row r="95" ht="21" customHeight="1" spans="1:27">
      <c r="A95" s="40" t="s">
        <v>142</v>
      </c>
      <c r="B95" s="7">
        <v>45771</v>
      </c>
      <c r="C95" s="6" t="str">
        <f t="shared" si="1"/>
        <v>2025年4月</v>
      </c>
      <c r="D95" s="6" t="s">
        <v>12</v>
      </c>
      <c r="E95" s="40" t="s">
        <v>39</v>
      </c>
      <c r="F95" s="141" t="s">
        <v>361</v>
      </c>
      <c r="G95" s="61"/>
      <c r="H95" s="61"/>
      <c r="I95" s="40" t="s">
        <v>82</v>
      </c>
      <c r="J95" s="6"/>
      <c r="K95" s="8" t="s">
        <v>362</v>
      </c>
      <c r="L95" s="6" t="s">
        <v>363</v>
      </c>
      <c r="M95" s="6" t="s">
        <v>105</v>
      </c>
      <c r="N95" s="6"/>
      <c r="O95" s="6" t="s">
        <v>179</v>
      </c>
      <c r="P95" s="6"/>
      <c r="Q95" s="6"/>
      <c r="R95" s="6"/>
      <c r="S95" s="6"/>
      <c r="T95" s="6"/>
      <c r="U95" s="6"/>
      <c r="V95" s="6"/>
      <c r="W95" s="6"/>
      <c r="X95" s="6"/>
      <c r="Y95" s="6"/>
      <c r="Z95" s="6"/>
      <c r="AA95" s="6"/>
    </row>
    <row r="96" ht="21" customHeight="1" spans="1:27">
      <c r="A96" s="40" t="s">
        <v>142</v>
      </c>
      <c r="B96" s="7">
        <v>45771</v>
      </c>
      <c r="C96" s="6" t="str">
        <f t="shared" si="1"/>
        <v>2025年4月</v>
      </c>
      <c r="D96" s="6" t="s">
        <v>10</v>
      </c>
      <c r="E96" s="40" t="s">
        <v>39</v>
      </c>
      <c r="F96" s="141" t="s">
        <v>364</v>
      </c>
      <c r="G96" s="61"/>
      <c r="H96" s="61"/>
      <c r="I96" s="40" t="s">
        <v>82</v>
      </c>
      <c r="J96" s="6"/>
      <c r="K96" s="8" t="s">
        <v>132</v>
      </c>
      <c r="L96" s="6" t="s">
        <v>133</v>
      </c>
      <c r="M96" s="6" t="s">
        <v>105</v>
      </c>
      <c r="N96" s="6"/>
      <c r="O96" s="6" t="s">
        <v>111</v>
      </c>
      <c r="P96" s="6"/>
      <c r="Q96" s="6"/>
      <c r="R96" s="6"/>
      <c r="S96" s="6"/>
      <c r="T96" s="6"/>
      <c r="U96" s="6"/>
      <c r="V96" s="6"/>
      <c r="W96" s="6"/>
      <c r="X96" s="6"/>
      <c r="Y96" s="6"/>
      <c r="Z96" s="6"/>
      <c r="AA96" s="6"/>
    </row>
    <row r="97" ht="21" customHeight="1" spans="1:27">
      <c r="A97" s="40" t="s">
        <v>207</v>
      </c>
      <c r="B97" s="7">
        <v>45771</v>
      </c>
      <c r="C97" s="6" t="str">
        <f t="shared" si="1"/>
        <v>2025年4月</v>
      </c>
      <c r="D97" s="6" t="s">
        <v>12</v>
      </c>
      <c r="E97" s="40" t="s">
        <v>39</v>
      </c>
      <c r="F97" s="141" t="s">
        <v>365</v>
      </c>
      <c r="G97" s="61"/>
      <c r="H97" s="61"/>
      <c r="I97" s="40" t="s">
        <v>82</v>
      </c>
      <c r="J97" s="6"/>
      <c r="K97" s="8" t="s">
        <v>366</v>
      </c>
      <c r="L97" s="6" t="s">
        <v>367</v>
      </c>
      <c r="M97" s="6" t="s">
        <v>105</v>
      </c>
      <c r="N97" s="6"/>
      <c r="O97" s="6" t="s">
        <v>85</v>
      </c>
      <c r="P97" s="6"/>
      <c r="Q97" s="6"/>
      <c r="R97" s="6"/>
      <c r="S97" s="6"/>
      <c r="T97" s="6"/>
      <c r="U97" s="6"/>
      <c r="V97" s="6"/>
      <c r="W97" s="6"/>
      <c r="X97" s="6"/>
      <c r="Y97" s="6"/>
      <c r="Z97" s="6"/>
      <c r="AA97" s="6"/>
    </row>
    <row r="98" ht="21" customHeight="1" spans="1:27">
      <c r="A98" s="40" t="s">
        <v>207</v>
      </c>
      <c r="B98" s="7">
        <v>45771</v>
      </c>
      <c r="C98" s="6" t="str">
        <f t="shared" si="1"/>
        <v>2025年4月</v>
      </c>
      <c r="D98" s="6" t="s">
        <v>12</v>
      </c>
      <c r="E98" s="40" t="s">
        <v>39</v>
      </c>
      <c r="F98" s="141" t="s">
        <v>368</v>
      </c>
      <c r="G98" s="61"/>
      <c r="H98" s="61"/>
      <c r="I98" s="40" t="s">
        <v>82</v>
      </c>
      <c r="J98" s="6"/>
      <c r="K98" s="8" t="s">
        <v>369</v>
      </c>
      <c r="L98" s="6" t="s">
        <v>370</v>
      </c>
      <c r="M98" s="6" t="s">
        <v>105</v>
      </c>
      <c r="N98" s="6"/>
      <c r="O98" s="6" t="s">
        <v>179</v>
      </c>
      <c r="P98" s="6" t="s">
        <v>371</v>
      </c>
      <c r="Q98" s="6"/>
      <c r="R98" s="6"/>
      <c r="S98" s="6"/>
      <c r="T98" s="6"/>
      <c r="U98" s="6"/>
      <c r="V98" s="6"/>
      <c r="W98" s="6"/>
      <c r="X98" s="6"/>
      <c r="Y98" s="6"/>
      <c r="Z98" s="6"/>
      <c r="AA98" s="6"/>
    </row>
    <row r="99" ht="21" customHeight="1" spans="1:27">
      <c r="A99" s="40" t="s">
        <v>142</v>
      </c>
      <c r="B99" s="7">
        <v>45772</v>
      </c>
      <c r="C99" s="6" t="str">
        <f t="shared" si="1"/>
        <v>2025年4月</v>
      </c>
      <c r="D99" s="6" t="s">
        <v>12</v>
      </c>
      <c r="E99" s="40" t="s">
        <v>39</v>
      </c>
      <c r="F99" s="141" t="s">
        <v>372</v>
      </c>
      <c r="G99" s="61"/>
      <c r="H99" s="61"/>
      <c r="I99" s="40" t="s">
        <v>82</v>
      </c>
      <c r="J99" s="6"/>
      <c r="K99" s="8" t="s">
        <v>373</v>
      </c>
      <c r="L99" s="41" t="s">
        <v>374</v>
      </c>
      <c r="M99" s="6" t="s">
        <v>105</v>
      </c>
      <c r="N99" s="6"/>
      <c r="O99" s="6" t="s">
        <v>168</v>
      </c>
      <c r="P99" s="6"/>
      <c r="Q99" s="6"/>
      <c r="R99" s="6"/>
      <c r="S99" s="6"/>
      <c r="T99" s="6"/>
      <c r="U99" s="6"/>
      <c r="V99" s="6"/>
      <c r="W99" s="6"/>
      <c r="X99" s="6"/>
      <c r="Y99" s="6"/>
      <c r="Z99" s="6"/>
      <c r="AA99" s="6"/>
    </row>
    <row r="100" ht="21" customHeight="1" spans="1:27">
      <c r="A100" s="40" t="s">
        <v>142</v>
      </c>
      <c r="B100" s="7">
        <v>45775</v>
      </c>
      <c r="C100" s="6" t="str">
        <f t="shared" si="1"/>
        <v>2025年4月</v>
      </c>
      <c r="D100" s="6" t="s">
        <v>12</v>
      </c>
      <c r="E100" s="40" t="s">
        <v>39</v>
      </c>
      <c r="F100" s="141" t="s">
        <v>375</v>
      </c>
      <c r="G100" s="61"/>
      <c r="H100" s="61"/>
      <c r="I100" s="40" t="s">
        <v>82</v>
      </c>
      <c r="J100" s="6"/>
      <c r="K100" s="8" t="s">
        <v>376</v>
      </c>
      <c r="L100" s="6" t="s">
        <v>377</v>
      </c>
      <c r="M100" s="6" t="s">
        <v>105</v>
      </c>
      <c r="N100" s="6"/>
      <c r="O100" s="6" t="s">
        <v>161</v>
      </c>
      <c r="P100" s="6"/>
      <c r="Q100" s="6"/>
      <c r="R100" s="6"/>
      <c r="S100" s="6"/>
      <c r="T100" s="6"/>
      <c r="U100" s="6"/>
      <c r="V100" s="6"/>
      <c r="W100" s="6"/>
      <c r="X100" s="6"/>
      <c r="Y100" s="6"/>
      <c r="Z100" s="6"/>
      <c r="AA100" s="6"/>
    </row>
    <row r="101" ht="21" customHeight="1" spans="1:27">
      <c r="A101" s="40" t="s">
        <v>142</v>
      </c>
      <c r="B101" s="7">
        <v>45775</v>
      </c>
      <c r="C101" s="6" t="str">
        <f t="shared" si="1"/>
        <v>2025年4月</v>
      </c>
      <c r="D101" s="6" t="s">
        <v>10</v>
      </c>
      <c r="E101" s="40" t="s">
        <v>39</v>
      </c>
      <c r="F101" s="141" t="s">
        <v>378</v>
      </c>
      <c r="G101" s="61"/>
      <c r="H101" s="61"/>
      <c r="I101" s="40" t="s">
        <v>82</v>
      </c>
      <c r="J101" s="6"/>
      <c r="K101" s="8" t="s">
        <v>379</v>
      </c>
      <c r="L101" s="6" t="s">
        <v>380</v>
      </c>
      <c r="M101" s="6" t="s">
        <v>105</v>
      </c>
      <c r="N101" s="6"/>
      <c r="O101" s="6" t="s">
        <v>194</v>
      </c>
      <c r="P101" s="6"/>
      <c r="Q101" s="6"/>
      <c r="R101" s="6"/>
      <c r="S101" s="6"/>
      <c r="T101" s="6"/>
      <c r="U101" s="6"/>
      <c r="V101" s="6"/>
      <c r="W101" s="6"/>
      <c r="X101" s="6"/>
      <c r="Y101" s="6"/>
      <c r="Z101" s="6"/>
      <c r="AA101" s="6"/>
    </row>
    <row r="102" ht="21" customHeight="1" spans="1:27">
      <c r="A102" s="40" t="s">
        <v>142</v>
      </c>
      <c r="B102" s="7">
        <v>45775</v>
      </c>
      <c r="C102" s="6" t="str">
        <f t="shared" si="1"/>
        <v>2025年4月</v>
      </c>
      <c r="D102" s="6" t="s">
        <v>10</v>
      </c>
      <c r="E102" s="40" t="s">
        <v>39</v>
      </c>
      <c r="F102" s="141" t="s">
        <v>381</v>
      </c>
      <c r="G102" s="61"/>
      <c r="H102" s="61"/>
      <c r="I102" s="40" t="s">
        <v>82</v>
      </c>
      <c r="J102" s="6"/>
      <c r="K102" s="8" t="s">
        <v>356</v>
      </c>
      <c r="L102" s="6" t="s">
        <v>357</v>
      </c>
      <c r="M102" s="6" t="s">
        <v>105</v>
      </c>
      <c r="N102" s="6"/>
      <c r="O102" s="6" t="s">
        <v>85</v>
      </c>
      <c r="P102" s="6"/>
      <c r="Q102" s="6"/>
      <c r="R102" s="6"/>
      <c r="S102" s="6"/>
      <c r="T102" s="6"/>
      <c r="U102" s="6"/>
      <c r="V102" s="6"/>
      <c r="W102" s="6"/>
      <c r="X102" s="6"/>
      <c r="Y102" s="6"/>
      <c r="Z102" s="6"/>
      <c r="AA102" s="6"/>
    </row>
    <row r="103" ht="21" customHeight="1" spans="1:27">
      <c r="A103" s="40" t="s">
        <v>142</v>
      </c>
      <c r="B103" s="7">
        <v>45775</v>
      </c>
      <c r="C103" s="6" t="str">
        <f t="shared" si="1"/>
        <v>2025年4月</v>
      </c>
      <c r="D103" s="6" t="s">
        <v>10</v>
      </c>
      <c r="E103" s="40" t="s">
        <v>39</v>
      </c>
      <c r="F103" s="141" t="s">
        <v>382</v>
      </c>
      <c r="G103" s="61"/>
      <c r="H103" s="61"/>
      <c r="I103" s="40" t="s">
        <v>82</v>
      </c>
      <c r="J103" s="6"/>
      <c r="K103" s="8" t="s">
        <v>383</v>
      </c>
      <c r="L103" s="6" t="s">
        <v>384</v>
      </c>
      <c r="M103" s="6" t="s">
        <v>105</v>
      </c>
      <c r="N103" s="6"/>
      <c r="O103" s="6" t="s">
        <v>146</v>
      </c>
      <c r="P103" s="6"/>
      <c r="Q103" s="6"/>
      <c r="R103" s="6"/>
      <c r="S103" s="6"/>
      <c r="T103" s="6"/>
      <c r="U103" s="6"/>
      <c r="V103" s="6"/>
      <c r="W103" s="6"/>
      <c r="X103" s="6"/>
      <c r="Y103" s="6"/>
      <c r="Z103" s="6"/>
      <c r="AA103" s="6"/>
    </row>
    <row r="104" ht="21" customHeight="1" spans="1:27">
      <c r="A104" s="40" t="s">
        <v>142</v>
      </c>
      <c r="B104" s="7">
        <v>45776</v>
      </c>
      <c r="C104" s="6" t="str">
        <f t="shared" si="1"/>
        <v>2025年4月</v>
      </c>
      <c r="D104" s="6" t="s">
        <v>12</v>
      </c>
      <c r="E104" s="40" t="s">
        <v>39</v>
      </c>
      <c r="F104" s="141" t="s">
        <v>385</v>
      </c>
      <c r="G104" s="61"/>
      <c r="H104" s="61"/>
      <c r="I104" s="40" t="s">
        <v>82</v>
      </c>
      <c r="J104" s="6"/>
      <c r="K104" s="8" t="s">
        <v>386</v>
      </c>
      <c r="L104" s="6" t="s">
        <v>387</v>
      </c>
      <c r="M104" s="6" t="s">
        <v>105</v>
      </c>
      <c r="N104" s="6"/>
      <c r="O104" s="6" t="s">
        <v>89</v>
      </c>
      <c r="P104" s="6"/>
      <c r="Q104" s="6"/>
      <c r="R104" s="6"/>
      <c r="S104" s="6"/>
      <c r="T104" s="6"/>
      <c r="U104" s="6"/>
      <c r="V104" s="6"/>
      <c r="W104" s="6"/>
      <c r="X104" s="6"/>
      <c r="Y104" s="6"/>
      <c r="Z104" s="6"/>
      <c r="AA104" s="6"/>
    </row>
    <row r="105" ht="21" customHeight="1" spans="1:27">
      <c r="A105" s="40" t="s">
        <v>142</v>
      </c>
      <c r="B105" s="7">
        <v>45776</v>
      </c>
      <c r="C105" s="6" t="str">
        <f t="shared" si="1"/>
        <v>2025年4月</v>
      </c>
      <c r="D105" s="6" t="s">
        <v>12</v>
      </c>
      <c r="E105" s="40" t="s">
        <v>39</v>
      </c>
      <c r="F105" s="141" t="s">
        <v>388</v>
      </c>
      <c r="G105" s="61"/>
      <c r="H105" s="61"/>
      <c r="I105" s="40" t="s">
        <v>82</v>
      </c>
      <c r="J105" s="6"/>
      <c r="K105" s="8" t="s">
        <v>376</v>
      </c>
      <c r="L105" s="6" t="s">
        <v>377</v>
      </c>
      <c r="M105" s="6" t="s">
        <v>105</v>
      </c>
      <c r="N105" s="6"/>
      <c r="O105" s="6" t="s">
        <v>161</v>
      </c>
      <c r="P105" s="6"/>
      <c r="Q105" s="6"/>
      <c r="R105" s="6"/>
      <c r="S105" s="6"/>
      <c r="T105" s="6"/>
      <c r="U105" s="6"/>
      <c r="V105" s="6"/>
      <c r="W105" s="6"/>
      <c r="X105" s="6"/>
      <c r="Y105" s="6"/>
      <c r="Z105" s="6"/>
      <c r="AA105" s="6"/>
    </row>
    <row r="106" ht="21" customHeight="1" spans="1:27">
      <c r="A106" s="40" t="s">
        <v>207</v>
      </c>
      <c r="B106" s="7">
        <v>45778</v>
      </c>
      <c r="C106" s="6" t="str">
        <f t="shared" si="1"/>
        <v>2025年5月</v>
      </c>
      <c r="D106" s="6" t="s">
        <v>10</v>
      </c>
      <c r="E106" s="40" t="s">
        <v>40</v>
      </c>
      <c r="F106" s="141" t="s">
        <v>389</v>
      </c>
      <c r="G106" s="61"/>
      <c r="H106" s="61"/>
      <c r="I106" s="40" t="s">
        <v>82</v>
      </c>
      <c r="J106" s="6"/>
      <c r="K106" s="8" t="s">
        <v>390</v>
      </c>
      <c r="L106" s="6" t="s">
        <v>391</v>
      </c>
      <c r="M106" s="6" t="s">
        <v>105</v>
      </c>
      <c r="N106" s="6"/>
      <c r="O106" s="6" t="s">
        <v>85</v>
      </c>
      <c r="P106" s="6"/>
      <c r="Q106" s="6"/>
      <c r="R106" s="6"/>
      <c r="S106" s="6"/>
      <c r="T106" s="6"/>
      <c r="U106" s="6"/>
      <c r="V106" s="6"/>
      <c r="W106" s="6"/>
      <c r="X106" s="6"/>
      <c r="Y106" s="6"/>
      <c r="Z106" s="6"/>
      <c r="AA106" s="6"/>
    </row>
    <row r="107" ht="21" customHeight="1" spans="1:27">
      <c r="A107" s="40" t="s">
        <v>142</v>
      </c>
      <c r="B107" s="7">
        <v>45789</v>
      </c>
      <c r="C107" s="6" t="str">
        <f t="shared" si="1"/>
        <v>2025年5月</v>
      </c>
      <c r="D107" s="6" t="s">
        <v>10</v>
      </c>
      <c r="E107" s="40" t="s">
        <v>39</v>
      </c>
      <c r="F107" s="141" t="s">
        <v>392</v>
      </c>
      <c r="G107" s="61"/>
      <c r="H107" s="61"/>
      <c r="I107" s="40" t="s">
        <v>82</v>
      </c>
      <c r="J107" s="6"/>
      <c r="K107" s="8" t="s">
        <v>393</v>
      </c>
      <c r="L107" s="6" t="s">
        <v>394</v>
      </c>
      <c r="M107" s="6" t="s">
        <v>105</v>
      </c>
      <c r="N107" s="6"/>
      <c r="O107" s="6" t="s">
        <v>186</v>
      </c>
      <c r="P107" s="6"/>
      <c r="Q107" s="6"/>
      <c r="R107" s="6"/>
      <c r="S107" s="6"/>
      <c r="T107" s="6"/>
      <c r="U107" s="6"/>
      <c r="V107" s="6"/>
      <c r="W107" s="6"/>
      <c r="X107" s="6"/>
      <c r="Y107" s="6"/>
      <c r="Z107" s="6"/>
      <c r="AA107" s="6"/>
    </row>
    <row r="108" ht="21" customHeight="1" spans="1:27">
      <c r="A108" s="40" t="s">
        <v>207</v>
      </c>
      <c r="B108" s="7">
        <v>45790</v>
      </c>
      <c r="C108" s="6" t="str">
        <f t="shared" si="1"/>
        <v>2025年5月</v>
      </c>
      <c r="D108" s="6" t="s">
        <v>10</v>
      </c>
      <c r="E108" s="40" t="s">
        <v>39</v>
      </c>
      <c r="F108" s="141" t="s">
        <v>395</v>
      </c>
      <c r="G108" s="61"/>
      <c r="H108" s="61"/>
      <c r="I108" s="40" t="s">
        <v>82</v>
      </c>
      <c r="J108" s="6"/>
      <c r="K108" s="8" t="s">
        <v>396</v>
      </c>
      <c r="L108" s="6" t="s">
        <v>397</v>
      </c>
      <c r="M108" s="6" t="s">
        <v>105</v>
      </c>
      <c r="N108" s="6"/>
      <c r="O108" s="6" t="s">
        <v>270</v>
      </c>
      <c r="P108" s="6" t="s">
        <v>398</v>
      </c>
      <c r="Q108" s="6"/>
      <c r="R108" s="6"/>
      <c r="S108" s="6"/>
      <c r="T108" s="6"/>
      <c r="U108" s="6"/>
      <c r="V108" s="6"/>
      <c r="W108" s="6"/>
      <c r="X108" s="6"/>
      <c r="Y108" s="6"/>
      <c r="Z108" s="6"/>
      <c r="AA108" s="6"/>
    </row>
    <row r="109" ht="21" customHeight="1" spans="1:27">
      <c r="A109" s="40"/>
      <c r="B109" s="7">
        <v>45790</v>
      </c>
      <c r="C109" s="6" t="str">
        <f t="shared" si="1"/>
        <v>2025年5月</v>
      </c>
      <c r="D109" s="6" t="s">
        <v>10</v>
      </c>
      <c r="E109" s="40" t="s">
        <v>39</v>
      </c>
      <c r="F109" s="141" t="s">
        <v>399</v>
      </c>
      <c r="G109" s="61"/>
      <c r="H109" s="61"/>
      <c r="I109" s="40" t="s">
        <v>82</v>
      </c>
      <c r="J109" s="6"/>
      <c r="K109" s="8" t="s">
        <v>400</v>
      </c>
      <c r="L109" s="6" t="s">
        <v>401</v>
      </c>
      <c r="M109" s="6" t="s">
        <v>105</v>
      </c>
      <c r="N109" s="6"/>
      <c r="O109" s="6" t="s">
        <v>120</v>
      </c>
      <c r="P109" s="6"/>
      <c r="Q109" s="6"/>
      <c r="R109" s="6"/>
      <c r="S109" s="6"/>
      <c r="T109" s="6"/>
      <c r="U109" s="6"/>
      <c r="V109" s="6"/>
      <c r="W109" s="6"/>
      <c r="X109" s="6"/>
      <c r="Y109" s="6"/>
      <c r="Z109" s="6"/>
      <c r="AA109" s="6"/>
    </row>
    <row r="110" ht="21" customHeight="1" spans="1:27">
      <c r="A110" s="40" t="s">
        <v>207</v>
      </c>
      <c r="B110" s="7">
        <v>45791</v>
      </c>
      <c r="C110" s="6" t="str">
        <f t="shared" si="1"/>
        <v>2025年5月</v>
      </c>
      <c r="D110" s="6" t="s">
        <v>10</v>
      </c>
      <c r="E110" s="40" t="s">
        <v>43</v>
      </c>
      <c r="F110" s="141" t="s">
        <v>402</v>
      </c>
      <c r="G110" s="61"/>
      <c r="H110" s="61"/>
      <c r="I110" s="40" t="s">
        <v>82</v>
      </c>
      <c r="J110" s="6"/>
      <c r="K110" s="8" t="s">
        <v>403</v>
      </c>
      <c r="L110" s="6" t="s">
        <v>404</v>
      </c>
      <c r="M110" s="6" t="s">
        <v>7</v>
      </c>
      <c r="N110" s="6"/>
      <c r="O110" s="6" t="s">
        <v>346</v>
      </c>
      <c r="P110" s="6" t="s">
        <v>405</v>
      </c>
      <c r="Q110" s="6"/>
      <c r="R110" s="6"/>
      <c r="S110" s="6"/>
      <c r="T110" s="6"/>
      <c r="U110" s="6"/>
      <c r="V110" s="6"/>
      <c r="W110" s="6"/>
      <c r="X110" s="6"/>
      <c r="Y110" s="6"/>
      <c r="Z110" s="6"/>
      <c r="AA110" s="6"/>
    </row>
    <row r="111" ht="21" customHeight="1" spans="1:27">
      <c r="A111" s="40"/>
      <c r="B111" s="10"/>
      <c r="C111" s="10"/>
      <c r="D111" s="40"/>
      <c r="E111" s="40"/>
      <c r="F111" s="10"/>
      <c r="G111" s="61"/>
      <c r="H111" s="61"/>
      <c r="I111" s="40"/>
      <c r="J111" s="6"/>
      <c r="K111" s="8" t="s">
        <v>406</v>
      </c>
      <c r="L111" s="6" t="s">
        <v>407</v>
      </c>
      <c r="M111" s="10"/>
      <c r="N111" s="6"/>
      <c r="O111" s="6" t="s">
        <v>261</v>
      </c>
      <c r="Q111" s="6"/>
      <c r="R111" s="6"/>
      <c r="S111" s="6"/>
      <c r="T111" s="6"/>
      <c r="U111" s="6"/>
      <c r="V111" s="6"/>
      <c r="W111" s="6"/>
      <c r="X111" s="6"/>
      <c r="Y111" s="6"/>
      <c r="Z111" s="6"/>
      <c r="AA111" s="6"/>
    </row>
    <row r="112" ht="21" customHeight="1" spans="1:27">
      <c r="A112" s="40"/>
      <c r="B112" s="10"/>
      <c r="C112" s="10"/>
      <c r="D112" s="40"/>
      <c r="E112" s="40"/>
      <c r="F112" s="10"/>
      <c r="G112" s="61"/>
      <c r="H112" s="61"/>
      <c r="I112" s="40"/>
      <c r="J112" s="6"/>
      <c r="K112" s="8" t="s">
        <v>408</v>
      </c>
      <c r="L112" s="6" t="s">
        <v>409</v>
      </c>
      <c r="M112" s="10"/>
      <c r="N112" s="6"/>
      <c r="O112" s="6" t="s">
        <v>261</v>
      </c>
      <c r="Q112" s="6"/>
      <c r="R112" s="6"/>
      <c r="S112" s="6"/>
      <c r="T112" s="6"/>
      <c r="U112" s="6"/>
      <c r="V112" s="6"/>
      <c r="W112" s="6"/>
      <c r="X112" s="6"/>
      <c r="Y112" s="6"/>
      <c r="Z112" s="6"/>
      <c r="AA112" s="6"/>
    </row>
    <row r="113" ht="21" customHeight="1" spans="1:27">
      <c r="A113" s="40"/>
      <c r="B113" s="10"/>
      <c r="C113" s="10"/>
      <c r="D113" s="40"/>
      <c r="E113" s="40"/>
      <c r="F113" s="10"/>
      <c r="G113" s="61"/>
      <c r="H113" s="61"/>
      <c r="I113" s="40"/>
      <c r="J113" s="6"/>
      <c r="K113" s="8" t="s">
        <v>410</v>
      </c>
      <c r="L113" s="6" t="s">
        <v>411</v>
      </c>
      <c r="M113" s="10"/>
      <c r="N113" s="6"/>
      <c r="O113" s="6" t="s">
        <v>261</v>
      </c>
      <c r="Q113" s="6"/>
      <c r="R113" s="6"/>
      <c r="S113" s="6"/>
      <c r="T113" s="6"/>
      <c r="U113" s="6"/>
      <c r="V113" s="6"/>
      <c r="W113" s="6"/>
      <c r="X113" s="6"/>
      <c r="Y113" s="6"/>
      <c r="Z113" s="6"/>
      <c r="AA113" s="6"/>
    </row>
    <row r="114" ht="21" customHeight="1" spans="1:27">
      <c r="A114" s="40"/>
      <c r="B114" s="10"/>
      <c r="C114" s="10"/>
      <c r="D114" s="40"/>
      <c r="E114" s="40"/>
      <c r="F114" s="10"/>
      <c r="G114" s="61"/>
      <c r="H114" s="61"/>
      <c r="I114" s="40"/>
      <c r="J114" s="6"/>
      <c r="K114" s="8" t="s">
        <v>412</v>
      </c>
      <c r="L114" s="6" t="s">
        <v>413</v>
      </c>
      <c r="M114" s="10"/>
      <c r="N114" s="6"/>
      <c r="O114" s="6" t="s">
        <v>261</v>
      </c>
      <c r="Q114" s="6"/>
      <c r="R114" s="6"/>
      <c r="S114" s="6"/>
      <c r="T114" s="6"/>
      <c r="U114" s="6"/>
      <c r="V114" s="6"/>
      <c r="W114" s="6"/>
      <c r="X114" s="6"/>
      <c r="Y114" s="6"/>
      <c r="Z114" s="6"/>
      <c r="AA114" s="6"/>
    </row>
    <row r="115" ht="21" customHeight="1" spans="1:27">
      <c r="A115" s="40"/>
      <c r="B115" s="10"/>
      <c r="C115" s="10"/>
      <c r="D115" s="40"/>
      <c r="E115" s="40"/>
      <c r="F115" s="10"/>
      <c r="G115" s="61"/>
      <c r="H115" s="61"/>
      <c r="I115" s="40"/>
      <c r="J115" s="6"/>
      <c r="K115" s="8" t="s">
        <v>414</v>
      </c>
      <c r="L115" s="6" t="s">
        <v>415</v>
      </c>
      <c r="M115" s="10"/>
      <c r="N115" s="6"/>
      <c r="O115" s="6" t="s">
        <v>261</v>
      </c>
      <c r="Q115" s="6"/>
      <c r="R115" s="6"/>
      <c r="S115" s="6"/>
      <c r="T115" s="6"/>
      <c r="U115" s="6"/>
      <c r="V115" s="6"/>
      <c r="W115" s="6"/>
      <c r="X115" s="6"/>
      <c r="Y115" s="6"/>
      <c r="Z115" s="6"/>
      <c r="AA115" s="6"/>
    </row>
    <row r="116" ht="21" customHeight="1" spans="1:27">
      <c r="A116" s="40"/>
      <c r="B116" s="10"/>
      <c r="C116" s="10"/>
      <c r="D116" s="40"/>
      <c r="E116" s="40"/>
      <c r="F116" s="10"/>
      <c r="G116" s="61"/>
      <c r="H116" s="61"/>
      <c r="I116" s="40"/>
      <c r="J116" s="6"/>
      <c r="K116" s="8" t="s">
        <v>416</v>
      </c>
      <c r="L116" s="6" t="s">
        <v>417</v>
      </c>
      <c r="M116" s="10"/>
      <c r="N116" s="6"/>
      <c r="O116" s="6" t="s">
        <v>124</v>
      </c>
      <c r="Q116" s="6"/>
      <c r="R116" s="6"/>
      <c r="S116" s="6"/>
      <c r="T116" s="6"/>
      <c r="U116" s="6"/>
      <c r="V116" s="6"/>
      <c r="W116" s="6"/>
      <c r="X116" s="6"/>
      <c r="Y116" s="6"/>
      <c r="Z116" s="6"/>
      <c r="AA116" s="6"/>
    </row>
    <row r="117" ht="21" customHeight="1" spans="1:27">
      <c r="A117" s="40"/>
      <c r="B117" s="10"/>
      <c r="C117" s="10"/>
      <c r="D117" s="40"/>
      <c r="E117" s="40"/>
      <c r="F117" s="10"/>
      <c r="G117" s="61"/>
      <c r="H117" s="61"/>
      <c r="I117" s="40"/>
      <c r="J117" s="6"/>
      <c r="K117" s="8" t="s">
        <v>418</v>
      </c>
      <c r="L117" s="6" t="s">
        <v>419</v>
      </c>
      <c r="M117" s="10"/>
      <c r="N117" s="6"/>
      <c r="O117" s="6" t="s">
        <v>111</v>
      </c>
      <c r="Q117" s="6"/>
      <c r="R117" s="6"/>
      <c r="S117" s="6"/>
      <c r="T117" s="6"/>
      <c r="U117" s="6"/>
      <c r="V117" s="6"/>
      <c r="W117" s="6"/>
      <c r="X117" s="6"/>
      <c r="Y117" s="6"/>
      <c r="Z117" s="6"/>
      <c r="AA117" s="6"/>
    </row>
    <row r="118" ht="21" customHeight="1" spans="1:27">
      <c r="A118" s="40" t="s">
        <v>207</v>
      </c>
      <c r="B118" s="7">
        <v>45792</v>
      </c>
      <c r="C118" s="6" t="str">
        <f t="shared" ref="C118:C181" si="2">YEAR(B118)&amp;"年"&amp;MONTH(B118)&amp;"月"</f>
        <v>2025年5月</v>
      </c>
      <c r="D118" s="6" t="s">
        <v>12</v>
      </c>
      <c r="E118" s="40" t="s">
        <v>39</v>
      </c>
      <c r="F118" s="141" t="s">
        <v>420</v>
      </c>
      <c r="G118" s="61"/>
      <c r="H118" s="61"/>
      <c r="I118" s="40" t="s">
        <v>82</v>
      </c>
      <c r="J118" s="6"/>
      <c r="K118" s="8"/>
      <c r="L118" s="6"/>
      <c r="M118" s="6" t="s">
        <v>105</v>
      </c>
      <c r="N118" s="6"/>
      <c r="O118" s="6" t="s">
        <v>94</v>
      </c>
      <c r="P118" s="6"/>
      <c r="Q118" s="6"/>
      <c r="R118" s="6"/>
      <c r="S118" s="6"/>
      <c r="T118" s="6"/>
      <c r="U118" s="6"/>
      <c r="V118" s="6"/>
      <c r="W118" s="6"/>
      <c r="X118" s="6"/>
      <c r="Y118" s="6"/>
      <c r="Z118" s="6"/>
      <c r="AA118" s="6"/>
    </row>
    <row r="119" ht="21" customHeight="1" spans="1:27">
      <c r="A119" s="40" t="s">
        <v>142</v>
      </c>
      <c r="B119" s="7">
        <v>45792</v>
      </c>
      <c r="C119" s="6" t="str">
        <f t="shared" si="2"/>
        <v>2025年5月</v>
      </c>
      <c r="D119" s="6" t="s">
        <v>11</v>
      </c>
      <c r="E119" s="40" t="s">
        <v>41</v>
      </c>
      <c r="F119" s="141" t="s">
        <v>421</v>
      </c>
      <c r="G119" s="61"/>
      <c r="H119" s="61"/>
      <c r="I119" s="40" t="s">
        <v>422</v>
      </c>
      <c r="J119" s="6"/>
      <c r="K119" s="8" t="s">
        <v>423</v>
      </c>
      <c r="L119" s="6" t="s">
        <v>424</v>
      </c>
      <c r="M119" s="6" t="s">
        <v>7</v>
      </c>
      <c r="N119" s="6"/>
      <c r="O119" s="6" t="s">
        <v>129</v>
      </c>
      <c r="P119" s="6"/>
      <c r="Q119" s="6"/>
      <c r="R119" s="6"/>
      <c r="S119" s="6"/>
      <c r="T119" s="6"/>
      <c r="U119" s="6"/>
      <c r="V119" s="6"/>
      <c r="W119" s="6"/>
      <c r="X119" s="6"/>
      <c r="Y119" s="6"/>
      <c r="Z119" s="6"/>
      <c r="AA119" s="6"/>
    </row>
    <row r="120" ht="21" customHeight="1" spans="1:27">
      <c r="A120" s="40" t="s">
        <v>142</v>
      </c>
      <c r="B120" s="7">
        <v>45793</v>
      </c>
      <c r="C120" s="6" t="str">
        <f t="shared" si="2"/>
        <v>2025年5月</v>
      </c>
      <c r="D120" s="6" t="s">
        <v>12</v>
      </c>
      <c r="E120" s="40" t="s">
        <v>39</v>
      </c>
      <c r="F120" s="141" t="s">
        <v>425</v>
      </c>
      <c r="G120" s="61"/>
      <c r="H120" s="61"/>
      <c r="I120" s="40" t="s">
        <v>82</v>
      </c>
      <c r="J120" s="6"/>
      <c r="K120" s="8" t="s">
        <v>426</v>
      </c>
      <c r="L120" s="6" t="s">
        <v>427</v>
      </c>
      <c r="M120" s="6" t="s">
        <v>105</v>
      </c>
      <c r="N120" s="6"/>
      <c r="O120" s="6" t="s">
        <v>194</v>
      </c>
      <c r="P120" s="6"/>
      <c r="Q120" s="6"/>
      <c r="R120" s="6"/>
      <c r="S120" s="6"/>
      <c r="T120" s="6"/>
      <c r="U120" s="6"/>
      <c r="V120" s="6"/>
      <c r="W120" s="6"/>
      <c r="X120" s="6"/>
      <c r="Y120" s="6"/>
      <c r="Z120" s="6"/>
      <c r="AA120" s="6"/>
    </row>
    <row r="121" ht="21" customHeight="1" spans="1:27">
      <c r="A121" s="40" t="s">
        <v>142</v>
      </c>
      <c r="B121" s="7">
        <v>45796</v>
      </c>
      <c r="C121" s="6" t="str">
        <f t="shared" si="2"/>
        <v>2025年5月</v>
      </c>
      <c r="D121" s="6" t="s">
        <v>12</v>
      </c>
      <c r="E121" s="40" t="s">
        <v>39</v>
      </c>
      <c r="F121" s="141" t="s">
        <v>428</v>
      </c>
      <c r="G121" s="61"/>
      <c r="H121" s="61"/>
      <c r="I121" s="40" t="s">
        <v>82</v>
      </c>
      <c r="J121" s="6"/>
      <c r="K121" s="8" t="s">
        <v>429</v>
      </c>
      <c r="L121" s="6" t="s">
        <v>430</v>
      </c>
      <c r="M121" s="6" t="s">
        <v>105</v>
      </c>
      <c r="N121" s="6"/>
      <c r="O121" s="6" t="s">
        <v>194</v>
      </c>
      <c r="P121" s="6"/>
      <c r="Q121" s="6"/>
      <c r="R121" s="6"/>
      <c r="S121" s="6"/>
      <c r="T121" s="6"/>
      <c r="U121" s="6"/>
      <c r="V121" s="6"/>
      <c r="W121" s="6"/>
      <c r="X121" s="6"/>
      <c r="Y121" s="6"/>
      <c r="Z121" s="6"/>
      <c r="AA121" s="6"/>
    </row>
    <row r="122" ht="21" customHeight="1" spans="1:27">
      <c r="A122" s="40" t="s">
        <v>207</v>
      </c>
      <c r="B122" s="7">
        <v>45798</v>
      </c>
      <c r="C122" s="6" t="str">
        <f t="shared" si="2"/>
        <v>2025年5月</v>
      </c>
      <c r="D122" s="6" t="s">
        <v>12</v>
      </c>
      <c r="E122" s="40" t="s">
        <v>39</v>
      </c>
      <c r="F122" s="141" t="s">
        <v>431</v>
      </c>
      <c r="G122" s="61"/>
      <c r="H122" s="61"/>
      <c r="I122" s="40" t="s">
        <v>82</v>
      </c>
      <c r="J122" s="6"/>
      <c r="K122" s="71" t="s">
        <v>432</v>
      </c>
      <c r="L122" s="6" t="s">
        <v>433</v>
      </c>
      <c r="M122" s="6" t="s">
        <v>105</v>
      </c>
      <c r="N122" s="6"/>
      <c r="O122" s="6" t="s">
        <v>161</v>
      </c>
      <c r="P122" s="6"/>
      <c r="Q122" s="6"/>
      <c r="R122" s="6"/>
      <c r="S122" s="6"/>
      <c r="T122" s="6"/>
      <c r="U122" s="6"/>
      <c r="V122" s="6"/>
      <c r="W122" s="6"/>
      <c r="X122" s="6"/>
      <c r="Y122" s="6"/>
      <c r="Z122" s="6"/>
      <c r="AA122" s="6"/>
    </row>
    <row r="123" ht="21" customHeight="1" spans="1:27">
      <c r="A123" s="40" t="s">
        <v>142</v>
      </c>
      <c r="B123" s="7">
        <v>45799</v>
      </c>
      <c r="C123" s="6" t="str">
        <f t="shared" si="2"/>
        <v>2025年5月</v>
      </c>
      <c r="D123" s="6" t="s">
        <v>12</v>
      </c>
      <c r="E123" s="40" t="s">
        <v>39</v>
      </c>
      <c r="F123" s="141" t="s">
        <v>434</v>
      </c>
      <c r="G123" s="61"/>
      <c r="H123" s="61"/>
      <c r="I123" s="40" t="s">
        <v>82</v>
      </c>
      <c r="J123" s="6"/>
      <c r="K123" s="8" t="s">
        <v>435</v>
      </c>
      <c r="L123" s="6" t="s">
        <v>436</v>
      </c>
      <c r="M123" s="6" t="s">
        <v>105</v>
      </c>
      <c r="N123" s="6"/>
      <c r="O123" s="6" t="s">
        <v>194</v>
      </c>
      <c r="P123" s="6"/>
      <c r="Q123" s="6"/>
      <c r="R123" s="6"/>
      <c r="S123" s="6"/>
      <c r="T123" s="6"/>
      <c r="U123" s="6"/>
      <c r="V123" s="6"/>
      <c r="W123" s="6"/>
      <c r="X123" s="6"/>
      <c r="Y123" s="6"/>
      <c r="Z123" s="6"/>
      <c r="AA123" s="6"/>
    </row>
    <row r="124" ht="21" customHeight="1" spans="1:27">
      <c r="A124" s="40" t="s">
        <v>207</v>
      </c>
      <c r="B124" s="7">
        <v>45798</v>
      </c>
      <c r="C124" s="6" t="str">
        <f t="shared" si="2"/>
        <v>2025年5月</v>
      </c>
      <c r="D124" s="6" t="s">
        <v>12</v>
      </c>
      <c r="E124" s="40" t="s">
        <v>39</v>
      </c>
      <c r="F124" s="141" t="s">
        <v>437</v>
      </c>
      <c r="G124" s="61"/>
      <c r="H124" s="61"/>
      <c r="I124" s="40" t="s">
        <v>82</v>
      </c>
      <c r="J124" s="6"/>
      <c r="K124" s="8" t="s">
        <v>438</v>
      </c>
      <c r="L124" s="6" t="s">
        <v>439</v>
      </c>
      <c r="M124" s="6" t="s">
        <v>105</v>
      </c>
      <c r="N124" s="6"/>
      <c r="O124" s="6" t="s">
        <v>346</v>
      </c>
      <c r="P124" s="6"/>
      <c r="Q124" s="6"/>
      <c r="R124" s="6"/>
      <c r="S124" s="6"/>
      <c r="T124" s="6"/>
      <c r="U124" s="6"/>
      <c r="V124" s="6"/>
      <c r="W124" s="6"/>
      <c r="X124" s="6"/>
      <c r="Y124" s="6"/>
      <c r="Z124" s="6"/>
      <c r="AA124" s="6"/>
    </row>
    <row r="125" ht="21" customHeight="1" spans="1:27">
      <c r="A125" s="40" t="s">
        <v>207</v>
      </c>
      <c r="B125" s="7">
        <v>45798</v>
      </c>
      <c r="C125" s="6" t="str">
        <f t="shared" si="2"/>
        <v>2025年5月</v>
      </c>
      <c r="D125" s="6" t="s">
        <v>12</v>
      </c>
      <c r="E125" s="40" t="s">
        <v>39</v>
      </c>
      <c r="F125" s="141" t="s">
        <v>440</v>
      </c>
      <c r="G125" s="61"/>
      <c r="H125" s="61"/>
      <c r="I125" s="40" t="s">
        <v>82</v>
      </c>
      <c r="J125" s="6"/>
      <c r="K125" s="8" t="s">
        <v>441</v>
      </c>
      <c r="L125" s="6" t="s">
        <v>442</v>
      </c>
      <c r="M125" s="6" t="s">
        <v>105</v>
      </c>
      <c r="N125" s="6"/>
      <c r="O125" s="6" t="s">
        <v>179</v>
      </c>
      <c r="P125" s="6"/>
      <c r="Q125" s="6"/>
      <c r="R125" s="6"/>
      <c r="S125" s="6"/>
      <c r="T125" s="6"/>
      <c r="U125" s="6"/>
      <c r="V125" s="6"/>
      <c r="W125" s="6"/>
      <c r="X125" s="6"/>
      <c r="Y125" s="6"/>
      <c r="Z125" s="6"/>
      <c r="AA125" s="6"/>
    </row>
    <row r="126" ht="21" customHeight="1" spans="1:27">
      <c r="A126" s="40" t="s">
        <v>207</v>
      </c>
      <c r="B126" s="7">
        <v>45798</v>
      </c>
      <c r="C126" s="6" t="str">
        <f t="shared" si="2"/>
        <v>2025年5月</v>
      </c>
      <c r="D126" s="6" t="s">
        <v>10</v>
      </c>
      <c r="E126" s="40" t="s">
        <v>39</v>
      </c>
      <c r="F126" s="141" t="s">
        <v>443</v>
      </c>
      <c r="G126" s="61"/>
      <c r="H126" s="61"/>
      <c r="I126" s="40" t="s">
        <v>82</v>
      </c>
      <c r="J126" s="6"/>
      <c r="K126" s="8" t="s">
        <v>304</v>
      </c>
      <c r="L126" s="6" t="s">
        <v>305</v>
      </c>
      <c r="M126" s="6" t="s">
        <v>105</v>
      </c>
      <c r="N126" s="6"/>
      <c r="O126" s="6" t="s">
        <v>111</v>
      </c>
      <c r="P126" s="6"/>
      <c r="Q126" s="6"/>
      <c r="R126" s="6"/>
      <c r="S126" s="6"/>
      <c r="T126" s="6"/>
      <c r="U126" s="6"/>
      <c r="V126" s="6"/>
      <c r="W126" s="6"/>
      <c r="X126" s="6"/>
      <c r="Y126" s="6"/>
      <c r="Z126" s="6"/>
      <c r="AA126" s="6"/>
    </row>
    <row r="127" ht="21" customHeight="1" spans="1:27">
      <c r="A127" s="40" t="s">
        <v>207</v>
      </c>
      <c r="B127" s="7">
        <v>45800</v>
      </c>
      <c r="C127" s="6" t="str">
        <f t="shared" si="2"/>
        <v>2025年5月</v>
      </c>
      <c r="D127" s="6" t="s">
        <v>12</v>
      </c>
      <c r="E127" s="40" t="s">
        <v>39</v>
      </c>
      <c r="F127" s="141" t="s">
        <v>444</v>
      </c>
      <c r="G127" s="61"/>
      <c r="H127" s="61"/>
      <c r="I127" s="40" t="s">
        <v>82</v>
      </c>
      <c r="J127" s="6"/>
      <c r="K127" s="8" t="s">
        <v>445</v>
      </c>
      <c r="L127" s="6" t="s">
        <v>446</v>
      </c>
      <c r="M127" s="6" t="s">
        <v>105</v>
      </c>
      <c r="N127" s="6"/>
      <c r="O127" s="6" t="s">
        <v>129</v>
      </c>
      <c r="P127" s="6"/>
      <c r="Q127" s="6"/>
      <c r="R127" s="6"/>
      <c r="S127" s="6"/>
      <c r="T127" s="6"/>
      <c r="U127" s="6"/>
      <c r="V127" s="6"/>
      <c r="W127" s="6"/>
      <c r="X127" s="6"/>
      <c r="Y127" s="6"/>
      <c r="Z127" s="6"/>
      <c r="AA127" s="6"/>
    </row>
    <row r="128" ht="21" customHeight="1" spans="1:27">
      <c r="A128" s="40" t="s">
        <v>142</v>
      </c>
      <c r="B128" s="7">
        <v>45800</v>
      </c>
      <c r="C128" s="6" t="str">
        <f t="shared" si="2"/>
        <v>2025年5月</v>
      </c>
      <c r="D128" s="6" t="s">
        <v>10</v>
      </c>
      <c r="E128" s="40" t="s">
        <v>39</v>
      </c>
      <c r="F128" s="141" t="s">
        <v>447</v>
      </c>
      <c r="G128" s="61"/>
      <c r="H128" s="61"/>
      <c r="I128" s="40" t="s">
        <v>82</v>
      </c>
      <c r="J128" s="6"/>
      <c r="K128" s="8" t="s">
        <v>448</v>
      </c>
      <c r="L128" s="6" t="s">
        <v>449</v>
      </c>
      <c r="M128" s="6" t="s">
        <v>105</v>
      </c>
      <c r="N128" s="6"/>
      <c r="O128" s="6" t="s">
        <v>111</v>
      </c>
      <c r="P128" s="6"/>
      <c r="Q128" s="6"/>
      <c r="R128" s="6"/>
      <c r="S128" s="6"/>
      <c r="T128" s="6"/>
      <c r="U128" s="6"/>
      <c r="V128" s="6"/>
      <c r="W128" s="6"/>
      <c r="X128" s="6"/>
      <c r="Y128" s="6"/>
      <c r="Z128" s="6"/>
      <c r="AA128" s="6"/>
    </row>
    <row r="129" ht="21" customHeight="1" spans="1:27">
      <c r="A129" s="40" t="s">
        <v>142</v>
      </c>
      <c r="B129" s="7">
        <v>45803</v>
      </c>
      <c r="C129" s="6" t="str">
        <f t="shared" si="2"/>
        <v>2025年5月</v>
      </c>
      <c r="D129" s="6" t="s">
        <v>10</v>
      </c>
      <c r="E129" s="40" t="s">
        <v>39</v>
      </c>
      <c r="F129" s="141" t="s">
        <v>450</v>
      </c>
      <c r="G129" s="61"/>
      <c r="H129" s="61"/>
      <c r="I129" s="40" t="s">
        <v>82</v>
      </c>
      <c r="J129" s="6"/>
      <c r="K129" s="8" t="s">
        <v>451</v>
      </c>
      <c r="L129" s="6" t="s">
        <v>452</v>
      </c>
      <c r="M129" s="6" t="s">
        <v>105</v>
      </c>
      <c r="N129" s="6"/>
      <c r="O129" s="6" t="s">
        <v>179</v>
      </c>
      <c r="P129" s="6"/>
      <c r="Q129" s="6"/>
      <c r="R129" s="6"/>
      <c r="S129" s="6"/>
      <c r="T129" s="6"/>
      <c r="U129" s="6"/>
      <c r="V129" s="6"/>
      <c r="W129" s="6"/>
      <c r="X129" s="6"/>
      <c r="Y129" s="6"/>
      <c r="Z129" s="6"/>
      <c r="AA129" s="6"/>
    </row>
    <row r="130" ht="21" customHeight="1" spans="1:27">
      <c r="A130" s="40" t="s">
        <v>142</v>
      </c>
      <c r="B130" s="7">
        <v>45803</v>
      </c>
      <c r="C130" s="6" t="str">
        <f t="shared" si="2"/>
        <v>2025年5月</v>
      </c>
      <c r="D130" s="6" t="s">
        <v>10</v>
      </c>
      <c r="E130" s="40" t="s">
        <v>39</v>
      </c>
      <c r="F130" s="141" t="s">
        <v>453</v>
      </c>
      <c r="G130" s="61"/>
      <c r="H130" s="61"/>
      <c r="I130" s="40" t="s">
        <v>82</v>
      </c>
      <c r="J130" s="6"/>
      <c r="K130" s="8" t="s">
        <v>454</v>
      </c>
      <c r="L130" s="6" t="s">
        <v>455</v>
      </c>
      <c r="M130" s="6" t="s">
        <v>105</v>
      </c>
      <c r="N130" s="6"/>
      <c r="O130" s="6" t="s">
        <v>89</v>
      </c>
      <c r="P130" s="6"/>
      <c r="Q130" s="6"/>
      <c r="R130" s="6"/>
      <c r="S130" s="6"/>
      <c r="T130" s="6"/>
      <c r="U130" s="6"/>
      <c r="V130" s="6"/>
      <c r="W130" s="6"/>
      <c r="X130" s="6"/>
      <c r="Y130" s="6"/>
      <c r="Z130" s="6"/>
      <c r="AA130" s="6"/>
    </row>
    <row r="131" ht="21" customHeight="1" spans="1:27">
      <c r="A131" s="40" t="s">
        <v>207</v>
      </c>
      <c r="B131" s="7">
        <v>45803</v>
      </c>
      <c r="C131" s="6" t="str">
        <f t="shared" si="2"/>
        <v>2025年5月</v>
      </c>
      <c r="D131" s="6" t="s">
        <v>10</v>
      </c>
      <c r="E131" s="40" t="s">
        <v>39</v>
      </c>
      <c r="F131" s="141" t="s">
        <v>456</v>
      </c>
      <c r="G131" s="61"/>
      <c r="H131" s="61"/>
      <c r="I131" s="40" t="s">
        <v>82</v>
      </c>
      <c r="J131" s="6"/>
      <c r="K131" s="8" t="s">
        <v>457</v>
      </c>
      <c r="L131" s="6" t="s">
        <v>458</v>
      </c>
      <c r="M131" s="6" t="s">
        <v>105</v>
      </c>
      <c r="N131" s="6"/>
      <c r="O131" s="6" t="s">
        <v>124</v>
      </c>
      <c r="P131" s="6"/>
      <c r="Q131" s="6"/>
      <c r="R131" s="6"/>
      <c r="S131" s="6"/>
      <c r="T131" s="6"/>
      <c r="U131" s="6"/>
      <c r="V131" s="6"/>
      <c r="W131" s="6"/>
      <c r="X131" s="6"/>
      <c r="Y131" s="6"/>
      <c r="Z131" s="6"/>
      <c r="AA131" s="6"/>
    </row>
    <row r="132" ht="21" customHeight="1" spans="1:27">
      <c r="A132" s="40" t="s">
        <v>207</v>
      </c>
      <c r="B132" s="7">
        <v>45803</v>
      </c>
      <c r="C132" s="6" t="str">
        <f t="shared" si="2"/>
        <v>2025年5月</v>
      </c>
      <c r="D132" s="6" t="s">
        <v>12</v>
      </c>
      <c r="E132" s="40" t="s">
        <v>39</v>
      </c>
      <c r="F132" s="141" t="s">
        <v>459</v>
      </c>
      <c r="G132" s="61"/>
      <c r="H132" s="61"/>
      <c r="I132" s="40" t="s">
        <v>82</v>
      </c>
      <c r="J132" s="6"/>
      <c r="K132" s="8" t="s">
        <v>460</v>
      </c>
      <c r="L132" s="6" t="s">
        <v>461</v>
      </c>
      <c r="M132" s="6" t="s">
        <v>105</v>
      </c>
      <c r="N132" s="6"/>
      <c r="O132" s="6" t="s">
        <v>161</v>
      </c>
      <c r="P132" s="6"/>
      <c r="Q132" s="6"/>
      <c r="R132" s="6"/>
      <c r="S132" s="6"/>
      <c r="T132" s="6"/>
      <c r="U132" s="6"/>
      <c r="V132" s="6"/>
      <c r="W132" s="6"/>
      <c r="X132" s="6"/>
      <c r="Y132" s="6"/>
      <c r="Z132" s="6"/>
      <c r="AA132" s="6"/>
    </row>
    <row r="133" ht="21" customHeight="1" spans="1:27">
      <c r="A133" s="40" t="s">
        <v>207</v>
      </c>
      <c r="B133" s="7">
        <v>45803</v>
      </c>
      <c r="C133" s="6" t="str">
        <f t="shared" si="2"/>
        <v>2025年5月</v>
      </c>
      <c r="D133" s="6" t="s">
        <v>12</v>
      </c>
      <c r="E133" s="40" t="s">
        <v>39</v>
      </c>
      <c r="F133" s="141" t="s">
        <v>462</v>
      </c>
      <c r="G133" s="61"/>
      <c r="H133" s="61"/>
      <c r="I133" s="40" t="s">
        <v>82</v>
      </c>
      <c r="J133" s="6"/>
      <c r="K133" s="8" t="s">
        <v>304</v>
      </c>
      <c r="L133" s="6" t="s">
        <v>305</v>
      </c>
      <c r="M133" s="6" t="s">
        <v>105</v>
      </c>
      <c r="N133" s="6"/>
      <c r="O133" s="6" t="s">
        <v>111</v>
      </c>
      <c r="P133" s="6"/>
      <c r="Q133" s="6"/>
      <c r="R133" s="6"/>
      <c r="S133" s="6"/>
      <c r="T133" s="6"/>
      <c r="U133" s="6"/>
      <c r="V133" s="6"/>
      <c r="W133" s="6"/>
      <c r="X133" s="6"/>
      <c r="Y133" s="6"/>
      <c r="Z133" s="6"/>
      <c r="AA133" s="6"/>
    </row>
    <row r="134" ht="21" customHeight="1" spans="1:27">
      <c r="A134" s="40" t="s">
        <v>142</v>
      </c>
      <c r="B134" s="7">
        <v>45803</v>
      </c>
      <c r="C134" s="6" t="str">
        <f t="shared" si="2"/>
        <v>2025年5月</v>
      </c>
      <c r="D134" s="6" t="s">
        <v>10</v>
      </c>
      <c r="E134" s="40" t="s">
        <v>39</v>
      </c>
      <c r="F134" s="141" t="s">
        <v>463</v>
      </c>
      <c r="G134" s="61"/>
      <c r="H134" s="61"/>
      <c r="I134" s="40" t="s">
        <v>82</v>
      </c>
      <c r="J134" s="6"/>
      <c r="K134" s="8" t="s">
        <v>464</v>
      </c>
      <c r="L134" s="6" t="s">
        <v>465</v>
      </c>
      <c r="M134" s="6" t="s">
        <v>105</v>
      </c>
      <c r="N134" s="6"/>
      <c r="O134" s="6" t="s">
        <v>97</v>
      </c>
      <c r="P134" s="6"/>
      <c r="Q134" s="6"/>
      <c r="R134" s="6"/>
      <c r="S134" s="6"/>
      <c r="T134" s="6"/>
      <c r="U134" s="6"/>
      <c r="V134" s="6"/>
      <c r="W134" s="6"/>
      <c r="X134" s="6"/>
      <c r="Y134" s="6"/>
      <c r="Z134" s="6"/>
      <c r="AA134" s="6"/>
    </row>
    <row r="135" ht="21" customHeight="1" spans="1:27">
      <c r="A135" s="40" t="s">
        <v>207</v>
      </c>
      <c r="B135" s="7">
        <v>45803</v>
      </c>
      <c r="C135" s="6" t="str">
        <f t="shared" si="2"/>
        <v>2025年5月</v>
      </c>
      <c r="D135" s="6" t="s">
        <v>12</v>
      </c>
      <c r="E135" s="40" t="s">
        <v>39</v>
      </c>
      <c r="F135" s="141" t="s">
        <v>466</v>
      </c>
      <c r="G135" s="61"/>
      <c r="H135" s="61"/>
      <c r="I135" s="40" t="s">
        <v>82</v>
      </c>
      <c r="J135" s="6"/>
      <c r="K135" s="8" t="s">
        <v>467</v>
      </c>
      <c r="L135" s="6" t="s">
        <v>468</v>
      </c>
      <c r="M135" s="6" t="s">
        <v>105</v>
      </c>
      <c r="N135" s="6"/>
      <c r="O135" s="6" t="s">
        <v>146</v>
      </c>
      <c r="P135" s="6"/>
      <c r="Q135" s="6"/>
      <c r="R135" s="6"/>
      <c r="S135" s="6"/>
      <c r="T135" s="6"/>
      <c r="U135" s="6"/>
      <c r="V135" s="6"/>
      <c r="W135" s="6"/>
      <c r="X135" s="6"/>
      <c r="Y135" s="6"/>
      <c r="Z135" s="6"/>
      <c r="AA135" s="6"/>
    </row>
    <row r="136" ht="21" customHeight="1" spans="1:27">
      <c r="A136" s="40" t="s">
        <v>207</v>
      </c>
      <c r="B136" s="7">
        <v>45803</v>
      </c>
      <c r="C136" s="6" t="str">
        <f t="shared" si="2"/>
        <v>2025年5月</v>
      </c>
      <c r="D136" s="6" t="s">
        <v>12</v>
      </c>
      <c r="E136" s="40" t="s">
        <v>39</v>
      </c>
      <c r="F136" s="141" t="s">
        <v>469</v>
      </c>
      <c r="G136" s="61"/>
      <c r="H136" s="61"/>
      <c r="I136" s="40" t="s">
        <v>82</v>
      </c>
      <c r="J136" s="6"/>
      <c r="K136" s="8" t="s">
        <v>470</v>
      </c>
      <c r="L136" s="6" t="s">
        <v>471</v>
      </c>
      <c r="M136" s="6" t="s">
        <v>105</v>
      </c>
      <c r="N136" s="6"/>
      <c r="O136" s="6" t="s">
        <v>97</v>
      </c>
      <c r="P136" s="6"/>
      <c r="Q136" s="6"/>
      <c r="R136" s="6"/>
      <c r="S136" s="6"/>
      <c r="T136" s="6"/>
      <c r="U136" s="6"/>
      <c r="V136" s="6"/>
      <c r="W136" s="6"/>
      <c r="X136" s="6"/>
      <c r="Y136" s="6"/>
      <c r="Z136" s="6"/>
      <c r="AA136" s="6"/>
    </row>
    <row r="137" ht="21" customHeight="1" spans="1:27">
      <c r="A137" s="40" t="s">
        <v>207</v>
      </c>
      <c r="B137" s="7">
        <v>45804</v>
      </c>
      <c r="C137" s="6" t="str">
        <f t="shared" si="2"/>
        <v>2025年5月</v>
      </c>
      <c r="D137" s="6" t="s">
        <v>12</v>
      </c>
      <c r="E137" s="40" t="s">
        <v>39</v>
      </c>
      <c r="F137" s="141" t="s">
        <v>472</v>
      </c>
      <c r="G137" s="61"/>
      <c r="H137" s="61"/>
      <c r="I137" s="40" t="s">
        <v>82</v>
      </c>
      <c r="J137" s="6"/>
      <c r="K137" s="8" t="s">
        <v>473</v>
      </c>
      <c r="L137" s="6" t="s">
        <v>474</v>
      </c>
      <c r="M137" s="6" t="s">
        <v>105</v>
      </c>
      <c r="N137" s="6"/>
      <c r="O137" s="6" t="s">
        <v>346</v>
      </c>
      <c r="P137" s="6"/>
      <c r="Q137" s="6"/>
      <c r="R137" s="6"/>
      <c r="S137" s="6"/>
      <c r="T137" s="6"/>
      <c r="U137" s="6"/>
      <c r="V137" s="6"/>
      <c r="W137" s="6"/>
      <c r="X137" s="6"/>
      <c r="Y137" s="6"/>
      <c r="Z137" s="6"/>
      <c r="AA137" s="6"/>
    </row>
    <row r="138" ht="21" customHeight="1" spans="1:27">
      <c r="A138" s="40" t="s">
        <v>207</v>
      </c>
      <c r="B138" s="7">
        <v>45804</v>
      </c>
      <c r="C138" s="6" t="str">
        <f t="shared" si="2"/>
        <v>2025年5月</v>
      </c>
      <c r="D138" s="6" t="s">
        <v>12</v>
      </c>
      <c r="E138" s="40" t="s">
        <v>39</v>
      </c>
      <c r="F138" s="141" t="s">
        <v>475</v>
      </c>
      <c r="G138" s="61"/>
      <c r="H138" s="61"/>
      <c r="I138" s="40" t="s">
        <v>82</v>
      </c>
      <c r="J138" s="6"/>
      <c r="K138" s="8" t="s">
        <v>476</v>
      </c>
      <c r="L138" s="6" t="s">
        <v>477</v>
      </c>
      <c r="M138" s="6" t="s">
        <v>105</v>
      </c>
      <c r="N138" s="6"/>
      <c r="O138" s="6" t="s">
        <v>111</v>
      </c>
      <c r="P138" s="6"/>
      <c r="Q138" s="6"/>
      <c r="R138" s="6"/>
      <c r="S138" s="6"/>
      <c r="T138" s="6"/>
      <c r="U138" s="6"/>
      <c r="V138" s="6"/>
      <c r="W138" s="6"/>
      <c r="X138" s="6"/>
      <c r="Y138" s="6"/>
      <c r="Z138" s="6"/>
      <c r="AA138" s="6"/>
    </row>
    <row r="139" ht="21" customHeight="1" spans="1:27">
      <c r="A139" s="40" t="s">
        <v>142</v>
      </c>
      <c r="B139" s="7">
        <v>45804</v>
      </c>
      <c r="C139" s="6" t="str">
        <f t="shared" si="2"/>
        <v>2025年5月</v>
      </c>
      <c r="D139" s="6" t="s">
        <v>12</v>
      </c>
      <c r="E139" s="40" t="s">
        <v>39</v>
      </c>
      <c r="F139" s="141" t="s">
        <v>478</v>
      </c>
      <c r="G139" s="61"/>
      <c r="H139" s="61"/>
      <c r="I139" s="40" t="s">
        <v>82</v>
      </c>
      <c r="J139" s="6"/>
      <c r="K139" s="8" t="s">
        <v>479</v>
      </c>
      <c r="L139" s="6" t="s">
        <v>480</v>
      </c>
      <c r="M139" s="6" t="s">
        <v>105</v>
      </c>
      <c r="N139" s="6"/>
      <c r="O139" s="6" t="s">
        <v>124</v>
      </c>
      <c r="P139" s="6"/>
      <c r="Q139" s="6"/>
      <c r="R139" s="6"/>
      <c r="S139" s="6"/>
      <c r="T139" s="6"/>
      <c r="U139" s="6"/>
      <c r="V139" s="6"/>
      <c r="W139" s="6"/>
      <c r="X139" s="6"/>
      <c r="Y139" s="6"/>
      <c r="Z139" s="6"/>
      <c r="AA139" s="6"/>
    </row>
    <row r="140" ht="21" customHeight="1" spans="1:27">
      <c r="A140" s="40" t="s">
        <v>142</v>
      </c>
      <c r="B140" s="7">
        <v>45804</v>
      </c>
      <c r="C140" s="6" t="str">
        <f t="shared" si="2"/>
        <v>2025年5月</v>
      </c>
      <c r="D140" s="6" t="s">
        <v>10</v>
      </c>
      <c r="E140" s="40" t="s">
        <v>39</v>
      </c>
      <c r="F140" s="141" t="s">
        <v>481</v>
      </c>
      <c r="G140" s="61"/>
      <c r="H140" s="61"/>
      <c r="I140" s="40" t="s">
        <v>82</v>
      </c>
      <c r="J140" s="6"/>
      <c r="K140" s="8" t="s">
        <v>482</v>
      </c>
      <c r="L140" s="6" t="s">
        <v>483</v>
      </c>
      <c r="M140" s="6" t="s">
        <v>105</v>
      </c>
      <c r="N140" s="6"/>
      <c r="O140" s="6" t="s">
        <v>85</v>
      </c>
      <c r="P140" s="6"/>
      <c r="Q140" s="6"/>
      <c r="R140" s="6"/>
      <c r="S140" s="6"/>
      <c r="T140" s="6"/>
      <c r="U140" s="6"/>
      <c r="V140" s="6"/>
      <c r="W140" s="6"/>
      <c r="X140" s="6"/>
      <c r="Y140" s="6"/>
      <c r="Z140" s="6"/>
      <c r="AA140" s="6"/>
    </row>
    <row r="141" ht="21" customHeight="1" spans="1:27">
      <c r="A141" s="40" t="s">
        <v>142</v>
      </c>
      <c r="B141" s="7">
        <v>45804</v>
      </c>
      <c r="C141" s="6" t="str">
        <f t="shared" si="2"/>
        <v>2025年5月</v>
      </c>
      <c r="D141" s="6" t="s">
        <v>10</v>
      </c>
      <c r="E141" s="40" t="s">
        <v>39</v>
      </c>
      <c r="F141" s="141" t="s">
        <v>484</v>
      </c>
      <c r="G141" s="61"/>
      <c r="H141" s="61"/>
      <c r="I141" s="40" t="s">
        <v>82</v>
      </c>
      <c r="J141" s="6"/>
      <c r="K141" s="8" t="s">
        <v>485</v>
      </c>
      <c r="L141" s="6" t="s">
        <v>486</v>
      </c>
      <c r="M141" s="6" t="s">
        <v>105</v>
      </c>
      <c r="N141" s="6"/>
      <c r="O141" s="6" t="s">
        <v>168</v>
      </c>
      <c r="P141" s="6"/>
      <c r="Q141" s="6"/>
      <c r="R141" s="6"/>
      <c r="S141" s="6"/>
      <c r="T141" s="6"/>
      <c r="U141" s="6"/>
      <c r="V141" s="6"/>
      <c r="W141" s="6"/>
      <c r="X141" s="6"/>
      <c r="Y141" s="6"/>
      <c r="Z141" s="6"/>
      <c r="AA141" s="6"/>
    </row>
    <row r="142" ht="21" customHeight="1" spans="1:27">
      <c r="A142" s="40" t="s">
        <v>142</v>
      </c>
      <c r="B142" s="7">
        <v>45804</v>
      </c>
      <c r="C142" s="6" t="str">
        <f t="shared" si="2"/>
        <v>2025年5月</v>
      </c>
      <c r="D142" s="6" t="s">
        <v>12</v>
      </c>
      <c r="E142" s="40" t="s">
        <v>39</v>
      </c>
      <c r="F142" s="141" t="s">
        <v>487</v>
      </c>
      <c r="G142" s="61"/>
      <c r="H142" s="61"/>
      <c r="I142" s="40" t="s">
        <v>82</v>
      </c>
      <c r="J142" s="6"/>
      <c r="K142" s="8" t="s">
        <v>379</v>
      </c>
      <c r="L142" s="6" t="s">
        <v>380</v>
      </c>
      <c r="M142" s="6" t="s">
        <v>105</v>
      </c>
      <c r="N142" s="6"/>
      <c r="O142" s="6" t="s">
        <v>194</v>
      </c>
      <c r="P142" s="6"/>
      <c r="Q142" s="6"/>
      <c r="R142" s="6"/>
      <c r="S142" s="6"/>
      <c r="T142" s="6"/>
      <c r="U142" s="6"/>
      <c r="V142" s="6"/>
      <c r="W142" s="6"/>
      <c r="X142" s="6"/>
      <c r="Y142" s="6"/>
      <c r="Z142" s="6"/>
      <c r="AA142" s="6"/>
    </row>
    <row r="143" ht="21" customHeight="1" spans="1:27">
      <c r="A143" s="40" t="s">
        <v>207</v>
      </c>
      <c r="B143" s="7">
        <v>45806</v>
      </c>
      <c r="C143" s="6" t="str">
        <f t="shared" si="2"/>
        <v>2025年5月</v>
      </c>
      <c r="D143" s="6" t="s">
        <v>12</v>
      </c>
      <c r="E143" s="40" t="s">
        <v>39</v>
      </c>
      <c r="F143" s="141" t="s">
        <v>488</v>
      </c>
      <c r="G143" s="61"/>
      <c r="H143" s="61"/>
      <c r="I143" s="40" t="s">
        <v>82</v>
      </c>
      <c r="J143" s="6"/>
      <c r="K143" s="8" t="s">
        <v>320</v>
      </c>
      <c r="L143" s="6" t="s">
        <v>321</v>
      </c>
      <c r="M143" s="6" t="s">
        <v>105</v>
      </c>
      <c r="N143" s="6"/>
      <c r="O143" s="6" t="s">
        <v>120</v>
      </c>
      <c r="P143" s="6"/>
      <c r="Q143" s="6"/>
      <c r="R143" s="6"/>
      <c r="S143" s="6"/>
      <c r="T143" s="6"/>
      <c r="U143" s="6"/>
      <c r="V143" s="6"/>
      <c r="W143" s="6"/>
      <c r="X143" s="6"/>
      <c r="Y143" s="6"/>
      <c r="Z143" s="6"/>
      <c r="AA143" s="6"/>
    </row>
    <row r="144" ht="28" spans="1:27">
      <c r="A144" s="40" t="s">
        <v>489</v>
      </c>
      <c r="B144" s="7">
        <v>45812</v>
      </c>
      <c r="C144" s="6" t="str">
        <f t="shared" si="2"/>
        <v>2025年6月</v>
      </c>
      <c r="D144" s="6" t="s">
        <v>11</v>
      </c>
      <c r="E144" s="40" t="s">
        <v>40</v>
      </c>
      <c r="F144" s="140" t="s">
        <v>490</v>
      </c>
      <c r="G144" s="61"/>
      <c r="H144" s="61"/>
      <c r="I144" s="40" t="s">
        <v>82</v>
      </c>
      <c r="J144" s="6"/>
      <c r="K144" s="8" t="s">
        <v>491</v>
      </c>
      <c r="L144" s="6" t="s">
        <v>492</v>
      </c>
      <c r="M144" s="6" t="s">
        <v>105</v>
      </c>
      <c r="N144" s="6"/>
      <c r="O144" s="6" t="s">
        <v>111</v>
      </c>
      <c r="P144" s="6"/>
      <c r="Q144" s="6"/>
      <c r="R144" s="6"/>
      <c r="S144" s="6"/>
      <c r="T144" s="6"/>
      <c r="U144" s="6"/>
      <c r="V144" s="6"/>
      <c r="W144" s="6"/>
      <c r="X144" s="6"/>
      <c r="Y144" s="6"/>
      <c r="Z144" s="6"/>
      <c r="AA144" s="6"/>
    </row>
    <row r="145" ht="21" customHeight="1" spans="1:27">
      <c r="A145" s="40" t="s">
        <v>489</v>
      </c>
      <c r="B145" s="7">
        <v>45814</v>
      </c>
      <c r="C145" s="6" t="str">
        <f t="shared" si="2"/>
        <v>2025年6月</v>
      </c>
      <c r="D145" s="6" t="s">
        <v>12</v>
      </c>
      <c r="E145" s="40" t="s">
        <v>39</v>
      </c>
      <c r="F145" s="141" t="s">
        <v>493</v>
      </c>
      <c r="G145" s="61"/>
      <c r="H145" s="61"/>
      <c r="I145" s="40" t="s">
        <v>82</v>
      </c>
      <c r="J145" s="6"/>
      <c r="K145" s="8" t="s">
        <v>494</v>
      </c>
      <c r="L145" s="6" t="s">
        <v>495</v>
      </c>
      <c r="M145" s="6" t="s">
        <v>105</v>
      </c>
      <c r="N145" s="6"/>
      <c r="O145" s="6" t="s">
        <v>261</v>
      </c>
      <c r="P145" s="6"/>
      <c r="Q145" s="6"/>
      <c r="R145" s="6"/>
      <c r="S145" s="6"/>
      <c r="T145" s="6"/>
      <c r="U145" s="6"/>
      <c r="V145" s="6"/>
      <c r="W145" s="6"/>
      <c r="X145" s="6"/>
      <c r="Y145" s="6"/>
      <c r="Z145" s="6"/>
      <c r="AA145" s="6"/>
    </row>
    <row r="146" ht="21" customHeight="1" spans="1:27">
      <c r="A146" s="40" t="s">
        <v>489</v>
      </c>
      <c r="B146" s="7">
        <v>45814</v>
      </c>
      <c r="C146" s="6" t="str">
        <f t="shared" si="2"/>
        <v>2025年6月</v>
      </c>
      <c r="D146" s="6" t="s">
        <v>10</v>
      </c>
      <c r="E146" s="40" t="s">
        <v>39</v>
      </c>
      <c r="F146" s="141" t="s">
        <v>496</v>
      </c>
      <c r="G146" s="61"/>
      <c r="H146" s="61"/>
      <c r="I146" s="40" t="s">
        <v>82</v>
      </c>
      <c r="J146" s="6"/>
      <c r="K146" s="8" t="s">
        <v>497</v>
      </c>
      <c r="L146" s="6" t="s">
        <v>498</v>
      </c>
      <c r="M146" s="6" t="s">
        <v>105</v>
      </c>
      <c r="N146" s="6"/>
      <c r="O146" s="6" t="s">
        <v>261</v>
      </c>
      <c r="P146" s="6"/>
      <c r="Q146" s="6"/>
      <c r="R146" s="6"/>
      <c r="S146" s="6"/>
      <c r="T146" s="6"/>
      <c r="U146" s="6"/>
      <c r="V146" s="6"/>
      <c r="W146" s="6"/>
      <c r="X146" s="6"/>
      <c r="Y146" s="6"/>
      <c r="Z146" s="6"/>
      <c r="AA146" s="6"/>
    </row>
    <row r="147" ht="21" customHeight="1" spans="1:27">
      <c r="A147" s="40" t="s">
        <v>142</v>
      </c>
      <c r="B147" s="7">
        <v>45820</v>
      </c>
      <c r="C147" s="6" t="str">
        <f t="shared" si="2"/>
        <v>2025年6月</v>
      </c>
      <c r="D147" s="6" t="s">
        <v>12</v>
      </c>
      <c r="E147" s="40" t="s">
        <v>39</v>
      </c>
      <c r="F147" s="141" t="s">
        <v>499</v>
      </c>
      <c r="G147" s="61"/>
      <c r="H147" s="61"/>
      <c r="I147" s="40" t="s">
        <v>82</v>
      </c>
      <c r="J147" s="6"/>
      <c r="K147" s="8" t="s">
        <v>500</v>
      </c>
      <c r="L147" s="6" t="s">
        <v>501</v>
      </c>
      <c r="M147" s="6" t="s">
        <v>105</v>
      </c>
      <c r="N147" s="6"/>
      <c r="O147" s="6" t="s">
        <v>194</v>
      </c>
      <c r="P147" s="6"/>
      <c r="Q147" s="6"/>
      <c r="R147" s="6"/>
      <c r="S147" s="6"/>
      <c r="T147" s="6"/>
      <c r="U147" s="6"/>
      <c r="V147" s="6"/>
      <c r="W147" s="6"/>
      <c r="X147" s="6"/>
      <c r="Y147" s="6"/>
      <c r="Z147" s="6"/>
      <c r="AA147" s="6"/>
    </row>
    <row r="148" ht="21" customHeight="1" spans="1:27">
      <c r="A148" s="40" t="s">
        <v>142</v>
      </c>
      <c r="B148" s="7">
        <v>45824</v>
      </c>
      <c r="C148" s="6" t="str">
        <f t="shared" si="2"/>
        <v>2025年6月</v>
      </c>
      <c r="D148" s="6" t="s">
        <v>10</v>
      </c>
      <c r="E148" s="40" t="s">
        <v>39</v>
      </c>
      <c r="F148" s="141" t="s">
        <v>502</v>
      </c>
      <c r="G148" s="61"/>
      <c r="H148" s="61"/>
      <c r="I148" s="40" t="s">
        <v>82</v>
      </c>
      <c r="J148" s="6"/>
      <c r="K148" s="8" t="s">
        <v>503</v>
      </c>
      <c r="L148" s="6" t="s">
        <v>504</v>
      </c>
      <c r="M148" s="6" t="s">
        <v>105</v>
      </c>
      <c r="N148" s="6"/>
      <c r="O148" s="6" t="s">
        <v>300</v>
      </c>
      <c r="P148" s="6"/>
      <c r="Q148" s="6"/>
      <c r="R148" s="6"/>
      <c r="S148" s="6"/>
      <c r="T148" s="6"/>
      <c r="U148" s="6"/>
      <c r="V148" s="6"/>
      <c r="W148" s="6"/>
      <c r="X148" s="6"/>
      <c r="Y148" s="6"/>
      <c r="Z148" s="6"/>
      <c r="AA148" s="6"/>
    </row>
    <row r="149" ht="21" customHeight="1" spans="1:27">
      <c r="A149" s="40" t="s">
        <v>142</v>
      </c>
      <c r="B149" s="7">
        <v>45825</v>
      </c>
      <c r="C149" s="6" t="str">
        <f t="shared" si="2"/>
        <v>2025年6月</v>
      </c>
      <c r="D149" s="6" t="s">
        <v>12</v>
      </c>
      <c r="E149" s="40" t="s">
        <v>39</v>
      </c>
      <c r="F149" s="141" t="s">
        <v>505</v>
      </c>
      <c r="G149" s="61"/>
      <c r="H149" s="61"/>
      <c r="I149" s="40" t="s">
        <v>82</v>
      </c>
      <c r="J149" s="6"/>
      <c r="K149" s="8" t="s">
        <v>506</v>
      </c>
      <c r="L149" s="6" t="s">
        <v>507</v>
      </c>
      <c r="M149" s="6" t="s">
        <v>105</v>
      </c>
      <c r="N149" s="6"/>
      <c r="O149" s="6" t="s">
        <v>270</v>
      </c>
      <c r="P149" s="6"/>
      <c r="Q149" s="6"/>
      <c r="R149" s="6"/>
      <c r="S149" s="6"/>
      <c r="T149" s="6"/>
      <c r="U149" s="6"/>
      <c r="V149" s="6"/>
      <c r="W149" s="6"/>
      <c r="X149" s="6"/>
      <c r="Y149" s="6"/>
      <c r="Z149" s="6"/>
      <c r="AA149" s="6"/>
    </row>
    <row r="150" ht="21" customHeight="1" spans="1:27">
      <c r="A150" s="40" t="s">
        <v>207</v>
      </c>
      <c r="B150" s="7">
        <v>45825</v>
      </c>
      <c r="C150" s="6" t="str">
        <f t="shared" si="2"/>
        <v>2025年6月</v>
      </c>
      <c r="D150" s="6" t="s">
        <v>10</v>
      </c>
      <c r="E150" s="40" t="s">
        <v>39</v>
      </c>
      <c r="F150" s="141" t="s">
        <v>508</v>
      </c>
      <c r="G150" s="61"/>
      <c r="H150" s="61"/>
      <c r="I150" s="40" t="s">
        <v>82</v>
      </c>
      <c r="J150" s="6"/>
      <c r="K150" s="8" t="s">
        <v>509</v>
      </c>
      <c r="L150" s="6" t="s">
        <v>222</v>
      </c>
      <c r="M150" s="6" t="s">
        <v>105</v>
      </c>
      <c r="N150" s="6"/>
      <c r="O150" s="6" t="s">
        <v>120</v>
      </c>
      <c r="P150" s="6"/>
      <c r="Q150" s="6"/>
      <c r="R150" s="6"/>
      <c r="S150" s="6"/>
      <c r="T150" s="6"/>
      <c r="U150" s="6"/>
      <c r="V150" s="6"/>
      <c r="W150" s="6"/>
      <c r="X150" s="6"/>
      <c r="Y150" s="6"/>
      <c r="Z150" s="6"/>
      <c r="AA150" s="6"/>
    </row>
    <row r="151" ht="21" customHeight="1" spans="1:27">
      <c r="A151" s="40" t="s">
        <v>142</v>
      </c>
      <c r="B151" s="7">
        <v>45827</v>
      </c>
      <c r="C151" s="6" t="str">
        <f t="shared" si="2"/>
        <v>2025年6月</v>
      </c>
      <c r="D151" s="6" t="s">
        <v>10</v>
      </c>
      <c r="E151" s="40" t="s">
        <v>39</v>
      </c>
      <c r="F151" s="141" t="s">
        <v>510</v>
      </c>
      <c r="G151" s="61"/>
      <c r="H151" s="61"/>
      <c r="I151" s="40" t="s">
        <v>82</v>
      </c>
      <c r="J151" s="6"/>
      <c r="K151" s="8" t="s">
        <v>511</v>
      </c>
      <c r="L151" s="6" t="s">
        <v>512</v>
      </c>
      <c r="M151" s="6" t="s">
        <v>105</v>
      </c>
      <c r="N151" s="6"/>
      <c r="O151" s="6" t="s">
        <v>97</v>
      </c>
      <c r="P151" s="6" t="s">
        <v>513</v>
      </c>
      <c r="Q151" s="6"/>
      <c r="R151" s="6"/>
      <c r="S151" s="6"/>
      <c r="T151" s="6"/>
      <c r="U151" s="6"/>
      <c r="V151" s="6"/>
      <c r="W151" s="6"/>
      <c r="X151" s="6"/>
      <c r="Y151" s="6"/>
      <c r="Z151" s="6"/>
      <c r="AA151" s="6"/>
    </row>
    <row r="152" ht="21" customHeight="1" spans="1:27">
      <c r="A152" s="40" t="s">
        <v>207</v>
      </c>
      <c r="B152" s="7">
        <v>45827</v>
      </c>
      <c r="C152" s="6" t="str">
        <f t="shared" si="2"/>
        <v>2025年6月</v>
      </c>
      <c r="D152" s="6" t="s">
        <v>12</v>
      </c>
      <c r="E152" s="40" t="s">
        <v>39</v>
      </c>
      <c r="F152" s="141" t="s">
        <v>514</v>
      </c>
      <c r="G152" s="61"/>
      <c r="H152" s="61"/>
      <c r="I152" s="40" t="s">
        <v>82</v>
      </c>
      <c r="J152" s="6"/>
      <c r="K152" s="8" t="s">
        <v>515</v>
      </c>
      <c r="L152" s="6" t="s">
        <v>516</v>
      </c>
      <c r="M152" s="6" t="s">
        <v>105</v>
      </c>
      <c r="N152" s="6"/>
      <c r="O152" s="6" t="s">
        <v>261</v>
      </c>
      <c r="P152" s="6"/>
      <c r="Q152" s="6"/>
      <c r="R152" s="6"/>
      <c r="S152" s="6"/>
      <c r="T152" s="6"/>
      <c r="U152" s="6"/>
      <c r="V152" s="6"/>
      <c r="W152" s="6"/>
      <c r="X152" s="6"/>
      <c r="Y152" s="6"/>
      <c r="Z152" s="6"/>
      <c r="AA152" s="6"/>
    </row>
    <row r="153" ht="21" customHeight="1" spans="1:27">
      <c r="A153" s="40" t="s">
        <v>207</v>
      </c>
      <c r="B153" s="7">
        <v>45827</v>
      </c>
      <c r="C153" s="6" t="str">
        <f t="shared" si="2"/>
        <v>2025年6月</v>
      </c>
      <c r="D153" s="6" t="s">
        <v>10</v>
      </c>
      <c r="E153" s="40" t="s">
        <v>39</v>
      </c>
      <c r="F153" s="141" t="s">
        <v>508</v>
      </c>
      <c r="G153" s="61"/>
      <c r="H153" s="61"/>
      <c r="I153" s="40" t="s">
        <v>82</v>
      </c>
      <c r="J153" s="6"/>
      <c r="K153" s="8" t="s">
        <v>221</v>
      </c>
      <c r="L153" s="6" t="s">
        <v>222</v>
      </c>
      <c r="M153" s="6" t="s">
        <v>105</v>
      </c>
      <c r="N153" s="6"/>
      <c r="O153" s="6" t="s">
        <v>85</v>
      </c>
      <c r="P153" s="6"/>
      <c r="Q153" s="6"/>
      <c r="R153" s="6"/>
      <c r="S153" s="6"/>
      <c r="T153" s="6"/>
      <c r="U153" s="6"/>
      <c r="V153" s="6"/>
      <c r="W153" s="6"/>
      <c r="X153" s="6"/>
      <c r="Y153" s="6"/>
      <c r="Z153" s="6"/>
      <c r="AA153" s="6"/>
    </row>
    <row r="154" ht="21" customHeight="1" spans="1:27">
      <c r="A154" s="40" t="s">
        <v>142</v>
      </c>
      <c r="B154" s="7">
        <v>45827</v>
      </c>
      <c r="C154" s="6" t="str">
        <f t="shared" si="2"/>
        <v>2025年6月</v>
      </c>
      <c r="D154" s="6" t="s">
        <v>12</v>
      </c>
      <c r="E154" s="40" t="s">
        <v>39</v>
      </c>
      <c r="F154" s="141" t="s">
        <v>517</v>
      </c>
      <c r="G154" s="61"/>
      <c r="H154" s="61"/>
      <c r="I154" s="40" t="s">
        <v>82</v>
      </c>
      <c r="J154" s="6"/>
      <c r="K154" s="8" t="s">
        <v>518</v>
      </c>
      <c r="L154" s="6" t="s">
        <v>519</v>
      </c>
      <c r="M154" s="6" t="s">
        <v>105</v>
      </c>
      <c r="N154" s="6"/>
      <c r="O154" s="6" t="s">
        <v>111</v>
      </c>
      <c r="P154" s="6"/>
      <c r="Q154" s="6"/>
      <c r="R154" s="6"/>
      <c r="S154" s="6"/>
      <c r="T154" s="6"/>
      <c r="U154" s="6"/>
      <c r="V154" s="6"/>
      <c r="W154" s="6"/>
      <c r="X154" s="6"/>
      <c r="Y154" s="6"/>
      <c r="Z154" s="6"/>
      <c r="AA154" s="6"/>
    </row>
    <row r="155" ht="21" customHeight="1" spans="1:27">
      <c r="A155" s="40" t="s">
        <v>207</v>
      </c>
      <c r="B155" s="7">
        <v>45827</v>
      </c>
      <c r="C155" s="6" t="str">
        <f t="shared" si="2"/>
        <v>2025年6月</v>
      </c>
      <c r="D155" s="6" t="s">
        <v>12</v>
      </c>
      <c r="E155" s="40" t="s">
        <v>39</v>
      </c>
      <c r="F155" s="141" t="s">
        <v>520</v>
      </c>
      <c r="G155" s="61"/>
      <c r="H155" s="61"/>
      <c r="I155" s="40" t="s">
        <v>82</v>
      </c>
      <c r="J155" s="6"/>
      <c r="K155" s="8" t="s">
        <v>521</v>
      </c>
      <c r="L155" s="6" t="s">
        <v>522</v>
      </c>
      <c r="M155" s="6" t="s">
        <v>105</v>
      </c>
      <c r="N155" s="6"/>
      <c r="O155" s="41" t="s">
        <v>161</v>
      </c>
      <c r="P155" s="41" t="s">
        <v>523</v>
      </c>
      <c r="Q155" s="6"/>
      <c r="R155" s="6"/>
      <c r="S155" s="6"/>
      <c r="T155" s="6"/>
      <c r="U155" s="6"/>
      <c r="V155" s="6"/>
      <c r="W155" s="6"/>
      <c r="X155" s="6"/>
      <c r="Y155" s="6"/>
      <c r="Z155" s="6"/>
      <c r="AA155" s="6"/>
    </row>
    <row r="156" ht="21" customHeight="1" spans="1:27">
      <c r="A156" s="40" t="s">
        <v>142</v>
      </c>
      <c r="B156" s="7">
        <v>45828</v>
      </c>
      <c r="C156" s="6" t="str">
        <f t="shared" si="2"/>
        <v>2025年6月</v>
      </c>
      <c r="D156" s="6" t="s">
        <v>12</v>
      </c>
      <c r="E156" s="40" t="s">
        <v>39</v>
      </c>
      <c r="F156" s="141" t="s">
        <v>524</v>
      </c>
      <c r="G156" s="61"/>
      <c r="H156" s="61"/>
      <c r="I156" s="40" t="s">
        <v>82</v>
      </c>
      <c r="J156" s="6"/>
      <c r="K156" s="8" t="s">
        <v>525</v>
      </c>
      <c r="L156" s="6" t="s">
        <v>526</v>
      </c>
      <c r="M156" s="6" t="s">
        <v>105</v>
      </c>
      <c r="N156" s="6"/>
      <c r="O156" s="6" t="s">
        <v>97</v>
      </c>
      <c r="P156" s="6"/>
      <c r="Q156" s="6"/>
      <c r="R156" s="6"/>
      <c r="S156" s="6"/>
      <c r="T156" s="6"/>
      <c r="U156" s="6"/>
      <c r="V156" s="6"/>
      <c r="W156" s="6"/>
      <c r="X156" s="6"/>
      <c r="Y156" s="6"/>
      <c r="Z156" s="6"/>
      <c r="AA156" s="6"/>
    </row>
    <row r="157" ht="28" spans="1:27">
      <c r="A157" s="40" t="s">
        <v>142</v>
      </c>
      <c r="B157" s="7">
        <v>45829</v>
      </c>
      <c r="C157" s="6" t="str">
        <f t="shared" si="2"/>
        <v>2025年6月</v>
      </c>
      <c r="D157" s="6" t="s">
        <v>10</v>
      </c>
      <c r="E157" s="40" t="s">
        <v>40</v>
      </c>
      <c r="F157" s="140" t="s">
        <v>527</v>
      </c>
      <c r="G157" s="61"/>
      <c r="H157" s="61"/>
      <c r="I157" s="40" t="s">
        <v>82</v>
      </c>
      <c r="J157" s="6"/>
      <c r="K157" s="8" t="s">
        <v>528</v>
      </c>
      <c r="L157" s="59" t="s">
        <v>529</v>
      </c>
      <c r="M157" s="6" t="s">
        <v>105</v>
      </c>
      <c r="N157" s="6"/>
      <c r="O157" s="6" t="s">
        <v>186</v>
      </c>
      <c r="P157" s="6" t="s">
        <v>530</v>
      </c>
      <c r="Q157" s="6"/>
      <c r="R157" s="6"/>
      <c r="S157" s="6"/>
      <c r="T157" s="6"/>
      <c r="U157" s="6"/>
      <c r="V157" s="6"/>
      <c r="W157" s="6"/>
      <c r="X157" s="6"/>
      <c r="Y157" s="6"/>
      <c r="Z157" s="6"/>
      <c r="AA157" s="6"/>
    </row>
    <row r="158" ht="21" customHeight="1" spans="1:27">
      <c r="A158" s="40" t="s">
        <v>142</v>
      </c>
      <c r="B158" s="7">
        <v>45831</v>
      </c>
      <c r="C158" s="6" t="str">
        <f t="shared" si="2"/>
        <v>2025年6月</v>
      </c>
      <c r="D158" s="6" t="s">
        <v>12</v>
      </c>
      <c r="E158" s="40" t="s">
        <v>39</v>
      </c>
      <c r="F158" s="141" t="s">
        <v>531</v>
      </c>
      <c r="G158" s="61"/>
      <c r="H158" s="61"/>
      <c r="I158" s="40" t="s">
        <v>82</v>
      </c>
      <c r="J158" s="6"/>
      <c r="K158" s="8" t="s">
        <v>532</v>
      </c>
      <c r="L158" s="6" t="s">
        <v>533</v>
      </c>
      <c r="M158" s="6" t="s">
        <v>105</v>
      </c>
      <c r="N158" s="6"/>
      <c r="O158" s="6" t="s">
        <v>124</v>
      </c>
      <c r="P158" s="6"/>
      <c r="Q158" s="6"/>
      <c r="R158" s="6"/>
      <c r="S158" s="6"/>
      <c r="T158" s="6"/>
      <c r="U158" s="6"/>
      <c r="V158" s="6"/>
      <c r="W158" s="6"/>
      <c r="X158" s="6"/>
      <c r="Y158" s="6"/>
      <c r="Z158" s="6"/>
      <c r="AA158" s="6"/>
    </row>
    <row r="159" ht="21" customHeight="1" spans="1:27">
      <c r="A159" s="40" t="s">
        <v>142</v>
      </c>
      <c r="B159" s="7">
        <v>45831</v>
      </c>
      <c r="C159" s="6" t="str">
        <f t="shared" si="2"/>
        <v>2025年6月</v>
      </c>
      <c r="D159" s="6" t="s">
        <v>10</v>
      </c>
      <c r="E159" s="40" t="s">
        <v>39</v>
      </c>
      <c r="F159" s="141" t="s">
        <v>534</v>
      </c>
      <c r="G159" s="61"/>
      <c r="H159" s="61"/>
      <c r="I159" s="40" t="s">
        <v>82</v>
      </c>
      <c r="J159" s="6"/>
      <c r="K159" s="8" t="s">
        <v>535</v>
      </c>
      <c r="L159" s="6" t="s">
        <v>536</v>
      </c>
      <c r="M159" s="6" t="s">
        <v>105</v>
      </c>
      <c r="N159" s="6"/>
      <c r="O159" s="6" t="s">
        <v>194</v>
      </c>
      <c r="P159" s="6"/>
      <c r="Q159" s="6"/>
      <c r="R159" s="6"/>
      <c r="S159" s="6"/>
      <c r="T159" s="6"/>
      <c r="U159" s="6"/>
      <c r="V159" s="6"/>
      <c r="W159" s="6"/>
      <c r="X159" s="6"/>
      <c r="Y159" s="6"/>
      <c r="Z159" s="6"/>
      <c r="AA159" s="6"/>
    </row>
    <row r="160" ht="21" customHeight="1" spans="1:27">
      <c r="A160" s="40" t="s">
        <v>142</v>
      </c>
      <c r="B160" s="7">
        <v>45831</v>
      </c>
      <c r="C160" s="6" t="str">
        <f t="shared" si="2"/>
        <v>2025年6月</v>
      </c>
      <c r="D160" s="6" t="s">
        <v>12</v>
      </c>
      <c r="E160" s="40" t="s">
        <v>39</v>
      </c>
      <c r="F160" s="141" t="s">
        <v>537</v>
      </c>
      <c r="G160" s="61"/>
      <c r="H160" s="61"/>
      <c r="I160" s="40" t="s">
        <v>82</v>
      </c>
      <c r="J160" s="6"/>
      <c r="K160" s="8" t="s">
        <v>538</v>
      </c>
      <c r="L160" s="6" t="s">
        <v>539</v>
      </c>
      <c r="M160" s="6" t="s">
        <v>105</v>
      </c>
      <c r="N160" s="6"/>
      <c r="O160" s="6" t="s">
        <v>540</v>
      </c>
      <c r="P160" s="6"/>
      <c r="Q160" s="6"/>
      <c r="R160" s="6"/>
      <c r="S160" s="6"/>
      <c r="T160" s="6"/>
      <c r="U160" s="6"/>
      <c r="V160" s="6"/>
      <c r="W160" s="6"/>
      <c r="X160" s="6"/>
      <c r="Y160" s="6"/>
      <c r="Z160" s="6"/>
      <c r="AA160" s="6"/>
    </row>
    <row r="161" ht="21" customHeight="1" spans="1:27">
      <c r="A161" s="40" t="s">
        <v>142</v>
      </c>
      <c r="B161" s="7">
        <v>45832</v>
      </c>
      <c r="C161" s="6" t="str">
        <f t="shared" si="2"/>
        <v>2025年6月</v>
      </c>
      <c r="D161" s="6" t="s">
        <v>12</v>
      </c>
      <c r="E161" s="40" t="s">
        <v>39</v>
      </c>
      <c r="F161" s="141" t="s">
        <v>541</v>
      </c>
      <c r="G161" s="61"/>
      <c r="H161" s="61"/>
      <c r="I161" s="40" t="s">
        <v>82</v>
      </c>
      <c r="J161" s="6"/>
      <c r="K161" s="8" t="s">
        <v>542</v>
      </c>
      <c r="L161" s="6" t="s">
        <v>123</v>
      </c>
      <c r="M161" s="6" t="s">
        <v>105</v>
      </c>
      <c r="N161" s="6"/>
      <c r="O161" s="6" t="s">
        <v>270</v>
      </c>
      <c r="P161" s="6"/>
      <c r="Q161" s="6"/>
      <c r="R161" s="6"/>
      <c r="S161" s="6"/>
      <c r="T161" s="6"/>
      <c r="U161" s="6"/>
      <c r="V161" s="6"/>
      <c r="W161" s="6"/>
      <c r="X161" s="6"/>
      <c r="Y161" s="6"/>
      <c r="Z161" s="6"/>
      <c r="AA161" s="6"/>
    </row>
    <row r="162" ht="21" customHeight="1" spans="1:27">
      <c r="A162" s="40" t="s">
        <v>142</v>
      </c>
      <c r="B162" s="7">
        <v>45832</v>
      </c>
      <c r="C162" s="6" t="str">
        <f t="shared" si="2"/>
        <v>2025年6月</v>
      </c>
      <c r="D162" s="6" t="s">
        <v>12</v>
      </c>
      <c r="E162" s="40" t="s">
        <v>39</v>
      </c>
      <c r="F162" s="141" t="s">
        <v>543</v>
      </c>
      <c r="G162" s="61"/>
      <c r="H162" s="61"/>
      <c r="I162" s="40" t="s">
        <v>82</v>
      </c>
      <c r="J162" s="6"/>
      <c r="K162" s="8" t="s">
        <v>544</v>
      </c>
      <c r="L162" s="6" t="s">
        <v>545</v>
      </c>
      <c r="M162" s="6" t="s">
        <v>105</v>
      </c>
      <c r="N162" s="6"/>
      <c r="O162" s="6" t="s">
        <v>546</v>
      </c>
      <c r="P162" s="6"/>
      <c r="Q162" s="6"/>
      <c r="R162" s="6"/>
      <c r="S162" s="6"/>
      <c r="T162" s="6"/>
      <c r="U162" s="6"/>
      <c r="V162" s="6"/>
      <c r="W162" s="6"/>
      <c r="X162" s="6"/>
      <c r="Y162" s="6"/>
      <c r="Z162" s="6"/>
      <c r="AA162" s="6"/>
    </row>
    <row r="163" ht="21" customHeight="1" spans="1:27">
      <c r="A163" s="40" t="s">
        <v>547</v>
      </c>
      <c r="B163" s="7">
        <v>45841</v>
      </c>
      <c r="C163" s="6" t="str">
        <f t="shared" si="2"/>
        <v>2025年7月</v>
      </c>
      <c r="D163" s="6" t="s">
        <v>11</v>
      </c>
      <c r="E163" s="40" t="s">
        <v>41</v>
      </c>
      <c r="F163" s="141" t="s">
        <v>548</v>
      </c>
      <c r="G163" s="61"/>
      <c r="H163" s="61"/>
      <c r="I163" s="40" t="s">
        <v>82</v>
      </c>
      <c r="J163" s="6"/>
      <c r="K163" s="8" t="s">
        <v>549</v>
      </c>
      <c r="L163" s="6" t="s">
        <v>550</v>
      </c>
      <c r="M163" s="6" t="s">
        <v>7</v>
      </c>
      <c r="N163" s="6"/>
      <c r="O163" s="6" t="s">
        <v>550</v>
      </c>
      <c r="P163" s="6"/>
      <c r="Q163" s="243">
        <v>45845</v>
      </c>
      <c r="R163" s="243">
        <v>45845</v>
      </c>
      <c r="S163" s="243">
        <v>45845</v>
      </c>
      <c r="T163" s="243">
        <v>45846</v>
      </c>
      <c r="U163" s="6"/>
      <c r="V163" s="6"/>
      <c r="W163" s="6"/>
      <c r="X163" s="6"/>
      <c r="Y163" s="6"/>
      <c r="Z163" s="6"/>
      <c r="AA163" s="6"/>
    </row>
    <row r="164" ht="21" customHeight="1" spans="1:27">
      <c r="A164" s="40" t="s">
        <v>207</v>
      </c>
      <c r="B164" s="7">
        <v>45846</v>
      </c>
      <c r="C164" s="6" t="str">
        <f t="shared" si="2"/>
        <v>2025年7月</v>
      </c>
      <c r="D164" s="6" t="s">
        <v>12</v>
      </c>
      <c r="E164" s="40" t="s">
        <v>39</v>
      </c>
      <c r="F164" s="141" t="s">
        <v>551</v>
      </c>
      <c r="G164" s="61"/>
      <c r="H164" s="61"/>
      <c r="I164" s="40" t="s">
        <v>82</v>
      </c>
      <c r="J164" s="6"/>
      <c r="K164" s="8" t="s">
        <v>552</v>
      </c>
      <c r="L164" s="6" t="s">
        <v>553</v>
      </c>
      <c r="M164" s="6" t="s">
        <v>105</v>
      </c>
      <c r="N164" s="6"/>
      <c r="O164" s="6" t="s">
        <v>161</v>
      </c>
      <c r="P164" s="6"/>
      <c r="Q164" s="6"/>
      <c r="R164" s="6"/>
      <c r="S164" s="6"/>
      <c r="T164" s="6"/>
      <c r="U164" s="6"/>
      <c r="V164" s="6"/>
      <c r="W164" s="6"/>
      <c r="X164" s="6"/>
      <c r="Y164" s="6"/>
      <c r="Z164" s="6"/>
      <c r="AA164" s="6"/>
    </row>
    <row r="165" ht="14" spans="1:27">
      <c r="A165" s="40" t="s">
        <v>142</v>
      </c>
      <c r="B165" s="7">
        <v>45847</v>
      </c>
      <c r="C165" s="6" t="str">
        <f t="shared" si="2"/>
        <v>2025年7月</v>
      </c>
      <c r="D165" s="6" t="s">
        <v>12</v>
      </c>
      <c r="E165" s="40" t="s">
        <v>39</v>
      </c>
      <c r="F165" s="141" t="s">
        <v>554</v>
      </c>
      <c r="G165" s="61"/>
      <c r="H165" s="61"/>
      <c r="I165" s="40" t="s">
        <v>82</v>
      </c>
      <c r="J165" s="6"/>
      <c r="K165" s="8" t="s">
        <v>555</v>
      </c>
      <c r="L165" s="6" t="s">
        <v>556</v>
      </c>
      <c r="M165" s="6" t="s">
        <v>105</v>
      </c>
      <c r="N165" s="6"/>
      <c r="O165" s="6" t="s">
        <v>120</v>
      </c>
      <c r="P165" s="6"/>
      <c r="Q165" s="6"/>
      <c r="R165" s="6"/>
      <c r="S165" s="6"/>
      <c r="T165" s="6"/>
      <c r="U165" s="6"/>
      <c r="V165" s="6"/>
      <c r="W165" s="6"/>
      <c r="X165" s="6"/>
      <c r="Y165" s="6"/>
      <c r="Z165" s="6"/>
      <c r="AA165" s="6"/>
    </row>
    <row r="166" ht="21" customHeight="1" spans="1:27">
      <c r="A166" s="40" t="s">
        <v>142</v>
      </c>
      <c r="B166" s="7">
        <v>45848</v>
      </c>
      <c r="C166" s="6" t="str">
        <f t="shared" si="2"/>
        <v>2025年7月</v>
      </c>
      <c r="D166" s="6" t="s">
        <v>12</v>
      </c>
      <c r="E166" s="40" t="s">
        <v>39</v>
      </c>
      <c r="F166" s="141" t="s">
        <v>557</v>
      </c>
      <c r="G166" s="61"/>
      <c r="H166" s="61"/>
      <c r="I166" s="40" t="s">
        <v>82</v>
      </c>
      <c r="J166" s="6"/>
      <c r="K166" s="8" t="s">
        <v>558</v>
      </c>
      <c r="L166" s="6" t="s">
        <v>559</v>
      </c>
      <c r="M166" s="6" t="s">
        <v>105</v>
      </c>
      <c r="N166" s="6"/>
      <c r="O166" s="6" t="s">
        <v>85</v>
      </c>
      <c r="P166" s="6"/>
      <c r="Q166" s="6"/>
      <c r="R166" s="6"/>
      <c r="S166" s="6"/>
      <c r="T166" s="6"/>
      <c r="U166" s="6"/>
      <c r="V166" s="6"/>
      <c r="W166" s="6"/>
      <c r="X166" s="6"/>
      <c r="Y166" s="6"/>
      <c r="Z166" s="6"/>
      <c r="AA166" s="6"/>
    </row>
    <row r="167" ht="21" customHeight="1" spans="1:27">
      <c r="A167" s="40" t="s">
        <v>142</v>
      </c>
      <c r="B167" s="7">
        <v>45848</v>
      </c>
      <c r="C167" s="6" t="str">
        <f t="shared" si="2"/>
        <v>2025年7月</v>
      </c>
      <c r="D167" s="6" t="s">
        <v>12</v>
      </c>
      <c r="E167" s="40" t="s">
        <v>39</v>
      </c>
      <c r="F167" s="141" t="s">
        <v>560</v>
      </c>
      <c r="G167" s="61"/>
      <c r="H167" s="61"/>
      <c r="I167" s="40" t="s">
        <v>82</v>
      </c>
      <c r="J167" s="6"/>
      <c r="K167" s="8" t="s">
        <v>561</v>
      </c>
      <c r="L167" s="6" t="s">
        <v>562</v>
      </c>
      <c r="M167" s="6" t="s">
        <v>105</v>
      </c>
      <c r="N167" s="6"/>
      <c r="O167" s="6" t="s">
        <v>129</v>
      </c>
      <c r="P167" s="6"/>
      <c r="Q167" s="6"/>
      <c r="R167" s="6"/>
      <c r="S167" s="6"/>
      <c r="T167" s="6"/>
      <c r="U167" s="6"/>
      <c r="V167" s="6"/>
      <c r="W167" s="6"/>
      <c r="X167" s="6"/>
      <c r="Y167" s="6"/>
      <c r="Z167" s="6"/>
      <c r="AA167" s="6"/>
    </row>
    <row r="168" ht="21" customHeight="1" spans="1:27">
      <c r="A168" s="40" t="s">
        <v>142</v>
      </c>
      <c r="B168" s="7">
        <v>45849</v>
      </c>
      <c r="C168" s="6" t="str">
        <f t="shared" si="2"/>
        <v>2025年7月</v>
      </c>
      <c r="D168" s="6" t="s">
        <v>10</v>
      </c>
      <c r="E168" s="40" t="s">
        <v>39</v>
      </c>
      <c r="F168" s="141" t="s">
        <v>563</v>
      </c>
      <c r="G168" s="61"/>
      <c r="H168" s="61"/>
      <c r="I168" s="40" t="s">
        <v>82</v>
      </c>
      <c r="J168" s="6"/>
      <c r="K168" s="8" t="s">
        <v>564</v>
      </c>
      <c r="L168" s="6" t="s">
        <v>565</v>
      </c>
      <c r="M168" s="6" t="s">
        <v>105</v>
      </c>
      <c r="N168" s="6"/>
      <c r="O168" s="6" t="s">
        <v>186</v>
      </c>
      <c r="P168" s="6"/>
      <c r="Q168" s="6"/>
      <c r="R168" s="6"/>
      <c r="S168" s="6"/>
      <c r="T168" s="6"/>
      <c r="U168" s="6"/>
      <c r="V168" s="6"/>
      <c r="W168" s="6"/>
      <c r="X168" s="6"/>
      <c r="Y168" s="6"/>
      <c r="Z168" s="6"/>
      <c r="AA168" s="6"/>
    </row>
    <row r="169" ht="21" customHeight="1" spans="1:27">
      <c r="A169" s="40" t="s">
        <v>142</v>
      </c>
      <c r="B169" s="7">
        <v>45849</v>
      </c>
      <c r="C169" s="6" t="str">
        <f t="shared" si="2"/>
        <v>2025年7月</v>
      </c>
      <c r="D169" s="6" t="s">
        <v>10</v>
      </c>
      <c r="E169" s="40" t="s">
        <v>39</v>
      </c>
      <c r="F169" s="141" t="s">
        <v>566</v>
      </c>
      <c r="G169" s="61"/>
      <c r="H169" s="61"/>
      <c r="I169" s="40" t="s">
        <v>82</v>
      </c>
      <c r="J169" s="6"/>
      <c r="K169" s="8" t="s">
        <v>567</v>
      </c>
      <c r="L169" s="6" t="s">
        <v>568</v>
      </c>
      <c r="M169" s="6" t="s">
        <v>105</v>
      </c>
      <c r="N169" s="6"/>
      <c r="O169" s="6" t="s">
        <v>97</v>
      </c>
      <c r="P169" s="6"/>
      <c r="Q169" s="6"/>
      <c r="R169" s="6"/>
      <c r="S169" s="6"/>
      <c r="T169" s="6"/>
      <c r="U169" s="6"/>
      <c r="V169" s="6"/>
      <c r="W169" s="6"/>
      <c r="X169" s="6"/>
      <c r="Y169" s="6"/>
      <c r="Z169" s="6"/>
      <c r="AA169" s="6"/>
    </row>
    <row r="170" ht="21" customHeight="1" spans="1:27">
      <c r="A170" s="40" t="s">
        <v>142</v>
      </c>
      <c r="B170" s="7">
        <v>45849</v>
      </c>
      <c r="C170" s="6" t="str">
        <f t="shared" si="2"/>
        <v>2025年7月</v>
      </c>
      <c r="D170" s="6" t="s">
        <v>10</v>
      </c>
      <c r="E170" s="40" t="s">
        <v>39</v>
      </c>
      <c r="F170" s="141" t="s">
        <v>569</v>
      </c>
      <c r="G170" s="61"/>
      <c r="H170" s="61"/>
      <c r="I170" s="40" t="s">
        <v>82</v>
      </c>
      <c r="J170" s="6"/>
      <c r="K170" s="8" t="s">
        <v>570</v>
      </c>
      <c r="L170" s="6" t="s">
        <v>571</v>
      </c>
      <c r="M170" s="6" t="s">
        <v>105</v>
      </c>
      <c r="N170" s="6"/>
      <c r="O170" s="6" t="s">
        <v>97</v>
      </c>
      <c r="P170" s="6"/>
      <c r="Q170" s="6"/>
      <c r="R170" s="6"/>
      <c r="S170" s="6"/>
      <c r="T170" s="6"/>
      <c r="U170" s="6"/>
      <c r="V170" s="6"/>
      <c r="W170" s="6"/>
      <c r="X170" s="6"/>
      <c r="Y170" s="6"/>
      <c r="Z170" s="6"/>
      <c r="AA170" s="6"/>
    </row>
    <row r="171" ht="21" customHeight="1" spans="1:27">
      <c r="A171" s="40" t="s">
        <v>142</v>
      </c>
      <c r="B171" s="7">
        <v>45849</v>
      </c>
      <c r="C171" s="6" t="str">
        <f t="shared" si="2"/>
        <v>2025年7月</v>
      </c>
      <c r="D171" s="6" t="s">
        <v>12</v>
      </c>
      <c r="E171" s="40" t="s">
        <v>47</v>
      </c>
      <c r="F171" s="141" t="s">
        <v>572</v>
      </c>
      <c r="G171" s="61"/>
      <c r="H171" s="61"/>
      <c r="I171" s="40" t="s">
        <v>82</v>
      </c>
      <c r="J171" s="6"/>
      <c r="K171" s="8" t="s">
        <v>573</v>
      </c>
      <c r="L171" s="6" t="s">
        <v>574</v>
      </c>
      <c r="M171" s="6" t="s">
        <v>105</v>
      </c>
      <c r="N171" s="6"/>
      <c r="O171" s="6" t="s">
        <v>575</v>
      </c>
      <c r="P171" s="6"/>
      <c r="Q171" s="6"/>
      <c r="R171" s="6"/>
      <c r="S171" s="6"/>
      <c r="T171" s="6"/>
      <c r="U171" s="6"/>
      <c r="V171" s="6"/>
      <c r="W171" s="6"/>
      <c r="X171" s="6"/>
      <c r="Y171" s="6"/>
      <c r="Z171" s="6"/>
      <c r="AA171" s="6"/>
    </row>
    <row r="172" ht="21" customHeight="1" spans="1:27">
      <c r="A172" s="40" t="s">
        <v>142</v>
      </c>
      <c r="B172" s="7">
        <v>45850</v>
      </c>
      <c r="C172" s="6" t="str">
        <f t="shared" si="2"/>
        <v>2025年7月</v>
      </c>
      <c r="D172" s="6" t="s">
        <v>10</v>
      </c>
      <c r="E172" s="40" t="s">
        <v>40</v>
      </c>
      <c r="F172" s="141" t="s">
        <v>576</v>
      </c>
      <c r="G172" s="61"/>
      <c r="H172" s="61"/>
      <c r="I172" s="40" t="s">
        <v>82</v>
      </c>
      <c r="J172" s="6"/>
      <c r="K172" s="8" t="s">
        <v>528</v>
      </c>
      <c r="L172" s="59" t="s">
        <v>529</v>
      </c>
      <c r="M172" s="6" t="s">
        <v>105</v>
      </c>
      <c r="N172" s="6"/>
      <c r="O172" s="6" t="s">
        <v>186</v>
      </c>
      <c r="P172" s="6" t="s">
        <v>530</v>
      </c>
      <c r="Q172" s="6"/>
      <c r="R172" s="6"/>
      <c r="S172" s="6"/>
      <c r="T172" s="6"/>
      <c r="U172" s="6"/>
      <c r="V172" s="6"/>
      <c r="W172" s="6"/>
      <c r="X172" s="6"/>
      <c r="Y172" s="6"/>
      <c r="Z172" s="6"/>
      <c r="AA172" s="6"/>
    </row>
    <row r="173" ht="21" customHeight="1" spans="1:27">
      <c r="A173" s="40" t="s">
        <v>142</v>
      </c>
      <c r="B173" s="7">
        <v>45853</v>
      </c>
      <c r="C173" s="6" t="str">
        <f t="shared" si="2"/>
        <v>2025年7月</v>
      </c>
      <c r="D173" s="6" t="s">
        <v>12</v>
      </c>
      <c r="E173" s="40" t="s">
        <v>39</v>
      </c>
      <c r="F173" s="141" t="s">
        <v>577</v>
      </c>
      <c r="G173" s="61"/>
      <c r="H173" s="61"/>
      <c r="I173" s="40" t="s">
        <v>82</v>
      </c>
      <c r="J173" s="6"/>
      <c r="K173" s="8" t="s">
        <v>451</v>
      </c>
      <c r="L173" s="6" t="s">
        <v>452</v>
      </c>
      <c r="M173" s="6" t="s">
        <v>105</v>
      </c>
      <c r="N173" s="6"/>
      <c r="O173" s="6" t="s">
        <v>179</v>
      </c>
      <c r="P173" s="6"/>
      <c r="Q173" s="6"/>
      <c r="R173" s="6"/>
      <c r="S173" s="6"/>
      <c r="T173" s="6"/>
      <c r="U173" s="6"/>
      <c r="V173" s="6"/>
      <c r="W173" s="6"/>
      <c r="X173" s="6"/>
      <c r="Y173" s="6"/>
      <c r="Z173" s="6"/>
      <c r="AA173" s="6"/>
    </row>
    <row r="174" ht="21" customHeight="1" spans="1:27">
      <c r="A174" s="40" t="s">
        <v>142</v>
      </c>
      <c r="B174" s="7">
        <v>45853</v>
      </c>
      <c r="C174" s="6" t="str">
        <f t="shared" si="2"/>
        <v>2025年7月</v>
      </c>
      <c r="D174" s="6" t="s">
        <v>12</v>
      </c>
      <c r="E174" s="40" t="s">
        <v>39</v>
      </c>
      <c r="F174" s="141" t="s">
        <v>578</v>
      </c>
      <c r="G174" s="61"/>
      <c r="H174" s="61"/>
      <c r="I174" s="40" t="s">
        <v>82</v>
      </c>
      <c r="J174" s="6"/>
      <c r="K174" s="8" t="s">
        <v>579</v>
      </c>
      <c r="L174" s="6" t="s">
        <v>580</v>
      </c>
      <c r="M174" s="6" t="s">
        <v>105</v>
      </c>
      <c r="N174" s="6"/>
      <c r="O174" s="6" t="s">
        <v>194</v>
      </c>
      <c r="P174" s="6"/>
      <c r="Q174" s="6"/>
      <c r="R174" s="6"/>
      <c r="S174" s="6"/>
      <c r="T174" s="6"/>
      <c r="U174" s="6"/>
      <c r="V174" s="6"/>
      <c r="W174" s="6"/>
      <c r="X174" s="6"/>
      <c r="Y174" s="6"/>
      <c r="Z174" s="6"/>
      <c r="AA174" s="6"/>
    </row>
    <row r="175" ht="21" customHeight="1" spans="1:27">
      <c r="A175" s="40" t="s">
        <v>142</v>
      </c>
      <c r="B175" s="7">
        <v>45853</v>
      </c>
      <c r="C175" s="6" t="str">
        <f t="shared" si="2"/>
        <v>2025年7月</v>
      </c>
      <c r="D175" s="6" t="s">
        <v>10</v>
      </c>
      <c r="E175" s="40" t="s">
        <v>39</v>
      </c>
      <c r="F175" s="141" t="s">
        <v>581</v>
      </c>
      <c r="G175" s="61"/>
      <c r="H175" s="61"/>
      <c r="I175" s="40" t="s">
        <v>82</v>
      </c>
      <c r="J175" s="6"/>
      <c r="K175" s="8" t="s">
        <v>582</v>
      </c>
      <c r="L175" s="6" t="s">
        <v>583</v>
      </c>
      <c r="M175" s="6" t="s">
        <v>105</v>
      </c>
      <c r="N175" s="6"/>
      <c r="O175" s="6" t="s">
        <v>261</v>
      </c>
      <c r="P175" s="6"/>
      <c r="Q175" s="6"/>
      <c r="R175" s="6"/>
      <c r="S175" s="6"/>
      <c r="T175" s="6"/>
      <c r="U175" s="6"/>
      <c r="V175" s="6"/>
      <c r="W175" s="6"/>
      <c r="X175" s="6"/>
      <c r="Y175" s="6"/>
      <c r="Z175" s="6"/>
      <c r="AA175" s="6"/>
    </row>
    <row r="176" ht="14" spans="1:27">
      <c r="A176" s="40" t="s">
        <v>584</v>
      </c>
      <c r="B176" s="7">
        <v>45853</v>
      </c>
      <c r="C176" s="6" t="str">
        <f t="shared" si="2"/>
        <v>2025年7月</v>
      </c>
      <c r="D176" s="6" t="s">
        <v>12</v>
      </c>
      <c r="E176" s="40" t="s">
        <v>39</v>
      </c>
      <c r="F176" s="141" t="s">
        <v>585</v>
      </c>
      <c r="G176" s="61"/>
      <c r="H176" s="61"/>
      <c r="I176" s="40" t="s">
        <v>82</v>
      </c>
      <c r="J176" s="6"/>
      <c r="K176" s="8" t="s">
        <v>586</v>
      </c>
      <c r="L176" s="6" t="s">
        <v>587</v>
      </c>
      <c r="M176" s="6" t="s">
        <v>105</v>
      </c>
      <c r="N176" s="6"/>
      <c r="O176" s="6" t="s">
        <v>168</v>
      </c>
      <c r="P176" s="6"/>
      <c r="Q176" s="6"/>
      <c r="R176" s="6"/>
      <c r="S176" s="6"/>
      <c r="T176" s="6"/>
      <c r="U176" s="6"/>
      <c r="V176" s="6"/>
      <c r="W176" s="6"/>
      <c r="X176" s="6"/>
      <c r="Y176" s="6"/>
      <c r="Z176" s="6"/>
      <c r="AA176" s="6"/>
    </row>
    <row r="177" ht="14" spans="1:27">
      <c r="A177" s="40" t="s">
        <v>588</v>
      </c>
      <c r="B177" s="7">
        <v>45854</v>
      </c>
      <c r="C177" s="6" t="str">
        <f t="shared" si="2"/>
        <v>2025年7月</v>
      </c>
      <c r="D177" s="6" t="s">
        <v>11</v>
      </c>
      <c r="E177" s="40" t="s">
        <v>41</v>
      </c>
      <c r="F177" s="141" t="s">
        <v>589</v>
      </c>
      <c r="G177" s="61"/>
      <c r="H177" s="61"/>
      <c r="I177" s="40" t="s">
        <v>82</v>
      </c>
      <c r="J177" s="6"/>
      <c r="K177" s="8" t="s">
        <v>590</v>
      </c>
      <c r="L177" s="6" t="s">
        <v>591</v>
      </c>
      <c r="M177" s="6" t="s">
        <v>7</v>
      </c>
      <c r="N177" s="6"/>
      <c r="O177" s="6" t="s">
        <v>120</v>
      </c>
      <c r="P177" s="6"/>
      <c r="Q177" s="243">
        <v>45855</v>
      </c>
      <c r="R177" s="243">
        <v>45855</v>
      </c>
      <c r="S177" s="243">
        <v>45856</v>
      </c>
      <c r="T177" s="243">
        <v>45856</v>
      </c>
      <c r="U177" s="6"/>
      <c r="V177" s="6"/>
      <c r="W177" s="6"/>
      <c r="X177" s="6"/>
      <c r="Y177" s="6"/>
      <c r="Z177" s="6"/>
      <c r="AA177" s="6"/>
    </row>
    <row r="178" ht="14" spans="1:27">
      <c r="A178" s="40" t="s">
        <v>142</v>
      </c>
      <c r="B178" s="7">
        <v>45854</v>
      </c>
      <c r="C178" s="6" t="str">
        <f t="shared" si="2"/>
        <v>2025年7月</v>
      </c>
      <c r="D178" s="6" t="s">
        <v>12</v>
      </c>
      <c r="E178" s="40" t="s">
        <v>39</v>
      </c>
      <c r="F178" s="141" t="s">
        <v>592</v>
      </c>
      <c r="G178" s="61"/>
      <c r="H178" s="61"/>
      <c r="I178" s="40" t="s">
        <v>82</v>
      </c>
      <c r="J178" s="6"/>
      <c r="K178" s="8" t="s">
        <v>593</v>
      </c>
      <c r="L178" s="8" t="s">
        <v>594</v>
      </c>
      <c r="M178" s="6" t="s">
        <v>105</v>
      </c>
      <c r="N178" s="6"/>
      <c r="O178" s="6" t="s">
        <v>346</v>
      </c>
      <c r="P178" s="6"/>
      <c r="Q178" s="6"/>
      <c r="R178" s="6"/>
      <c r="S178" s="6"/>
      <c r="T178" s="6"/>
      <c r="U178" s="6"/>
      <c r="V178" s="6"/>
      <c r="W178" s="6"/>
      <c r="X178" s="6"/>
      <c r="Y178" s="6"/>
      <c r="Z178" s="6"/>
      <c r="AA178" s="6"/>
    </row>
    <row r="179" ht="21" customHeight="1" spans="1:27">
      <c r="A179" s="40" t="s">
        <v>142</v>
      </c>
      <c r="B179" s="7">
        <v>45854</v>
      </c>
      <c r="C179" s="6" t="str">
        <f t="shared" si="2"/>
        <v>2025年7月</v>
      </c>
      <c r="D179" s="6" t="s">
        <v>10</v>
      </c>
      <c r="E179" s="40" t="s">
        <v>39</v>
      </c>
      <c r="F179" s="141" t="s">
        <v>595</v>
      </c>
      <c r="G179" s="61"/>
      <c r="H179" s="61"/>
      <c r="I179" s="40" t="s">
        <v>82</v>
      </c>
      <c r="J179" s="6"/>
      <c r="K179" s="8" t="s">
        <v>518</v>
      </c>
      <c r="L179" s="6" t="s">
        <v>519</v>
      </c>
      <c r="M179" s="6" t="s">
        <v>105</v>
      </c>
      <c r="N179" s="6"/>
      <c r="O179" s="6" t="s">
        <v>111</v>
      </c>
      <c r="P179" s="6"/>
      <c r="Q179" s="6"/>
      <c r="R179" s="6"/>
      <c r="S179" s="6"/>
      <c r="T179" s="6"/>
      <c r="U179" s="6"/>
      <c r="V179" s="6"/>
      <c r="W179" s="6"/>
      <c r="X179" s="6"/>
      <c r="Y179" s="6"/>
      <c r="Z179" s="6"/>
      <c r="AA179" s="6"/>
    </row>
    <row r="180" ht="21" customHeight="1" spans="1:27">
      <c r="A180" s="40" t="s">
        <v>547</v>
      </c>
      <c r="B180" s="7">
        <v>45856</v>
      </c>
      <c r="C180" s="6" t="str">
        <f t="shared" si="2"/>
        <v>2025年7月</v>
      </c>
      <c r="D180" s="6" t="s">
        <v>11</v>
      </c>
      <c r="E180" s="40" t="s">
        <v>41</v>
      </c>
      <c r="F180" s="141" t="s">
        <v>596</v>
      </c>
      <c r="G180" s="61"/>
      <c r="H180" s="61"/>
      <c r="I180" s="40" t="s">
        <v>422</v>
      </c>
      <c r="J180" s="6"/>
      <c r="K180" s="8" t="s">
        <v>597</v>
      </c>
      <c r="L180" s="6" t="s">
        <v>598</v>
      </c>
      <c r="M180" s="6" t="s">
        <v>7</v>
      </c>
      <c r="N180" s="6"/>
      <c r="O180" s="6" t="s">
        <v>599</v>
      </c>
      <c r="P180" s="6"/>
      <c r="Q180" s="243">
        <v>45856</v>
      </c>
      <c r="R180" s="243">
        <v>45859</v>
      </c>
      <c r="S180" s="243"/>
      <c r="T180" s="6"/>
      <c r="U180" s="6"/>
      <c r="V180" s="6"/>
      <c r="W180" s="6"/>
      <c r="X180" s="6"/>
      <c r="Y180" s="6"/>
      <c r="Z180" s="6"/>
      <c r="AA180" s="6"/>
    </row>
    <row r="181" ht="21" customHeight="1" spans="1:27">
      <c r="A181" s="40" t="s">
        <v>207</v>
      </c>
      <c r="B181" s="7">
        <v>45856</v>
      </c>
      <c r="C181" s="6" t="str">
        <f t="shared" si="2"/>
        <v>2025年7月</v>
      </c>
      <c r="D181" s="6" t="s">
        <v>12</v>
      </c>
      <c r="E181" s="40" t="s">
        <v>39</v>
      </c>
      <c r="F181" s="141" t="s">
        <v>600</v>
      </c>
      <c r="G181" s="61"/>
      <c r="H181" s="61"/>
      <c r="I181" s="40" t="s">
        <v>82</v>
      </c>
      <c r="J181" s="6"/>
      <c r="K181" s="8" t="s">
        <v>601</v>
      </c>
      <c r="L181" s="6" t="s">
        <v>222</v>
      </c>
      <c r="M181" s="6" t="s">
        <v>105</v>
      </c>
      <c r="N181" s="6"/>
      <c r="O181" s="6" t="s">
        <v>261</v>
      </c>
      <c r="P181" s="6"/>
      <c r="Q181" s="6"/>
      <c r="R181" s="6"/>
      <c r="S181" s="6"/>
      <c r="T181" s="6"/>
      <c r="U181" s="6"/>
      <c r="V181" s="6"/>
      <c r="W181" s="6"/>
      <c r="X181" s="6"/>
      <c r="Y181" s="6"/>
      <c r="Z181" s="6"/>
      <c r="AA181" s="6"/>
    </row>
    <row r="182" ht="14" spans="1:27">
      <c r="A182" s="40" t="s">
        <v>142</v>
      </c>
      <c r="B182" s="7">
        <v>45861</v>
      </c>
      <c r="C182" s="6" t="str">
        <f>YEAR(B182)&amp;"年"&amp;MONTH(B182)&amp;"月"</f>
        <v>2025年7月</v>
      </c>
      <c r="D182" s="6" t="s">
        <v>10</v>
      </c>
      <c r="E182" s="40" t="s">
        <v>39</v>
      </c>
      <c r="F182" s="141" t="s">
        <v>602</v>
      </c>
      <c r="G182" s="61"/>
      <c r="H182" s="61"/>
      <c r="I182" s="40" t="s">
        <v>82</v>
      </c>
      <c r="J182" s="6"/>
      <c r="K182" s="8" t="s">
        <v>348</v>
      </c>
      <c r="L182" s="6" t="s">
        <v>349</v>
      </c>
      <c r="M182" s="6" t="s">
        <v>105</v>
      </c>
      <c r="N182" s="6"/>
      <c r="O182" s="6" t="s">
        <v>111</v>
      </c>
      <c r="P182" s="6"/>
      <c r="Q182" s="6"/>
      <c r="R182" s="6"/>
      <c r="S182" s="6"/>
      <c r="T182" s="6"/>
      <c r="U182" s="6"/>
      <c r="V182" s="6"/>
      <c r="W182" s="6"/>
      <c r="X182" s="6"/>
      <c r="Y182" s="6"/>
      <c r="Z182" s="6"/>
      <c r="AA182" s="6"/>
    </row>
    <row r="183" ht="21" customHeight="1" spans="1:27">
      <c r="A183" s="40" t="s">
        <v>142</v>
      </c>
      <c r="B183" s="7">
        <v>45862</v>
      </c>
      <c r="C183" s="6" t="str">
        <f>YEAR(B183)&amp;"年"&amp;MONTH(B183)&amp;"月"</f>
        <v>2025年7月</v>
      </c>
      <c r="D183" s="6" t="s">
        <v>12</v>
      </c>
      <c r="E183" s="40" t="s">
        <v>39</v>
      </c>
      <c r="F183" s="141" t="s">
        <v>603</v>
      </c>
      <c r="G183" s="61"/>
      <c r="H183" s="61"/>
      <c r="I183" s="40" t="s">
        <v>82</v>
      </c>
      <c r="J183" s="6"/>
      <c r="K183" s="8" t="s">
        <v>604</v>
      </c>
      <c r="L183" s="6" t="s">
        <v>605</v>
      </c>
      <c r="M183" s="6" t="s">
        <v>105</v>
      </c>
      <c r="N183" s="6"/>
      <c r="O183" s="6" t="s">
        <v>186</v>
      </c>
      <c r="P183" s="6"/>
      <c r="Q183" s="6"/>
      <c r="R183" s="6"/>
      <c r="S183" s="6"/>
      <c r="T183" s="6"/>
      <c r="U183" s="6"/>
      <c r="V183" s="6"/>
      <c r="W183" s="6"/>
      <c r="X183" s="6"/>
      <c r="Y183" s="6"/>
      <c r="Z183" s="6"/>
      <c r="AA183" s="6"/>
    </row>
    <row r="184" ht="14" spans="1:27">
      <c r="A184" s="40" t="s">
        <v>207</v>
      </c>
      <c r="B184" s="7">
        <v>45866</v>
      </c>
      <c r="C184" s="6" t="str">
        <f>YEAR(B184)&amp;"年"&amp;MONTH(B184)&amp;"月"</f>
        <v>2025年7月</v>
      </c>
      <c r="D184" s="6" t="s">
        <v>12</v>
      </c>
      <c r="E184" s="40" t="s">
        <v>39</v>
      </c>
      <c r="F184" s="141" t="s">
        <v>606</v>
      </c>
      <c r="G184" s="109"/>
      <c r="H184" s="61"/>
      <c r="I184" s="40" t="s">
        <v>82</v>
      </c>
      <c r="J184" s="6"/>
      <c r="K184" s="8" t="s">
        <v>607</v>
      </c>
      <c r="L184" s="6" t="s">
        <v>608</v>
      </c>
      <c r="M184" s="6" t="s">
        <v>105</v>
      </c>
      <c r="N184" s="6"/>
      <c r="O184" s="6" t="s">
        <v>89</v>
      </c>
      <c r="P184" s="6"/>
      <c r="Q184" s="6"/>
      <c r="R184" s="6"/>
      <c r="S184" s="6"/>
      <c r="T184" s="6"/>
      <c r="U184" s="6"/>
      <c r="V184" s="6"/>
      <c r="W184" s="6"/>
      <c r="X184" s="6"/>
      <c r="Y184" s="6"/>
      <c r="Z184" s="6"/>
      <c r="AA184" s="6"/>
    </row>
    <row r="185" ht="21" customHeight="1" spans="1:27">
      <c r="A185" s="40" t="s">
        <v>547</v>
      </c>
      <c r="B185" s="7">
        <v>45873</v>
      </c>
      <c r="C185" s="6" t="str">
        <f>YEAR(B185)&amp;"年"&amp;MONTH(B185)&amp;"月"</f>
        <v>2025年8月</v>
      </c>
      <c r="D185" s="6" t="s">
        <v>11</v>
      </c>
      <c r="E185" s="40" t="s">
        <v>41</v>
      </c>
      <c r="F185" s="141" t="s">
        <v>609</v>
      </c>
      <c r="G185" s="61"/>
      <c r="H185" s="61"/>
      <c r="I185" s="40" t="s">
        <v>82</v>
      </c>
      <c r="J185" s="6"/>
      <c r="K185" s="8" t="s">
        <v>610</v>
      </c>
      <c r="L185" s="6" t="s">
        <v>611</v>
      </c>
      <c r="M185" s="6" t="s">
        <v>7</v>
      </c>
      <c r="N185" s="6"/>
      <c r="O185" s="6" t="s">
        <v>146</v>
      </c>
      <c r="P185" s="6"/>
      <c r="Q185" s="7">
        <v>45876</v>
      </c>
      <c r="R185" s="7">
        <v>45882</v>
      </c>
      <c r="S185" s="7">
        <v>45882</v>
      </c>
      <c r="T185" s="7">
        <v>45883</v>
      </c>
      <c r="U185" s="6"/>
      <c r="V185" s="6"/>
      <c r="W185" s="6"/>
      <c r="X185" s="6"/>
      <c r="Y185" s="6"/>
      <c r="Z185" s="6"/>
      <c r="AA185" s="6"/>
    </row>
    <row r="186" ht="21" customHeight="1" spans="1:27">
      <c r="A186" s="40" t="s">
        <v>207</v>
      </c>
      <c r="B186" s="7">
        <v>45873</v>
      </c>
      <c r="C186" s="6" t="str">
        <f>YEAR(B186)&amp;"年"&amp;MONTH(B186)&amp;"月"</f>
        <v>2025年8月</v>
      </c>
      <c r="D186" s="6" t="s">
        <v>12</v>
      </c>
      <c r="E186" s="40" t="s">
        <v>39</v>
      </c>
      <c r="F186" s="141" t="s">
        <v>612</v>
      </c>
      <c r="G186" s="61"/>
      <c r="H186" s="61"/>
      <c r="I186" s="40" t="s">
        <v>82</v>
      </c>
      <c r="J186" s="6"/>
      <c r="K186" s="8" t="s">
        <v>613</v>
      </c>
      <c r="L186" s="6" t="s">
        <v>614</v>
      </c>
      <c r="M186" s="6" t="s">
        <v>105</v>
      </c>
      <c r="N186" s="6"/>
      <c r="O186" s="6" t="s">
        <v>168</v>
      </c>
      <c r="P186" s="6"/>
      <c r="Q186" s="6"/>
      <c r="R186" s="6"/>
      <c r="S186" s="6"/>
      <c r="T186" s="6"/>
      <c r="U186" s="6"/>
      <c r="V186" s="6"/>
      <c r="W186" s="6"/>
      <c r="X186" s="6"/>
      <c r="Y186" s="6"/>
      <c r="Z186" s="6"/>
      <c r="AA186" s="6"/>
    </row>
    <row r="187" ht="21" customHeight="1" spans="1:27">
      <c r="A187" s="10"/>
      <c r="B187" s="10"/>
      <c r="C187" s="10"/>
      <c r="D187" s="10"/>
      <c r="E187" s="40"/>
      <c r="F187" s="10"/>
      <c r="G187" s="61"/>
      <c r="H187" s="61"/>
      <c r="I187" s="40"/>
      <c r="J187" s="6"/>
      <c r="K187" s="8" t="s">
        <v>451</v>
      </c>
      <c r="L187" s="6" t="s">
        <v>452</v>
      </c>
      <c r="M187" s="10"/>
      <c r="N187" s="6"/>
      <c r="O187" s="6" t="s">
        <v>179</v>
      </c>
      <c r="P187" s="6"/>
      <c r="Q187" s="6"/>
      <c r="R187" s="6"/>
      <c r="S187" s="6"/>
      <c r="T187" s="6"/>
      <c r="U187" s="6"/>
      <c r="V187" s="6"/>
      <c r="W187" s="6"/>
      <c r="X187" s="6"/>
      <c r="Y187" s="6"/>
      <c r="Z187" s="6"/>
      <c r="AA187" s="6"/>
    </row>
    <row r="188" ht="21" customHeight="1" spans="1:27">
      <c r="A188" s="40" t="s">
        <v>142</v>
      </c>
      <c r="B188" s="7">
        <v>45875</v>
      </c>
      <c r="C188" s="6" t="str">
        <f t="shared" ref="C188:C216" si="3">YEAR(B188)&amp;"年"&amp;MONTH(B188)&amp;"月"</f>
        <v>2025年8月</v>
      </c>
      <c r="D188" s="6" t="s">
        <v>10</v>
      </c>
      <c r="E188" s="40" t="s">
        <v>39</v>
      </c>
      <c r="F188" s="141" t="s">
        <v>615</v>
      </c>
      <c r="G188" s="61"/>
      <c r="H188" s="61"/>
      <c r="I188" s="40" t="s">
        <v>82</v>
      </c>
      <c r="J188" s="6"/>
      <c r="K188" s="8" t="s">
        <v>616</v>
      </c>
      <c r="L188" s="6" t="s">
        <v>617</v>
      </c>
      <c r="M188" s="6" t="s">
        <v>105</v>
      </c>
      <c r="N188" s="6"/>
      <c r="O188" s="6" t="s">
        <v>194</v>
      </c>
      <c r="P188" s="6"/>
      <c r="Q188" s="6"/>
      <c r="R188" s="6"/>
      <c r="S188" s="6"/>
      <c r="T188" s="6"/>
      <c r="U188" s="6"/>
      <c r="V188" s="6"/>
      <c r="W188" s="6"/>
      <c r="X188" s="6"/>
      <c r="Y188" s="6"/>
      <c r="Z188" s="6"/>
      <c r="AA188" s="6"/>
    </row>
    <row r="189" ht="21" customHeight="1" spans="1:27">
      <c r="A189" s="40" t="s">
        <v>547</v>
      </c>
      <c r="B189" s="7">
        <v>45875</v>
      </c>
      <c r="C189" s="6" t="str">
        <f t="shared" si="3"/>
        <v>2025年8月</v>
      </c>
      <c r="D189" s="6" t="s">
        <v>11</v>
      </c>
      <c r="E189" s="40" t="s">
        <v>41</v>
      </c>
      <c r="F189" s="141" t="s">
        <v>618</v>
      </c>
      <c r="G189" s="61"/>
      <c r="H189" s="61"/>
      <c r="I189" s="40" t="s">
        <v>422</v>
      </c>
      <c r="J189" s="6"/>
      <c r="K189" s="8" t="s">
        <v>619</v>
      </c>
      <c r="L189" s="6" t="s">
        <v>620</v>
      </c>
      <c r="M189" s="6" t="s">
        <v>7</v>
      </c>
      <c r="N189" s="6"/>
      <c r="O189" s="6" t="s">
        <v>94</v>
      </c>
      <c r="P189" s="6"/>
      <c r="Q189" s="7">
        <v>45877</v>
      </c>
      <c r="R189" s="6"/>
      <c r="S189" s="6"/>
      <c r="T189" s="6"/>
      <c r="U189" s="6"/>
      <c r="V189" s="6"/>
      <c r="W189" s="6"/>
      <c r="X189" s="6"/>
      <c r="Y189" s="6"/>
      <c r="Z189" s="6"/>
      <c r="AA189" s="6"/>
    </row>
    <row r="190" ht="28" spans="1:27">
      <c r="A190" s="40" t="s">
        <v>207</v>
      </c>
      <c r="B190" s="7">
        <v>45881</v>
      </c>
      <c r="C190" s="6" t="str">
        <f t="shared" si="3"/>
        <v>2025年8月</v>
      </c>
      <c r="D190" s="6" t="s">
        <v>12</v>
      </c>
      <c r="E190" s="40" t="s">
        <v>39</v>
      </c>
      <c r="F190" s="140" t="s">
        <v>621</v>
      </c>
      <c r="G190" s="61"/>
      <c r="H190" s="61"/>
      <c r="I190" s="40" t="s">
        <v>82</v>
      </c>
      <c r="J190" s="6"/>
      <c r="K190" s="8" t="s">
        <v>622</v>
      </c>
      <c r="L190" s="6" t="s">
        <v>623</v>
      </c>
      <c r="M190" s="6" t="s">
        <v>105</v>
      </c>
      <c r="N190" s="6"/>
      <c r="O190" s="6" t="s">
        <v>261</v>
      </c>
      <c r="P190" s="6"/>
      <c r="Q190" s="6"/>
      <c r="R190" s="6"/>
      <c r="S190" s="6"/>
      <c r="T190" s="6"/>
      <c r="U190" s="6"/>
      <c r="V190" s="6"/>
      <c r="W190" s="6"/>
      <c r="X190" s="6"/>
      <c r="Y190" s="6"/>
      <c r="Z190" s="6"/>
      <c r="AA190" s="6"/>
    </row>
    <row r="191" ht="21" customHeight="1" spans="1:27">
      <c r="A191" s="40" t="s">
        <v>207</v>
      </c>
      <c r="B191" s="7">
        <v>45882</v>
      </c>
      <c r="C191" s="6" t="str">
        <f t="shared" si="3"/>
        <v>2025年8月</v>
      </c>
      <c r="D191" s="6" t="s">
        <v>12</v>
      </c>
      <c r="E191" s="40" t="s">
        <v>39</v>
      </c>
      <c r="F191" s="141" t="s">
        <v>624</v>
      </c>
      <c r="G191" s="61"/>
      <c r="H191" s="61"/>
      <c r="I191" s="40" t="s">
        <v>82</v>
      </c>
      <c r="J191" s="6"/>
      <c r="K191" s="8" t="s">
        <v>625</v>
      </c>
      <c r="L191" s="6" t="s">
        <v>626</v>
      </c>
      <c r="M191" s="6" t="s">
        <v>105</v>
      </c>
      <c r="N191" s="6"/>
      <c r="O191" s="6" t="s">
        <v>179</v>
      </c>
      <c r="P191" s="6"/>
      <c r="Q191" s="6"/>
      <c r="R191" s="6"/>
      <c r="S191" s="6"/>
      <c r="T191" s="6"/>
      <c r="U191" s="6"/>
      <c r="V191" s="6"/>
      <c r="W191" s="6"/>
      <c r="X191" s="6"/>
      <c r="Y191" s="6"/>
      <c r="Z191" s="6"/>
      <c r="AA191" s="6"/>
    </row>
    <row r="192" ht="21" customHeight="1" spans="1:27">
      <c r="A192" s="40" t="s">
        <v>207</v>
      </c>
      <c r="B192" s="7">
        <v>45887</v>
      </c>
      <c r="C192" s="6" t="str">
        <f t="shared" si="3"/>
        <v>2025年8月</v>
      </c>
      <c r="D192" s="6" t="s">
        <v>12</v>
      </c>
      <c r="E192" s="40" t="s">
        <v>39</v>
      </c>
      <c r="F192" s="141" t="s">
        <v>627</v>
      </c>
      <c r="G192" s="61"/>
      <c r="H192" s="61"/>
      <c r="I192" s="40" t="s">
        <v>82</v>
      </c>
      <c r="J192" s="6"/>
      <c r="K192" s="8" t="s">
        <v>628</v>
      </c>
      <c r="L192" s="6" t="s">
        <v>629</v>
      </c>
      <c r="M192" s="6" t="s">
        <v>105</v>
      </c>
      <c r="N192" s="6"/>
      <c r="O192" s="6" t="s">
        <v>136</v>
      </c>
      <c r="P192" s="6"/>
      <c r="Q192" s="6"/>
      <c r="R192" s="6"/>
      <c r="S192" s="6"/>
      <c r="T192" s="6"/>
      <c r="U192" s="6"/>
      <c r="V192" s="6"/>
      <c r="W192" s="6"/>
      <c r="X192" s="6"/>
      <c r="Y192" s="6"/>
      <c r="Z192" s="6"/>
      <c r="AA192" s="6"/>
    </row>
    <row r="193" ht="21" customHeight="1" spans="1:27">
      <c r="A193" s="40" t="s">
        <v>207</v>
      </c>
      <c r="B193" s="7">
        <v>45887</v>
      </c>
      <c r="C193" s="6" t="str">
        <f t="shared" si="3"/>
        <v>2025年8月</v>
      </c>
      <c r="D193" s="6" t="s">
        <v>12</v>
      </c>
      <c r="E193" s="40" t="s">
        <v>39</v>
      </c>
      <c r="F193" s="141" t="s">
        <v>630</v>
      </c>
      <c r="G193" s="61"/>
      <c r="H193" s="61"/>
      <c r="I193" s="40" t="s">
        <v>82</v>
      </c>
      <c r="J193" s="6"/>
      <c r="K193" s="8" t="s">
        <v>130</v>
      </c>
      <c r="L193" s="6" t="s">
        <v>131</v>
      </c>
      <c r="M193" s="6" t="s">
        <v>105</v>
      </c>
      <c r="N193" s="6"/>
      <c r="O193" s="6" t="s">
        <v>97</v>
      </c>
      <c r="P193" s="6"/>
      <c r="Q193" s="6"/>
      <c r="R193" s="6"/>
      <c r="S193" s="6"/>
      <c r="T193" s="6"/>
      <c r="U193" s="6"/>
      <c r="V193" s="6"/>
      <c r="W193" s="6"/>
      <c r="X193" s="6"/>
      <c r="Y193" s="6"/>
      <c r="Z193" s="6"/>
      <c r="AA193" s="6"/>
    </row>
    <row r="194" ht="14" spans="1:27">
      <c r="A194" s="40" t="s">
        <v>584</v>
      </c>
      <c r="B194" s="7">
        <v>45888</v>
      </c>
      <c r="C194" s="6" t="str">
        <f t="shared" si="3"/>
        <v>2025年8月</v>
      </c>
      <c r="D194" s="6" t="s">
        <v>12</v>
      </c>
      <c r="E194" s="40" t="s">
        <v>39</v>
      </c>
      <c r="F194" s="141" t="s">
        <v>631</v>
      </c>
      <c r="G194" s="61"/>
      <c r="H194" s="61"/>
      <c r="I194" s="40" t="s">
        <v>82</v>
      </c>
      <c r="J194" s="6"/>
      <c r="K194" s="8" t="s">
        <v>632</v>
      </c>
      <c r="L194" s="6" t="s">
        <v>633</v>
      </c>
      <c r="M194" s="6" t="s">
        <v>105</v>
      </c>
      <c r="N194" s="6"/>
      <c r="O194" s="6" t="s">
        <v>136</v>
      </c>
      <c r="P194" s="6"/>
      <c r="Q194" s="6"/>
      <c r="R194" s="6"/>
      <c r="S194" s="6"/>
      <c r="T194" s="6"/>
      <c r="U194" s="6"/>
      <c r="V194" s="6"/>
      <c r="W194" s="6"/>
      <c r="X194" s="6"/>
      <c r="Y194" s="6"/>
      <c r="Z194" s="6"/>
      <c r="AA194" s="6"/>
    </row>
    <row r="195" ht="21" customHeight="1" spans="1:27">
      <c r="A195" s="40" t="s">
        <v>547</v>
      </c>
      <c r="B195" s="7">
        <v>45888</v>
      </c>
      <c r="C195" s="6" t="str">
        <f t="shared" si="3"/>
        <v>2025年8月</v>
      </c>
      <c r="D195" s="6" t="s">
        <v>11</v>
      </c>
      <c r="E195" s="40" t="s">
        <v>41</v>
      </c>
      <c r="F195" s="141" t="s">
        <v>634</v>
      </c>
      <c r="G195" s="61"/>
      <c r="H195" s="61"/>
      <c r="I195" s="40" t="s">
        <v>422</v>
      </c>
      <c r="J195" s="6"/>
      <c r="K195" s="8" t="s">
        <v>635</v>
      </c>
      <c r="L195" s="6" t="s">
        <v>636</v>
      </c>
      <c r="M195" s="6" t="s">
        <v>7</v>
      </c>
      <c r="N195" s="6"/>
      <c r="O195" s="6" t="s">
        <v>540</v>
      </c>
      <c r="P195" s="6"/>
      <c r="Q195" s="6"/>
      <c r="R195" s="6"/>
      <c r="S195" s="6"/>
      <c r="T195" s="6"/>
      <c r="U195" s="6"/>
      <c r="V195" s="6"/>
      <c r="W195" s="6"/>
      <c r="X195" s="6"/>
      <c r="Y195" s="6"/>
      <c r="Z195" s="6"/>
      <c r="AA195" s="6"/>
    </row>
    <row r="196" ht="21" customHeight="1" spans="1:27">
      <c r="A196" s="40" t="s">
        <v>547</v>
      </c>
      <c r="B196" s="7">
        <v>45888</v>
      </c>
      <c r="C196" s="6" t="str">
        <f t="shared" si="3"/>
        <v>2025年8月</v>
      </c>
      <c r="D196" s="6" t="s">
        <v>11</v>
      </c>
      <c r="E196" s="40" t="s">
        <v>41</v>
      </c>
      <c r="F196" s="141" t="s">
        <v>637</v>
      </c>
      <c r="G196" s="61"/>
      <c r="H196" s="61"/>
      <c r="I196" s="40" t="s">
        <v>82</v>
      </c>
      <c r="J196" s="6"/>
      <c r="K196" s="244" t="s">
        <v>638</v>
      </c>
      <c r="L196" s="6" t="s">
        <v>639</v>
      </c>
      <c r="M196" s="6" t="s">
        <v>7</v>
      </c>
      <c r="N196" s="6"/>
      <c r="O196" s="6" t="s">
        <v>179</v>
      </c>
      <c r="P196" s="6"/>
      <c r="Q196" s="6"/>
      <c r="R196" s="6"/>
      <c r="S196" s="6"/>
      <c r="T196" s="6"/>
      <c r="U196" s="6"/>
      <c r="V196" s="6"/>
      <c r="W196" s="6"/>
      <c r="X196" s="6"/>
      <c r="Y196" s="6"/>
      <c r="Z196" s="6"/>
      <c r="AA196" s="6"/>
    </row>
    <row r="197" ht="21" customHeight="1" spans="1:27">
      <c r="A197" s="40" t="s">
        <v>142</v>
      </c>
      <c r="B197" s="7">
        <v>45888</v>
      </c>
      <c r="C197" s="6" t="str">
        <f t="shared" si="3"/>
        <v>2025年8月</v>
      </c>
      <c r="D197" s="6" t="s">
        <v>12</v>
      </c>
      <c r="E197" s="40" t="s">
        <v>39</v>
      </c>
      <c r="F197" s="141" t="s">
        <v>640</v>
      </c>
      <c r="G197" s="61"/>
      <c r="H197" s="61"/>
      <c r="I197" s="40" t="s">
        <v>82</v>
      </c>
      <c r="J197" s="6"/>
      <c r="K197" s="8" t="s">
        <v>641</v>
      </c>
      <c r="L197" s="6" t="s">
        <v>642</v>
      </c>
      <c r="M197" s="6" t="s">
        <v>105</v>
      </c>
      <c r="N197" s="6"/>
      <c r="O197" s="6" t="s">
        <v>161</v>
      </c>
      <c r="P197" s="6"/>
      <c r="Q197" s="6"/>
      <c r="R197" s="6"/>
      <c r="S197" s="6"/>
      <c r="T197" s="6"/>
      <c r="U197" s="6"/>
      <c r="V197" s="6"/>
      <c r="W197" s="6"/>
      <c r="X197" s="6"/>
      <c r="Y197" s="6"/>
      <c r="Z197" s="6"/>
      <c r="AA197" s="6"/>
    </row>
    <row r="198" ht="21" customHeight="1" spans="1:27">
      <c r="A198" s="40" t="s">
        <v>207</v>
      </c>
      <c r="B198" s="7">
        <v>45890</v>
      </c>
      <c r="C198" s="6" t="str">
        <f t="shared" si="3"/>
        <v>2025年8月</v>
      </c>
      <c r="D198" s="6" t="s">
        <v>12</v>
      </c>
      <c r="E198" s="40" t="s">
        <v>39</v>
      </c>
      <c r="F198" s="141" t="s">
        <v>643</v>
      </c>
      <c r="G198" s="61"/>
      <c r="H198" s="61"/>
      <c r="I198" s="40" t="s">
        <v>82</v>
      </c>
      <c r="J198" s="6"/>
      <c r="K198" s="8" t="s">
        <v>644</v>
      </c>
      <c r="L198" s="6" t="s">
        <v>645</v>
      </c>
      <c r="M198" s="6" t="s">
        <v>105</v>
      </c>
      <c r="N198" s="6"/>
      <c r="O198" s="6" t="s">
        <v>85</v>
      </c>
      <c r="P198" s="6"/>
      <c r="Q198" s="6"/>
      <c r="R198" s="6"/>
      <c r="S198" s="6"/>
      <c r="T198" s="6"/>
      <c r="U198" s="6"/>
      <c r="V198" s="6"/>
      <c r="W198" s="6"/>
      <c r="X198" s="6"/>
      <c r="Y198" s="6"/>
      <c r="Z198" s="6"/>
      <c r="AA198" s="6"/>
    </row>
    <row r="199" ht="21" customHeight="1" spans="1:27">
      <c r="A199" s="40" t="s">
        <v>142</v>
      </c>
      <c r="B199" s="7">
        <v>45894</v>
      </c>
      <c r="C199" s="6" t="str">
        <f t="shared" si="3"/>
        <v>2025年8月</v>
      </c>
      <c r="D199" s="6" t="s">
        <v>12</v>
      </c>
      <c r="E199" s="40" t="s">
        <v>39</v>
      </c>
      <c r="F199" s="141" t="s">
        <v>646</v>
      </c>
      <c r="G199" s="61"/>
      <c r="H199" s="61"/>
      <c r="I199" s="40" t="s">
        <v>82</v>
      </c>
      <c r="J199" s="6"/>
      <c r="K199" s="8" t="s">
        <v>130</v>
      </c>
      <c r="L199" s="6" t="s">
        <v>131</v>
      </c>
      <c r="M199" s="6" t="s">
        <v>105</v>
      </c>
      <c r="N199" s="6"/>
      <c r="O199" s="6" t="s">
        <v>97</v>
      </c>
      <c r="P199" s="6"/>
      <c r="Q199" s="6"/>
      <c r="R199" s="6"/>
      <c r="S199" s="6"/>
      <c r="T199" s="6"/>
      <c r="U199" s="6"/>
      <c r="V199" s="6"/>
      <c r="W199" s="6"/>
      <c r="X199" s="6"/>
      <c r="Y199" s="6"/>
      <c r="Z199" s="6"/>
      <c r="AA199" s="6"/>
    </row>
    <row r="200" ht="21" customHeight="1" spans="1:27">
      <c r="A200" s="40" t="s">
        <v>142</v>
      </c>
      <c r="B200" s="7">
        <v>45894</v>
      </c>
      <c r="C200" s="6" t="str">
        <f t="shared" si="3"/>
        <v>2025年8月</v>
      </c>
      <c r="D200" s="6" t="s">
        <v>12</v>
      </c>
      <c r="E200" s="40" t="s">
        <v>39</v>
      </c>
      <c r="F200" s="141" t="s">
        <v>647</v>
      </c>
      <c r="G200" s="61"/>
      <c r="H200" s="61"/>
      <c r="I200" s="40" t="s">
        <v>82</v>
      </c>
      <c r="J200" s="6"/>
      <c r="K200" s="8" t="s">
        <v>628</v>
      </c>
      <c r="L200" s="6" t="s">
        <v>629</v>
      </c>
      <c r="M200" s="6" t="s">
        <v>105</v>
      </c>
      <c r="N200" s="6"/>
      <c r="O200" s="6" t="s">
        <v>136</v>
      </c>
      <c r="P200" s="6"/>
      <c r="Q200" s="6"/>
      <c r="R200" s="6"/>
      <c r="S200" s="6"/>
      <c r="T200" s="6"/>
      <c r="U200" s="6"/>
      <c r="V200" s="6"/>
      <c r="W200" s="6"/>
      <c r="X200" s="6"/>
      <c r="Y200" s="6"/>
      <c r="Z200" s="6"/>
      <c r="AA200" s="6"/>
    </row>
    <row r="201" ht="21" customHeight="1" spans="1:27">
      <c r="A201" s="40" t="s">
        <v>207</v>
      </c>
      <c r="B201" s="7">
        <v>45894</v>
      </c>
      <c r="C201" s="6" t="str">
        <f t="shared" si="3"/>
        <v>2025年8月</v>
      </c>
      <c r="D201" s="6" t="s">
        <v>12</v>
      </c>
      <c r="E201" s="40" t="s">
        <v>39</v>
      </c>
      <c r="F201" s="141" t="s">
        <v>648</v>
      </c>
      <c r="G201" s="61"/>
      <c r="H201" s="61"/>
      <c r="I201" s="40" t="s">
        <v>82</v>
      </c>
      <c r="J201" s="6"/>
      <c r="K201" s="8" t="s">
        <v>649</v>
      </c>
      <c r="L201" s="6" t="s">
        <v>650</v>
      </c>
      <c r="M201" s="6" t="s">
        <v>105</v>
      </c>
      <c r="N201" s="6"/>
      <c r="O201" s="6" t="s">
        <v>89</v>
      </c>
      <c r="P201" s="6"/>
      <c r="Q201" s="6"/>
      <c r="R201" s="6"/>
      <c r="S201" s="6"/>
      <c r="T201" s="6"/>
      <c r="U201" s="6"/>
      <c r="V201" s="6"/>
      <c r="W201" s="6"/>
      <c r="X201" s="6"/>
      <c r="Y201" s="6"/>
      <c r="Z201" s="6"/>
      <c r="AA201" s="6"/>
    </row>
    <row r="202" ht="21" customHeight="1" spans="1:27">
      <c r="A202" s="40" t="s">
        <v>142</v>
      </c>
      <c r="B202" s="7">
        <v>45895</v>
      </c>
      <c r="C202" s="6" t="str">
        <f t="shared" si="3"/>
        <v>2025年8月</v>
      </c>
      <c r="D202" s="6" t="s">
        <v>12</v>
      </c>
      <c r="E202" s="40" t="s">
        <v>39</v>
      </c>
      <c r="F202" s="141" t="s">
        <v>651</v>
      </c>
      <c r="G202" s="61"/>
      <c r="H202" s="61"/>
      <c r="I202" s="40" t="s">
        <v>82</v>
      </c>
      <c r="J202" s="6"/>
      <c r="K202" s="8" t="s">
        <v>652</v>
      </c>
      <c r="L202" s="6" t="s">
        <v>653</v>
      </c>
      <c r="M202" s="6" t="s">
        <v>105</v>
      </c>
      <c r="N202" s="6"/>
      <c r="O202" s="6" t="s">
        <v>654</v>
      </c>
      <c r="P202" s="6"/>
      <c r="Q202" s="6"/>
      <c r="R202" s="6"/>
      <c r="S202" s="6"/>
      <c r="T202" s="6"/>
      <c r="U202" s="6"/>
      <c r="V202" s="6"/>
      <c r="W202" s="6"/>
      <c r="X202" s="6"/>
      <c r="Y202" s="6"/>
      <c r="Z202" s="6"/>
      <c r="AA202" s="6"/>
    </row>
    <row r="203" ht="21" customHeight="1" spans="1:27">
      <c r="A203" s="40" t="s">
        <v>142</v>
      </c>
      <c r="B203" s="7">
        <v>45895</v>
      </c>
      <c r="C203" s="6" t="str">
        <f t="shared" si="3"/>
        <v>2025年8月</v>
      </c>
      <c r="D203" s="6" t="s">
        <v>10</v>
      </c>
      <c r="E203" s="40" t="s">
        <v>39</v>
      </c>
      <c r="F203" s="141" t="s">
        <v>655</v>
      </c>
      <c r="G203" s="61"/>
      <c r="H203" s="61"/>
      <c r="I203" s="40" t="s">
        <v>82</v>
      </c>
      <c r="J203" s="6"/>
      <c r="K203" s="8" t="s">
        <v>567</v>
      </c>
      <c r="L203" s="6" t="s">
        <v>568</v>
      </c>
      <c r="M203" s="6" t="s">
        <v>105</v>
      </c>
      <c r="N203" s="6"/>
      <c r="O203" s="6" t="s">
        <v>97</v>
      </c>
      <c r="P203" s="6"/>
      <c r="Q203" s="6"/>
      <c r="R203" s="6"/>
      <c r="S203" s="6"/>
      <c r="T203" s="6"/>
      <c r="U203" s="6"/>
      <c r="V203" s="6"/>
      <c r="W203" s="6"/>
      <c r="X203" s="6"/>
      <c r="Y203" s="6"/>
      <c r="Z203" s="6"/>
      <c r="AA203" s="6"/>
    </row>
    <row r="204" ht="21" customHeight="1" spans="1:27">
      <c r="A204" s="40" t="s">
        <v>547</v>
      </c>
      <c r="B204" s="7">
        <v>45897</v>
      </c>
      <c r="C204" s="6" t="str">
        <f t="shared" si="3"/>
        <v>2025年8月</v>
      </c>
      <c r="D204" s="6" t="s">
        <v>11</v>
      </c>
      <c r="E204" s="40" t="s">
        <v>41</v>
      </c>
      <c r="F204" s="141" t="s">
        <v>656</v>
      </c>
      <c r="G204" s="61"/>
      <c r="H204" s="61"/>
      <c r="I204" s="40" t="s">
        <v>82</v>
      </c>
      <c r="J204" s="6"/>
      <c r="K204" s="8" t="s">
        <v>657</v>
      </c>
      <c r="L204" s="6" t="s">
        <v>658</v>
      </c>
      <c r="M204" s="6" t="s">
        <v>7</v>
      </c>
      <c r="N204" s="6"/>
      <c r="O204" s="6" t="s">
        <v>659</v>
      </c>
      <c r="P204" s="6"/>
      <c r="Q204" s="7">
        <v>45897</v>
      </c>
      <c r="R204" s="6" t="s">
        <v>660</v>
      </c>
      <c r="S204" s="6"/>
      <c r="T204" s="6"/>
      <c r="U204" s="6"/>
      <c r="V204" s="6"/>
      <c r="W204" s="6"/>
      <c r="X204" s="6"/>
      <c r="Y204" s="6"/>
      <c r="Z204" s="6"/>
      <c r="AA204" s="6"/>
    </row>
    <row r="205" ht="21" customHeight="1" spans="1:27">
      <c r="A205" s="40" t="s">
        <v>142</v>
      </c>
      <c r="B205" s="7">
        <v>45901</v>
      </c>
      <c r="C205" s="6" t="str">
        <f t="shared" si="3"/>
        <v>2025年9月</v>
      </c>
      <c r="D205" s="6" t="s">
        <v>12</v>
      </c>
      <c r="E205" s="40" t="s">
        <v>39</v>
      </c>
      <c r="F205" s="140" t="s">
        <v>661</v>
      </c>
      <c r="G205" s="61"/>
      <c r="H205" s="61"/>
      <c r="I205" s="40" t="s">
        <v>82</v>
      </c>
      <c r="J205" s="6"/>
      <c r="K205" s="8" t="s">
        <v>662</v>
      </c>
      <c r="L205" s="6" t="s">
        <v>663</v>
      </c>
      <c r="M205" s="6" t="s">
        <v>105</v>
      </c>
      <c r="N205" s="6"/>
      <c r="O205" s="6"/>
      <c r="P205" s="6"/>
      <c r="Q205" s="6"/>
      <c r="R205" s="6"/>
      <c r="S205" s="6"/>
      <c r="T205" s="6"/>
      <c r="U205" s="6"/>
      <c r="V205" s="6"/>
      <c r="W205" s="6"/>
      <c r="X205" s="6"/>
      <c r="Y205" s="6"/>
      <c r="Z205" s="6"/>
      <c r="AA205" s="6"/>
    </row>
    <row r="206" ht="14" spans="1:27">
      <c r="A206" s="40" t="s">
        <v>142</v>
      </c>
      <c r="B206" s="7">
        <v>45901</v>
      </c>
      <c r="C206" s="6" t="str">
        <f t="shared" si="3"/>
        <v>2025年9月</v>
      </c>
      <c r="D206" s="6" t="s">
        <v>10</v>
      </c>
      <c r="E206" s="40" t="s">
        <v>40</v>
      </c>
      <c r="F206" s="141" t="s">
        <v>664</v>
      </c>
      <c r="G206" s="61"/>
      <c r="H206" s="61"/>
      <c r="I206" s="40" t="s">
        <v>82</v>
      </c>
      <c r="J206" s="6"/>
      <c r="K206" s="8" t="s">
        <v>665</v>
      </c>
      <c r="L206" s="6" t="s">
        <v>666</v>
      </c>
      <c r="M206" s="6" t="s">
        <v>105</v>
      </c>
      <c r="N206" s="6"/>
      <c r="O206" s="109"/>
      <c r="P206" s="109"/>
      <c r="Q206" s="109"/>
      <c r="R206" s="109"/>
      <c r="S206" s="109"/>
      <c r="T206" s="109"/>
      <c r="U206" s="109"/>
      <c r="V206" s="109"/>
      <c r="W206" s="109"/>
      <c r="X206" s="109"/>
      <c r="Y206" s="109"/>
      <c r="Z206" s="109"/>
      <c r="AA206" s="109"/>
    </row>
    <row r="207" ht="14" spans="1:27">
      <c r="A207" s="40" t="s">
        <v>207</v>
      </c>
      <c r="B207" s="7">
        <v>45908</v>
      </c>
      <c r="C207" s="6" t="str">
        <f t="shared" si="3"/>
        <v>2025年9月</v>
      </c>
      <c r="D207" s="6" t="s">
        <v>12</v>
      </c>
      <c r="E207" s="40" t="s">
        <v>39</v>
      </c>
      <c r="F207" s="141" t="s">
        <v>667</v>
      </c>
      <c r="G207" s="61"/>
      <c r="H207" s="61"/>
      <c r="I207" s="40" t="s">
        <v>82</v>
      </c>
      <c r="J207" s="6"/>
      <c r="K207" s="8" t="s">
        <v>668</v>
      </c>
      <c r="L207" s="6" t="s">
        <v>669</v>
      </c>
      <c r="M207" s="6" t="s">
        <v>105</v>
      </c>
      <c r="N207" s="6"/>
      <c r="O207" s="109" t="s">
        <v>670</v>
      </c>
      <c r="P207" s="109"/>
      <c r="Q207" s="109"/>
      <c r="R207" s="109"/>
      <c r="S207" s="109"/>
      <c r="T207" s="109"/>
      <c r="U207" s="109"/>
      <c r="V207" s="109"/>
      <c r="W207" s="109"/>
      <c r="X207" s="109"/>
      <c r="Y207" s="109"/>
      <c r="Z207" s="109"/>
      <c r="AA207" s="109"/>
    </row>
    <row r="208" ht="14" spans="1:27">
      <c r="A208" s="40" t="s">
        <v>207</v>
      </c>
      <c r="B208" s="7">
        <v>45908</v>
      </c>
      <c r="C208" s="6" t="str">
        <f t="shared" si="3"/>
        <v>2025年9月</v>
      </c>
      <c r="D208" s="6" t="s">
        <v>12</v>
      </c>
      <c r="E208" s="40" t="s">
        <v>39</v>
      </c>
      <c r="F208" s="141" t="s">
        <v>671</v>
      </c>
      <c r="G208" s="61"/>
      <c r="H208" s="61"/>
      <c r="I208" s="40" t="s">
        <v>82</v>
      </c>
      <c r="J208" s="6"/>
      <c r="K208" s="8" t="s">
        <v>672</v>
      </c>
      <c r="L208" s="6" t="s">
        <v>673</v>
      </c>
      <c r="M208" s="6" t="s">
        <v>105</v>
      </c>
      <c r="N208" s="6"/>
      <c r="O208" s="109" t="s">
        <v>674</v>
      </c>
      <c r="P208" s="109"/>
      <c r="Q208" s="109"/>
      <c r="R208" s="109"/>
      <c r="S208" s="109"/>
      <c r="T208" s="109"/>
      <c r="U208" s="109"/>
      <c r="V208" s="109"/>
      <c r="W208" s="109"/>
      <c r="X208" s="109"/>
      <c r="Y208" s="109"/>
      <c r="Z208" s="109"/>
      <c r="AA208" s="109"/>
    </row>
    <row r="209" ht="14" spans="1:27">
      <c r="A209" s="40" t="s">
        <v>207</v>
      </c>
      <c r="B209" s="7">
        <v>45908</v>
      </c>
      <c r="C209" s="6" t="str">
        <f t="shared" si="3"/>
        <v>2025年9月</v>
      </c>
      <c r="D209" s="6" t="s">
        <v>12</v>
      </c>
      <c r="E209" s="40" t="s">
        <v>39</v>
      </c>
      <c r="F209" s="141" t="s">
        <v>675</v>
      </c>
      <c r="G209" s="61"/>
      <c r="H209" s="61"/>
      <c r="I209" s="40" t="s">
        <v>82</v>
      </c>
      <c r="J209" s="6"/>
      <c r="K209" s="8" t="s">
        <v>676</v>
      </c>
      <c r="L209" s="6" t="s">
        <v>677</v>
      </c>
      <c r="M209" s="6" t="s">
        <v>105</v>
      </c>
      <c r="N209" s="6"/>
      <c r="O209" s="109" t="s">
        <v>678</v>
      </c>
      <c r="P209" s="109"/>
      <c r="Q209" s="109"/>
      <c r="R209" s="109"/>
      <c r="S209" s="109"/>
      <c r="T209" s="109"/>
      <c r="U209" s="109"/>
      <c r="V209" s="109"/>
      <c r="W209" s="109"/>
      <c r="X209" s="109"/>
      <c r="Y209" s="109"/>
      <c r="Z209" s="109"/>
      <c r="AA209" s="109"/>
    </row>
    <row r="210" ht="14" spans="1:27">
      <c r="A210" s="40" t="s">
        <v>142</v>
      </c>
      <c r="B210" s="7">
        <v>45910</v>
      </c>
      <c r="C210" s="6" t="str">
        <f t="shared" si="3"/>
        <v>2025年9月</v>
      </c>
      <c r="D210" s="6" t="s">
        <v>12</v>
      </c>
      <c r="E210" s="40" t="s">
        <v>39</v>
      </c>
      <c r="F210" s="141" t="s">
        <v>679</v>
      </c>
      <c r="G210" s="61"/>
      <c r="H210" s="61"/>
      <c r="I210" s="40" t="s">
        <v>82</v>
      </c>
      <c r="J210" s="6"/>
      <c r="K210" s="8" t="s">
        <v>680</v>
      </c>
      <c r="L210" s="6" t="s">
        <v>681</v>
      </c>
      <c r="M210" s="6" t="s">
        <v>105</v>
      </c>
      <c r="N210" s="6"/>
      <c r="O210" s="109"/>
      <c r="P210" s="109"/>
      <c r="Q210" s="109"/>
      <c r="R210" s="109"/>
      <c r="S210" s="109"/>
      <c r="T210" s="109"/>
      <c r="U210" s="109"/>
      <c r="V210" s="109"/>
      <c r="W210" s="109"/>
      <c r="X210" s="109"/>
      <c r="Y210" s="109"/>
      <c r="Z210" s="109"/>
      <c r="AA210" s="109"/>
    </row>
    <row r="211" ht="14" spans="1:27">
      <c r="A211" s="40" t="s">
        <v>207</v>
      </c>
      <c r="B211" s="7">
        <v>45916</v>
      </c>
      <c r="C211" s="6" t="str">
        <f t="shared" si="3"/>
        <v>2025年9月</v>
      </c>
      <c r="D211" s="6" t="s">
        <v>11</v>
      </c>
      <c r="E211" s="40" t="s">
        <v>40</v>
      </c>
      <c r="F211" s="141" t="s">
        <v>682</v>
      </c>
      <c r="G211" s="61"/>
      <c r="H211" s="61"/>
      <c r="I211" s="40" t="s">
        <v>82</v>
      </c>
      <c r="J211" s="6"/>
      <c r="K211" s="8" t="s">
        <v>683</v>
      </c>
      <c r="L211" s="6" t="s">
        <v>684</v>
      </c>
      <c r="M211" s="6" t="s">
        <v>105</v>
      </c>
      <c r="N211" s="6"/>
      <c r="O211" s="109" t="s">
        <v>685</v>
      </c>
      <c r="P211" s="109"/>
      <c r="Q211" s="109"/>
      <c r="R211" s="109"/>
      <c r="S211" s="109"/>
      <c r="T211" s="109"/>
      <c r="U211" s="109"/>
      <c r="V211" s="109"/>
      <c r="W211" s="109"/>
      <c r="X211" s="109"/>
      <c r="Y211" s="109"/>
      <c r="Z211" s="109"/>
      <c r="AA211" s="109"/>
    </row>
    <row r="212" ht="28" spans="1:27">
      <c r="A212" s="40" t="s">
        <v>207</v>
      </c>
      <c r="B212" s="7">
        <v>45916</v>
      </c>
      <c r="C212" s="6" t="str">
        <f t="shared" si="3"/>
        <v>2025年9月</v>
      </c>
      <c r="D212" s="6" t="s">
        <v>12</v>
      </c>
      <c r="E212" s="40" t="s">
        <v>39</v>
      </c>
      <c r="F212" s="140" t="s">
        <v>686</v>
      </c>
      <c r="G212" s="61"/>
      <c r="H212" s="61"/>
      <c r="I212" s="40" t="s">
        <v>82</v>
      </c>
      <c r="J212" s="6"/>
      <c r="K212" s="8" t="s">
        <v>676</v>
      </c>
      <c r="L212" s="6" t="s">
        <v>677</v>
      </c>
      <c r="M212" s="6" t="s">
        <v>105</v>
      </c>
      <c r="N212" s="6"/>
      <c r="O212" s="109" t="s">
        <v>678</v>
      </c>
      <c r="P212" s="109"/>
      <c r="Q212" s="7">
        <v>45917</v>
      </c>
      <c r="R212" s="7">
        <v>45917</v>
      </c>
      <c r="S212" s="109"/>
      <c r="T212" s="109"/>
      <c r="U212" s="109"/>
      <c r="V212" s="109"/>
      <c r="W212" s="109"/>
      <c r="X212" s="109"/>
      <c r="Y212" s="109"/>
      <c r="Z212" s="109"/>
      <c r="AA212" s="109"/>
    </row>
    <row r="213" ht="14" spans="1:27">
      <c r="A213" s="40" t="s">
        <v>207</v>
      </c>
      <c r="B213" s="7">
        <v>45918</v>
      </c>
      <c r="C213" s="6" t="str">
        <f t="shared" si="3"/>
        <v>2025年9月</v>
      </c>
      <c r="D213" s="6" t="s">
        <v>10</v>
      </c>
      <c r="E213" s="40" t="s">
        <v>40</v>
      </c>
      <c r="F213" s="141" t="s">
        <v>687</v>
      </c>
      <c r="G213" s="61"/>
      <c r="H213" s="61"/>
      <c r="I213" s="40" t="s">
        <v>82</v>
      </c>
      <c r="J213" s="6"/>
      <c r="K213" s="8" t="s">
        <v>688</v>
      </c>
      <c r="L213" s="6" t="s">
        <v>104</v>
      </c>
      <c r="M213" s="6" t="s">
        <v>105</v>
      </c>
      <c r="N213" s="6"/>
      <c r="O213" s="109" t="s">
        <v>689</v>
      </c>
      <c r="P213" s="109"/>
      <c r="Q213" s="109"/>
      <c r="R213" s="109"/>
      <c r="S213" s="109"/>
      <c r="T213" s="109"/>
      <c r="U213" s="109"/>
      <c r="V213" s="109"/>
      <c r="W213" s="109"/>
      <c r="X213" s="109"/>
      <c r="Y213" s="109"/>
      <c r="Z213" s="109"/>
      <c r="AA213" s="109"/>
    </row>
    <row r="214" ht="14" spans="1:27">
      <c r="A214" s="40" t="s">
        <v>207</v>
      </c>
      <c r="B214" s="7">
        <v>45918</v>
      </c>
      <c r="C214" s="6" t="str">
        <f t="shared" si="3"/>
        <v>2025年9月</v>
      </c>
      <c r="D214" s="6" t="s">
        <v>11</v>
      </c>
      <c r="E214" s="40" t="s">
        <v>40</v>
      </c>
      <c r="F214" s="141" t="s">
        <v>690</v>
      </c>
      <c r="G214" s="61"/>
      <c r="H214" s="61"/>
      <c r="I214" s="40" t="s">
        <v>82</v>
      </c>
      <c r="J214" s="6"/>
      <c r="K214" s="8" t="s">
        <v>691</v>
      </c>
      <c r="L214" s="6" t="s">
        <v>692</v>
      </c>
      <c r="M214" s="6" t="s">
        <v>105</v>
      </c>
      <c r="N214" s="6"/>
      <c r="O214" s="10" t="s">
        <v>685</v>
      </c>
      <c r="P214" s="109"/>
      <c r="Q214" s="109"/>
      <c r="R214" s="109"/>
      <c r="S214" s="109"/>
      <c r="T214" s="109"/>
      <c r="U214" s="109"/>
      <c r="V214" s="109"/>
      <c r="W214" s="109"/>
      <c r="X214" s="109"/>
      <c r="Y214" s="109"/>
      <c r="Z214" s="109"/>
      <c r="AA214" s="109"/>
    </row>
    <row r="215" ht="14" spans="1:27">
      <c r="A215" s="40" t="s">
        <v>207</v>
      </c>
      <c r="B215" s="7">
        <v>45918</v>
      </c>
      <c r="C215" s="6" t="str">
        <f t="shared" si="3"/>
        <v>2025年9月</v>
      </c>
      <c r="D215" s="6" t="s">
        <v>10</v>
      </c>
      <c r="E215" s="40" t="s">
        <v>40</v>
      </c>
      <c r="F215" s="141" t="s">
        <v>693</v>
      </c>
      <c r="G215" s="61"/>
      <c r="H215" s="61"/>
      <c r="I215" s="40" t="s">
        <v>82</v>
      </c>
      <c r="J215" s="6"/>
      <c r="K215" s="8" t="s">
        <v>694</v>
      </c>
      <c r="L215" s="6" t="s">
        <v>695</v>
      </c>
      <c r="M215" s="6" t="s">
        <v>105</v>
      </c>
      <c r="N215" s="6"/>
      <c r="O215" s="109" t="s">
        <v>689</v>
      </c>
      <c r="P215" s="109"/>
      <c r="Q215" s="109"/>
      <c r="R215" s="109"/>
      <c r="S215" s="109"/>
      <c r="T215" s="109"/>
      <c r="U215" s="109"/>
      <c r="V215" s="109"/>
      <c r="W215" s="109"/>
      <c r="X215" s="109"/>
      <c r="Y215" s="109"/>
      <c r="Z215" s="109"/>
      <c r="AA215" s="109"/>
    </row>
    <row r="216" ht="14" spans="1:27">
      <c r="A216" s="40" t="s">
        <v>142</v>
      </c>
      <c r="B216" s="7">
        <v>45922</v>
      </c>
      <c r="C216" s="6" t="str">
        <f t="shared" si="3"/>
        <v>2025年9月</v>
      </c>
      <c r="D216" s="6" t="s">
        <v>10</v>
      </c>
      <c r="E216" s="40" t="s">
        <v>43</v>
      </c>
      <c r="F216" s="141" t="s">
        <v>696</v>
      </c>
      <c r="G216" s="61"/>
      <c r="H216" s="61"/>
      <c r="I216" s="40" t="s">
        <v>82</v>
      </c>
      <c r="J216" s="6"/>
      <c r="K216" s="8" t="s">
        <v>697</v>
      </c>
      <c r="L216" s="6" t="s">
        <v>698</v>
      </c>
      <c r="M216" s="6" t="s">
        <v>105</v>
      </c>
      <c r="N216" s="6"/>
      <c r="O216" s="109"/>
      <c r="P216" s="109"/>
      <c r="Q216" s="109"/>
      <c r="R216" s="109"/>
      <c r="S216" s="109"/>
      <c r="T216" s="109"/>
      <c r="U216" s="109"/>
      <c r="V216" s="109"/>
      <c r="W216" s="109"/>
      <c r="X216" s="109"/>
      <c r="Y216" s="109"/>
      <c r="Z216" s="109"/>
      <c r="AA216" s="109"/>
    </row>
    <row r="217" ht="14" spans="1:27">
      <c r="A217" s="10"/>
      <c r="B217" s="10"/>
      <c r="C217" s="10"/>
      <c r="D217" s="10"/>
      <c r="E217" s="40"/>
      <c r="F217" s="10"/>
      <c r="G217" s="10"/>
      <c r="H217" s="10"/>
      <c r="I217" s="40"/>
      <c r="J217" s="10"/>
      <c r="K217" s="8" t="s">
        <v>699</v>
      </c>
      <c r="L217" s="6" t="s">
        <v>700</v>
      </c>
      <c r="M217" s="10"/>
      <c r="N217" s="6"/>
      <c r="O217" s="109"/>
      <c r="P217" s="109"/>
      <c r="Q217" s="109"/>
      <c r="R217" s="109"/>
      <c r="S217" s="109"/>
      <c r="T217" s="109"/>
      <c r="U217" s="109"/>
      <c r="V217" s="109"/>
      <c r="W217" s="109"/>
      <c r="X217" s="109"/>
      <c r="Y217" s="109"/>
      <c r="Z217" s="109"/>
      <c r="AA217" s="109"/>
    </row>
    <row r="218" ht="14" spans="1:27">
      <c r="A218" s="10"/>
      <c r="B218" s="10"/>
      <c r="C218" s="10"/>
      <c r="D218" s="10"/>
      <c r="E218" s="40"/>
      <c r="F218" s="10"/>
      <c r="G218" s="10"/>
      <c r="H218" s="10"/>
      <c r="I218" s="40"/>
      <c r="J218" s="10"/>
      <c r="K218" s="8" t="s">
        <v>699</v>
      </c>
      <c r="L218" s="6" t="s">
        <v>700</v>
      </c>
      <c r="M218" s="10"/>
      <c r="N218" s="6"/>
      <c r="O218" s="109"/>
      <c r="P218" s="109"/>
      <c r="Q218" s="109"/>
      <c r="R218" s="109"/>
      <c r="S218" s="109"/>
      <c r="T218" s="109"/>
      <c r="U218" s="109"/>
      <c r="V218" s="109"/>
      <c r="W218" s="109"/>
      <c r="X218" s="109"/>
      <c r="Y218" s="109"/>
      <c r="Z218" s="109"/>
      <c r="AA218" s="109"/>
    </row>
    <row r="219" ht="14" spans="1:27">
      <c r="A219" s="10"/>
      <c r="B219" s="10"/>
      <c r="C219" s="10"/>
      <c r="D219" s="10"/>
      <c r="E219" s="40"/>
      <c r="F219" s="10"/>
      <c r="G219" s="10"/>
      <c r="H219" s="10"/>
      <c r="I219" s="40"/>
      <c r="J219" s="10"/>
      <c r="K219" s="8" t="s">
        <v>701</v>
      </c>
      <c r="L219" s="6" t="s">
        <v>702</v>
      </c>
      <c r="M219" s="10"/>
      <c r="N219" s="6"/>
      <c r="O219" s="109"/>
      <c r="P219" s="109"/>
      <c r="Q219" s="109"/>
      <c r="R219" s="109"/>
      <c r="S219" s="109"/>
      <c r="T219" s="109"/>
      <c r="U219" s="109"/>
      <c r="V219" s="109"/>
      <c r="W219" s="109"/>
      <c r="X219" s="109"/>
      <c r="Y219" s="109"/>
      <c r="Z219" s="109"/>
      <c r="AA219" s="109"/>
    </row>
    <row r="220" ht="14" spans="1:27">
      <c r="A220" s="10"/>
      <c r="B220" s="10"/>
      <c r="C220" s="10"/>
      <c r="D220" s="10"/>
      <c r="E220" s="40"/>
      <c r="F220" s="10"/>
      <c r="G220" s="10"/>
      <c r="H220" s="10"/>
      <c r="I220" s="40"/>
      <c r="J220" s="10"/>
      <c r="K220" s="8" t="s">
        <v>703</v>
      </c>
      <c r="L220" s="6" t="s">
        <v>704</v>
      </c>
      <c r="M220" s="10"/>
      <c r="N220" s="6"/>
      <c r="O220" s="109"/>
      <c r="P220" s="109"/>
      <c r="Q220" s="109"/>
      <c r="R220" s="109"/>
      <c r="S220" s="109"/>
      <c r="T220" s="109"/>
      <c r="U220" s="109"/>
      <c r="V220" s="109"/>
      <c r="W220" s="109"/>
      <c r="X220" s="109"/>
      <c r="Y220" s="109"/>
      <c r="Z220" s="109"/>
      <c r="AA220" s="109"/>
    </row>
    <row r="221" ht="14" spans="1:27">
      <c r="A221" s="10"/>
      <c r="B221" s="10"/>
      <c r="C221" s="10"/>
      <c r="D221" s="10"/>
      <c r="E221" s="40"/>
      <c r="F221" s="10"/>
      <c r="G221" s="10"/>
      <c r="H221" s="10"/>
      <c r="I221" s="40"/>
      <c r="J221" s="10"/>
      <c r="K221" s="8" t="s">
        <v>705</v>
      </c>
      <c r="L221" s="6" t="s">
        <v>706</v>
      </c>
      <c r="M221" s="10"/>
      <c r="N221" s="6"/>
      <c r="O221" s="109"/>
      <c r="P221" s="109"/>
      <c r="Q221" s="109"/>
      <c r="R221" s="109"/>
      <c r="S221" s="109"/>
      <c r="T221" s="109"/>
      <c r="U221" s="109"/>
      <c r="V221" s="109"/>
      <c r="W221" s="109"/>
      <c r="X221" s="109"/>
      <c r="Y221" s="109"/>
      <c r="Z221" s="109"/>
      <c r="AA221" s="109"/>
    </row>
    <row r="222" ht="14" spans="1:27">
      <c r="A222" s="40" t="s">
        <v>207</v>
      </c>
      <c r="B222" s="7">
        <v>45923</v>
      </c>
      <c r="C222" s="6" t="str">
        <f t="shared" ref="C222:C285" si="4">YEAR(B222)&amp;"年"&amp;MONTH(B222)&amp;"月"</f>
        <v>2025年9月</v>
      </c>
      <c r="D222" s="6" t="s">
        <v>10</v>
      </c>
      <c r="E222" s="40" t="s">
        <v>42</v>
      </c>
      <c r="F222" s="141" t="s">
        <v>707</v>
      </c>
      <c r="G222" s="61"/>
      <c r="H222" s="61"/>
      <c r="I222" s="40" t="s">
        <v>82</v>
      </c>
      <c r="J222" s="6"/>
      <c r="K222" s="8" t="s">
        <v>708</v>
      </c>
      <c r="L222" s="141" t="s">
        <v>709</v>
      </c>
      <c r="M222" s="6" t="s">
        <v>105</v>
      </c>
      <c r="N222" s="6"/>
      <c r="O222" s="109" t="s">
        <v>710</v>
      </c>
      <c r="P222" s="109" t="s">
        <v>711</v>
      </c>
      <c r="Q222" s="109"/>
      <c r="R222" s="109"/>
      <c r="S222" s="109"/>
      <c r="T222" s="109"/>
      <c r="U222" s="109"/>
      <c r="V222" s="109"/>
      <c r="W222" s="109"/>
      <c r="X222" s="109"/>
      <c r="Y222" s="109"/>
      <c r="Z222" s="109"/>
      <c r="AA222" s="109"/>
    </row>
    <row r="223" ht="14" spans="1:27">
      <c r="A223" s="40" t="s">
        <v>207</v>
      </c>
      <c r="B223" s="7">
        <v>45929</v>
      </c>
      <c r="C223" s="6" t="str">
        <f t="shared" si="4"/>
        <v>2025年9月</v>
      </c>
      <c r="D223" s="6" t="s">
        <v>12</v>
      </c>
      <c r="E223" s="40" t="s">
        <v>39</v>
      </c>
      <c r="F223" s="141" t="s">
        <v>712</v>
      </c>
      <c r="G223" s="61"/>
      <c r="H223" s="61"/>
      <c r="I223" s="40" t="s">
        <v>82</v>
      </c>
      <c r="J223" s="6"/>
      <c r="K223" s="8" t="s">
        <v>713</v>
      </c>
      <c r="L223" s="6" t="s">
        <v>714</v>
      </c>
      <c r="M223" s="6" t="s">
        <v>105</v>
      </c>
      <c r="N223" s="6"/>
      <c r="O223" s="109" t="s">
        <v>715</v>
      </c>
      <c r="P223" s="109"/>
      <c r="Q223" s="109"/>
      <c r="R223" s="109"/>
      <c r="S223" s="109"/>
      <c r="T223" s="109"/>
      <c r="U223" s="109"/>
      <c r="V223" s="109"/>
      <c r="W223" s="109"/>
      <c r="X223" s="109"/>
      <c r="Y223" s="109"/>
      <c r="Z223" s="109"/>
      <c r="AA223" s="109"/>
    </row>
    <row r="224" ht="14" spans="1:27">
      <c r="A224" s="40" t="s">
        <v>142</v>
      </c>
      <c r="B224" s="7">
        <v>45933</v>
      </c>
      <c r="C224" s="6" t="str">
        <f t="shared" si="4"/>
        <v>2025年10月</v>
      </c>
      <c r="D224" s="6" t="s">
        <v>12</v>
      </c>
      <c r="E224" s="40" t="s">
        <v>39</v>
      </c>
      <c r="F224" s="141" t="s">
        <v>716</v>
      </c>
      <c r="G224" s="61"/>
      <c r="H224" s="61"/>
      <c r="I224" s="40" t="s">
        <v>82</v>
      </c>
      <c r="J224" s="6"/>
      <c r="K224" s="8" t="s">
        <v>717</v>
      </c>
      <c r="L224" s="6" t="s">
        <v>718</v>
      </c>
      <c r="M224" s="6" t="s">
        <v>105</v>
      </c>
      <c r="N224" s="6"/>
      <c r="O224" s="109"/>
      <c r="P224" s="109"/>
      <c r="Q224" s="109"/>
      <c r="R224" s="109"/>
      <c r="S224" s="109"/>
      <c r="T224" s="109"/>
      <c r="U224" s="109"/>
      <c r="V224" s="109"/>
      <c r="W224" s="109"/>
      <c r="X224" s="109"/>
      <c r="Y224" s="109"/>
      <c r="Z224" s="109"/>
      <c r="AA224" s="109"/>
    </row>
    <row r="225" ht="14" spans="1:27">
      <c r="A225" s="40" t="s">
        <v>142</v>
      </c>
      <c r="B225" s="7">
        <v>45938</v>
      </c>
      <c r="C225" s="6" t="str">
        <f t="shared" si="4"/>
        <v>2025年10月</v>
      </c>
      <c r="D225" s="6" t="s">
        <v>12</v>
      </c>
      <c r="E225" s="40" t="s">
        <v>39</v>
      </c>
      <c r="F225" s="141" t="s">
        <v>719</v>
      </c>
      <c r="G225" s="61"/>
      <c r="H225" s="61"/>
      <c r="I225" s="40" t="s">
        <v>82</v>
      </c>
      <c r="J225" s="6"/>
      <c r="K225" s="8" t="s">
        <v>720</v>
      </c>
      <c r="L225" s="8" t="s">
        <v>216</v>
      </c>
      <c r="M225" s="6" t="s">
        <v>105</v>
      </c>
      <c r="N225" s="6"/>
      <c r="O225" s="109"/>
      <c r="P225" s="109"/>
      <c r="Q225" s="109"/>
      <c r="R225" s="109"/>
      <c r="S225" s="109"/>
      <c r="T225" s="109"/>
      <c r="U225" s="109"/>
      <c r="V225" s="109"/>
      <c r="W225" s="109"/>
      <c r="X225" s="109"/>
      <c r="Y225" s="109"/>
      <c r="Z225" s="109"/>
      <c r="AA225" s="109"/>
    </row>
    <row r="226" ht="14" spans="1:27">
      <c r="A226" s="40" t="s">
        <v>142</v>
      </c>
      <c r="B226" s="7">
        <v>45938</v>
      </c>
      <c r="C226" s="6" t="str">
        <f t="shared" si="4"/>
        <v>2025年10月</v>
      </c>
      <c r="D226" s="6" t="s">
        <v>12</v>
      </c>
      <c r="E226" s="40" t="s">
        <v>39</v>
      </c>
      <c r="F226" s="141" t="s">
        <v>721</v>
      </c>
      <c r="G226" s="61"/>
      <c r="H226" s="61"/>
      <c r="I226" s="40" t="s">
        <v>82</v>
      </c>
      <c r="J226" s="6"/>
      <c r="K226" s="8" t="s">
        <v>722</v>
      </c>
      <c r="L226" s="6" t="s">
        <v>723</v>
      </c>
      <c r="M226" s="6" t="s">
        <v>105</v>
      </c>
      <c r="N226" s="6"/>
      <c r="O226" s="109"/>
      <c r="P226" s="109"/>
      <c r="Q226" s="109"/>
      <c r="R226" s="109"/>
      <c r="S226" s="109"/>
      <c r="T226" s="109"/>
      <c r="U226" s="109"/>
      <c r="V226" s="109"/>
      <c r="W226" s="109"/>
      <c r="X226" s="109"/>
      <c r="Y226" s="109"/>
      <c r="Z226" s="109"/>
      <c r="AA226" s="109"/>
    </row>
    <row r="227" ht="14" spans="1:27">
      <c r="A227" s="40" t="s">
        <v>142</v>
      </c>
      <c r="B227" s="7">
        <v>45939</v>
      </c>
      <c r="C227" s="6" t="str">
        <f t="shared" si="4"/>
        <v>2025年10月</v>
      </c>
      <c r="D227" s="6" t="s">
        <v>12</v>
      </c>
      <c r="E227" s="40" t="s">
        <v>39</v>
      </c>
      <c r="F227" s="141" t="s">
        <v>724</v>
      </c>
      <c r="G227" s="61"/>
      <c r="H227" s="61"/>
      <c r="I227" s="40" t="s">
        <v>82</v>
      </c>
      <c r="J227" s="6"/>
      <c r="K227" s="8" t="s">
        <v>725</v>
      </c>
      <c r="L227" s="6" t="s">
        <v>726</v>
      </c>
      <c r="M227" s="6" t="s">
        <v>105</v>
      </c>
      <c r="N227" s="6"/>
      <c r="O227" s="109"/>
      <c r="P227" s="109"/>
      <c r="Q227" s="109"/>
      <c r="R227" s="109"/>
      <c r="S227" s="109"/>
      <c r="T227" s="109"/>
      <c r="U227" s="109"/>
      <c r="V227" s="109"/>
      <c r="W227" s="109"/>
      <c r="X227" s="109"/>
      <c r="Y227" s="109"/>
      <c r="Z227" s="109"/>
      <c r="AA227" s="109"/>
    </row>
    <row r="228" ht="14" spans="1:27">
      <c r="A228" s="40" t="s">
        <v>142</v>
      </c>
      <c r="B228" s="7">
        <v>45939</v>
      </c>
      <c r="C228" s="6" t="str">
        <f t="shared" si="4"/>
        <v>2025年10月</v>
      </c>
      <c r="D228" s="6" t="s">
        <v>12</v>
      </c>
      <c r="E228" s="40" t="s">
        <v>39</v>
      </c>
      <c r="F228" s="245" t="s">
        <v>727</v>
      </c>
      <c r="G228" s="61"/>
      <c r="H228" s="61"/>
      <c r="I228" s="40" t="s">
        <v>82</v>
      </c>
      <c r="J228" s="6"/>
      <c r="K228" s="8" t="s">
        <v>728</v>
      </c>
      <c r="L228" s="6" t="s">
        <v>729</v>
      </c>
      <c r="M228" s="6" t="s">
        <v>105</v>
      </c>
      <c r="N228" s="6"/>
      <c r="O228" s="109"/>
      <c r="P228" s="109"/>
      <c r="Q228" s="109"/>
      <c r="R228" s="109"/>
      <c r="S228" s="109"/>
      <c r="T228" s="109"/>
      <c r="U228" s="109"/>
      <c r="V228" s="109"/>
      <c r="W228" s="109"/>
      <c r="X228" s="109"/>
      <c r="Y228" s="109"/>
      <c r="Z228" s="109"/>
      <c r="AA228" s="109"/>
    </row>
    <row r="229" ht="14" spans="1:27">
      <c r="A229" s="40" t="s">
        <v>142</v>
      </c>
      <c r="B229" s="7">
        <v>45939</v>
      </c>
      <c r="C229" s="6" t="str">
        <f t="shared" si="4"/>
        <v>2025年10月</v>
      </c>
      <c r="D229" s="6" t="s">
        <v>12</v>
      </c>
      <c r="E229" s="40" t="s">
        <v>39</v>
      </c>
      <c r="F229" s="141" t="s">
        <v>730</v>
      </c>
      <c r="G229" s="61"/>
      <c r="H229" s="61"/>
      <c r="I229" s="40" t="s">
        <v>82</v>
      </c>
      <c r="J229" s="6"/>
      <c r="K229" s="8" t="s">
        <v>731</v>
      </c>
      <c r="L229" s="6" t="s">
        <v>732</v>
      </c>
      <c r="M229" s="6" t="s">
        <v>105</v>
      </c>
      <c r="N229" s="6"/>
      <c r="O229" s="109"/>
      <c r="P229" s="109"/>
      <c r="Q229" s="109"/>
      <c r="R229" s="109"/>
      <c r="S229" s="109"/>
      <c r="T229" s="109"/>
      <c r="U229" s="109"/>
      <c r="V229" s="109"/>
      <c r="W229" s="109"/>
      <c r="X229" s="109"/>
      <c r="Y229" s="109"/>
      <c r="Z229" s="109"/>
      <c r="AA229" s="109"/>
    </row>
    <row r="230" ht="14" spans="1:27">
      <c r="A230" s="40" t="s">
        <v>207</v>
      </c>
      <c r="B230" s="7">
        <v>45944</v>
      </c>
      <c r="C230" s="6" t="str">
        <f t="shared" si="4"/>
        <v>2025年10月</v>
      </c>
      <c r="D230" s="6" t="s">
        <v>12</v>
      </c>
      <c r="E230" s="40" t="s">
        <v>39</v>
      </c>
      <c r="F230" s="141" t="s">
        <v>733</v>
      </c>
      <c r="G230" s="61"/>
      <c r="H230" s="61"/>
      <c r="I230" s="40" t="s">
        <v>82</v>
      </c>
      <c r="J230" s="6"/>
      <c r="K230" s="8" t="s">
        <v>227</v>
      </c>
      <c r="L230" s="6" t="s">
        <v>228</v>
      </c>
      <c r="M230" s="6" t="s">
        <v>105</v>
      </c>
      <c r="N230" s="6"/>
      <c r="O230" s="109"/>
      <c r="P230" s="109"/>
      <c r="Q230" s="109"/>
      <c r="R230" s="109"/>
      <c r="S230" s="109"/>
      <c r="T230" s="109"/>
      <c r="U230" s="109"/>
      <c r="V230" s="109"/>
      <c r="W230" s="109"/>
      <c r="X230" s="109"/>
      <c r="Y230" s="109"/>
      <c r="Z230" s="109"/>
      <c r="AA230" s="109"/>
    </row>
    <row r="231" ht="14" spans="1:27">
      <c r="A231" s="40" t="s">
        <v>207</v>
      </c>
      <c r="B231" s="7">
        <v>45946</v>
      </c>
      <c r="C231" s="6" t="str">
        <f t="shared" si="4"/>
        <v>2025年10月</v>
      </c>
      <c r="D231" s="6" t="s">
        <v>12</v>
      </c>
      <c r="E231" s="40" t="s">
        <v>39</v>
      </c>
      <c r="F231" s="141" t="s">
        <v>734</v>
      </c>
      <c r="G231" s="61"/>
      <c r="H231" s="61"/>
      <c r="I231" s="40" t="s">
        <v>82</v>
      </c>
      <c r="J231" s="6"/>
      <c r="K231" s="8" t="s">
        <v>518</v>
      </c>
      <c r="L231" s="6" t="s">
        <v>519</v>
      </c>
      <c r="M231" s="6" t="s">
        <v>105</v>
      </c>
      <c r="N231" s="6"/>
      <c r="O231" s="109" t="s">
        <v>735</v>
      </c>
      <c r="P231" s="109"/>
      <c r="Q231" s="109"/>
      <c r="R231" s="109"/>
      <c r="S231" s="109"/>
      <c r="T231" s="109"/>
      <c r="U231" s="109"/>
      <c r="V231" s="109"/>
      <c r="W231" s="109"/>
      <c r="X231" s="109"/>
      <c r="Y231" s="109"/>
      <c r="Z231" s="109"/>
      <c r="AA231" s="109"/>
    </row>
    <row r="232" ht="14" spans="1:27">
      <c r="A232" s="40" t="s">
        <v>142</v>
      </c>
      <c r="B232" s="7">
        <v>45947</v>
      </c>
      <c r="C232" s="6" t="str">
        <f t="shared" si="4"/>
        <v>2025年10月</v>
      </c>
      <c r="D232" s="6" t="s">
        <v>10</v>
      </c>
      <c r="E232" s="40" t="s">
        <v>40</v>
      </c>
      <c r="F232" s="141" t="s">
        <v>736</v>
      </c>
      <c r="G232" s="61"/>
      <c r="H232" s="61"/>
      <c r="I232" s="40" t="s">
        <v>82</v>
      </c>
      <c r="J232" s="6"/>
      <c r="K232" s="8" t="s">
        <v>737</v>
      </c>
      <c r="L232" s="6" t="s">
        <v>738</v>
      </c>
      <c r="M232" s="6" t="s">
        <v>105</v>
      </c>
      <c r="N232" s="6"/>
      <c r="O232" s="109"/>
      <c r="P232" s="109"/>
      <c r="Q232" s="109"/>
      <c r="R232" s="109"/>
      <c r="S232" s="109"/>
      <c r="T232" s="109"/>
      <c r="U232" s="109"/>
      <c r="V232" s="109"/>
      <c r="W232" s="109"/>
      <c r="X232" s="109"/>
      <c r="Y232" s="109"/>
      <c r="Z232" s="109"/>
      <c r="AA232" s="109"/>
    </row>
    <row r="233" ht="14" spans="1:27">
      <c r="A233" s="40" t="s">
        <v>207</v>
      </c>
      <c r="B233" s="7">
        <v>45966</v>
      </c>
      <c r="C233" s="6" t="str">
        <f t="shared" si="4"/>
        <v>2025年11月</v>
      </c>
      <c r="D233" s="6" t="s">
        <v>12</v>
      </c>
      <c r="E233" s="40" t="s">
        <v>39</v>
      </c>
      <c r="F233" s="141" t="s">
        <v>739</v>
      </c>
      <c r="G233" s="61"/>
      <c r="H233" s="61"/>
      <c r="I233" s="40" t="s">
        <v>82</v>
      </c>
      <c r="J233" s="6"/>
      <c r="K233" s="8" t="s">
        <v>740</v>
      </c>
      <c r="L233" s="6" t="s">
        <v>741</v>
      </c>
      <c r="M233" s="6" t="s">
        <v>105</v>
      </c>
      <c r="N233" s="6"/>
      <c r="O233" s="109" t="s">
        <v>689</v>
      </c>
      <c r="P233" s="109"/>
      <c r="Q233" s="109"/>
      <c r="R233" s="109"/>
      <c r="S233" s="109"/>
      <c r="T233" s="109"/>
      <c r="U233" s="109"/>
      <c r="V233" s="109"/>
      <c r="W233" s="109"/>
      <c r="X233" s="109"/>
      <c r="Y233" s="109"/>
      <c r="Z233" s="109"/>
      <c r="AA233" s="109"/>
    </row>
    <row r="234" ht="14" spans="1:27">
      <c r="A234" s="40" t="s">
        <v>207</v>
      </c>
      <c r="B234" s="7">
        <v>45967</v>
      </c>
      <c r="C234" s="6" t="str">
        <f t="shared" si="4"/>
        <v>2025年11月</v>
      </c>
      <c r="D234" s="6" t="s">
        <v>11</v>
      </c>
      <c r="E234" s="40" t="s">
        <v>40</v>
      </c>
      <c r="F234" s="141" t="s">
        <v>742</v>
      </c>
      <c r="G234" s="61"/>
      <c r="H234" s="61"/>
      <c r="I234" s="40" t="s">
        <v>82</v>
      </c>
      <c r="J234" s="6"/>
      <c r="K234" s="8" t="s">
        <v>743</v>
      </c>
      <c r="L234" s="6" t="s">
        <v>744</v>
      </c>
      <c r="M234" s="6" t="s">
        <v>105</v>
      </c>
      <c r="N234" s="6"/>
      <c r="O234" s="109" t="s">
        <v>685</v>
      </c>
      <c r="P234" s="109"/>
      <c r="Q234" s="109"/>
      <c r="R234" s="109"/>
      <c r="S234" s="109"/>
      <c r="T234" s="109"/>
      <c r="U234" s="109"/>
      <c r="V234" s="109"/>
      <c r="W234" s="109"/>
      <c r="X234" s="109"/>
      <c r="Y234" s="109"/>
      <c r="Z234" s="109"/>
      <c r="AA234" s="109"/>
    </row>
    <row r="235" ht="14" spans="1:27">
      <c r="A235" s="40" t="s">
        <v>207</v>
      </c>
      <c r="B235" s="7">
        <v>45968</v>
      </c>
      <c r="C235" s="6" t="str">
        <f t="shared" si="4"/>
        <v>2025年11月</v>
      </c>
      <c r="D235" s="6" t="s">
        <v>10</v>
      </c>
      <c r="E235" s="40" t="s">
        <v>39</v>
      </c>
      <c r="F235" s="141" t="s">
        <v>745</v>
      </c>
      <c r="G235" s="61"/>
      <c r="H235" s="61"/>
      <c r="I235" s="40" t="s">
        <v>82</v>
      </c>
      <c r="J235" s="6"/>
      <c r="K235" s="8" t="s">
        <v>284</v>
      </c>
      <c r="L235" s="6" t="s">
        <v>285</v>
      </c>
      <c r="M235" s="6" t="s">
        <v>105</v>
      </c>
      <c r="N235" s="6"/>
      <c r="O235" s="109" t="s">
        <v>735</v>
      </c>
      <c r="P235" s="109"/>
      <c r="Q235" s="109"/>
      <c r="R235" s="109"/>
      <c r="S235" s="109"/>
      <c r="T235" s="109"/>
      <c r="U235" s="109"/>
      <c r="V235" s="109"/>
      <c r="W235" s="109"/>
      <c r="X235" s="109"/>
      <c r="Y235" s="109"/>
      <c r="Z235" s="109"/>
      <c r="AA235" s="109"/>
    </row>
    <row r="236" ht="14" spans="1:27">
      <c r="A236" s="40" t="s">
        <v>547</v>
      </c>
      <c r="B236" s="7">
        <v>45975</v>
      </c>
      <c r="C236" s="6" t="str">
        <f t="shared" si="4"/>
        <v>2025年11月</v>
      </c>
      <c r="D236" s="6" t="s">
        <v>11</v>
      </c>
      <c r="E236" s="40" t="s">
        <v>41</v>
      </c>
      <c r="F236" s="141" t="s">
        <v>746</v>
      </c>
      <c r="G236" s="61"/>
      <c r="H236" s="61"/>
      <c r="I236" s="40" t="s">
        <v>422</v>
      </c>
      <c r="J236" s="6"/>
      <c r="K236" s="8" t="s">
        <v>747</v>
      </c>
      <c r="L236" s="6" t="s">
        <v>748</v>
      </c>
      <c r="M236" s="6" t="s">
        <v>105</v>
      </c>
      <c r="N236" s="6"/>
      <c r="O236" s="109" t="s">
        <v>179</v>
      </c>
      <c r="P236" s="109" t="s">
        <v>749</v>
      </c>
      <c r="Q236" s="109"/>
      <c r="R236" s="109"/>
      <c r="S236" s="109"/>
      <c r="T236" s="109"/>
      <c r="U236" s="109"/>
      <c r="V236" s="109"/>
      <c r="W236" s="109"/>
      <c r="X236" s="109"/>
      <c r="Y236" s="109"/>
      <c r="Z236" s="109"/>
      <c r="AA236" s="109"/>
    </row>
    <row r="237" ht="14" spans="1:27">
      <c r="A237" s="40" t="s">
        <v>142</v>
      </c>
      <c r="B237" s="7">
        <v>45988</v>
      </c>
      <c r="C237" s="6" t="str">
        <f t="shared" si="4"/>
        <v>2025年11月</v>
      </c>
      <c r="D237" s="6" t="s">
        <v>10</v>
      </c>
      <c r="E237" s="40" t="s">
        <v>43</v>
      </c>
      <c r="F237" s="141" t="s">
        <v>750</v>
      </c>
      <c r="G237" s="61"/>
      <c r="H237" s="61"/>
      <c r="I237" s="40" t="s">
        <v>82</v>
      </c>
      <c r="J237" s="6"/>
      <c r="K237" s="8"/>
      <c r="L237" s="6"/>
      <c r="M237" s="6" t="s">
        <v>105</v>
      </c>
      <c r="N237" s="6"/>
      <c r="O237" s="109"/>
      <c r="P237" s="109"/>
      <c r="Q237" s="109"/>
      <c r="R237" s="109"/>
      <c r="S237" s="109"/>
      <c r="T237" s="109"/>
      <c r="U237" s="109"/>
      <c r="V237" s="109"/>
      <c r="W237" s="109"/>
      <c r="X237" s="109"/>
      <c r="Y237" s="109"/>
      <c r="Z237" s="109"/>
      <c r="AA237" s="109"/>
    </row>
    <row r="238" ht="14" spans="1:27">
      <c r="A238" s="40" t="s">
        <v>207</v>
      </c>
      <c r="B238" s="7">
        <v>45988</v>
      </c>
      <c r="C238" s="6" t="str">
        <f t="shared" si="4"/>
        <v>2025年11月</v>
      </c>
      <c r="D238" s="6" t="s">
        <v>12</v>
      </c>
      <c r="E238" s="40" t="s">
        <v>39</v>
      </c>
      <c r="F238" s="141" t="s">
        <v>751</v>
      </c>
      <c r="G238" s="61"/>
      <c r="H238" s="61"/>
      <c r="I238" s="40" t="s">
        <v>82</v>
      </c>
      <c r="J238" s="6"/>
      <c r="K238" s="8" t="s">
        <v>752</v>
      </c>
      <c r="L238" s="6" t="s">
        <v>753</v>
      </c>
      <c r="M238" s="6" t="s">
        <v>105</v>
      </c>
      <c r="N238" s="6"/>
      <c r="O238" s="109" t="s">
        <v>689</v>
      </c>
      <c r="P238" s="109"/>
      <c r="Q238" s="109"/>
      <c r="R238" s="109"/>
      <c r="S238" s="109"/>
      <c r="T238" s="109"/>
      <c r="U238" s="109"/>
      <c r="V238" s="109"/>
      <c r="W238" s="109"/>
      <c r="X238" s="109"/>
      <c r="Y238" s="109"/>
      <c r="Z238" s="109"/>
      <c r="AA238" s="109"/>
    </row>
    <row r="239" ht="14" spans="1:27">
      <c r="A239" s="40" t="s">
        <v>142</v>
      </c>
      <c r="B239" s="7">
        <v>45996</v>
      </c>
      <c r="C239" s="6" t="str">
        <f t="shared" si="4"/>
        <v>2025年12月</v>
      </c>
      <c r="D239" s="6" t="s">
        <v>12</v>
      </c>
      <c r="E239" s="40" t="s">
        <v>39</v>
      </c>
      <c r="F239" s="141" t="s">
        <v>754</v>
      </c>
      <c r="G239" s="61"/>
      <c r="H239" s="61"/>
      <c r="I239" s="40" t="s">
        <v>82</v>
      </c>
      <c r="J239" s="6"/>
      <c r="K239" s="8" t="s">
        <v>755</v>
      </c>
      <c r="L239" s="6" t="s">
        <v>756</v>
      </c>
      <c r="M239" s="6" t="s">
        <v>105</v>
      </c>
      <c r="N239" s="6"/>
      <c r="O239" s="109"/>
      <c r="P239" s="109"/>
      <c r="Q239" s="109"/>
      <c r="R239" s="109"/>
      <c r="S239" s="109"/>
      <c r="T239" s="109"/>
      <c r="U239" s="109"/>
      <c r="V239" s="109"/>
      <c r="W239" s="109"/>
      <c r="X239" s="109"/>
      <c r="Y239" s="109"/>
      <c r="Z239" s="109"/>
      <c r="AA239" s="109"/>
    </row>
    <row r="240" ht="14" spans="1:27">
      <c r="A240" s="40" t="s">
        <v>207</v>
      </c>
      <c r="B240" s="7">
        <v>45999</v>
      </c>
      <c r="C240" s="6" t="str">
        <f t="shared" si="4"/>
        <v>2025年12月</v>
      </c>
      <c r="D240" s="6" t="s">
        <v>10</v>
      </c>
      <c r="E240" s="40" t="s">
        <v>39</v>
      </c>
      <c r="F240" s="141" t="s">
        <v>757</v>
      </c>
      <c r="G240" s="61"/>
      <c r="H240" s="61"/>
      <c r="I240" s="40" t="s">
        <v>82</v>
      </c>
      <c r="J240" s="6"/>
      <c r="K240" s="8" t="s">
        <v>758</v>
      </c>
      <c r="L240" s="6" t="s">
        <v>759</v>
      </c>
      <c r="M240" s="6" t="s">
        <v>105</v>
      </c>
      <c r="N240" s="6"/>
      <c r="O240" s="10" t="s">
        <v>689</v>
      </c>
      <c r="P240" s="109"/>
      <c r="Q240" s="109"/>
      <c r="R240" s="109"/>
      <c r="S240" s="109"/>
      <c r="T240" s="109"/>
      <c r="U240" s="109"/>
      <c r="V240" s="109"/>
      <c r="W240" s="109"/>
      <c r="X240" s="109"/>
      <c r="Y240" s="109"/>
      <c r="Z240" s="109"/>
      <c r="AA240" s="109"/>
    </row>
    <row r="241" ht="14" spans="1:27">
      <c r="A241" s="40" t="s">
        <v>207</v>
      </c>
      <c r="B241" s="7">
        <v>46001</v>
      </c>
      <c r="C241" s="6" t="str">
        <f t="shared" si="4"/>
        <v>2025年12月</v>
      </c>
      <c r="D241" s="6" t="s">
        <v>12</v>
      </c>
      <c r="E241" s="40" t="s">
        <v>39</v>
      </c>
      <c r="F241" s="141" t="s">
        <v>760</v>
      </c>
      <c r="G241" s="61"/>
      <c r="H241" s="61"/>
      <c r="I241" s="40" t="s">
        <v>82</v>
      </c>
      <c r="J241" s="6"/>
      <c r="K241" s="8" t="s">
        <v>761</v>
      </c>
      <c r="L241" s="6" t="s">
        <v>762</v>
      </c>
      <c r="M241" s="6" t="s">
        <v>105</v>
      </c>
      <c r="N241" s="6"/>
      <c r="O241" s="109" t="s">
        <v>763</v>
      </c>
      <c r="P241" s="109" t="s">
        <v>764</v>
      </c>
      <c r="Q241" s="7">
        <v>46006</v>
      </c>
      <c r="R241" s="7">
        <v>46007</v>
      </c>
      <c r="S241" s="109"/>
      <c r="T241" s="109"/>
      <c r="U241" s="109"/>
      <c r="V241" s="109"/>
      <c r="W241" s="109"/>
      <c r="X241" s="109"/>
      <c r="Y241" s="109"/>
      <c r="Z241" s="109"/>
      <c r="AA241" s="109"/>
    </row>
    <row r="242" ht="14" spans="1:27">
      <c r="A242" s="40" t="s">
        <v>207</v>
      </c>
      <c r="B242" s="7">
        <v>46003</v>
      </c>
      <c r="C242" s="6" t="str">
        <f t="shared" si="4"/>
        <v>2025年12月</v>
      </c>
      <c r="D242" s="6" t="s">
        <v>12</v>
      </c>
      <c r="E242" s="40" t="s">
        <v>39</v>
      </c>
      <c r="F242" s="141" t="s">
        <v>765</v>
      </c>
      <c r="G242" s="61"/>
      <c r="H242" s="61"/>
      <c r="I242" s="40" t="s">
        <v>82</v>
      </c>
      <c r="J242" s="6"/>
      <c r="K242" s="71" t="s">
        <v>766</v>
      </c>
      <c r="L242" s="6" t="s">
        <v>767</v>
      </c>
      <c r="M242" s="6" t="s">
        <v>105</v>
      </c>
      <c r="N242" s="6"/>
      <c r="O242" s="10" t="s">
        <v>763</v>
      </c>
      <c r="P242" s="10" t="s">
        <v>764</v>
      </c>
      <c r="Q242" s="109"/>
      <c r="R242" s="109"/>
      <c r="S242" s="109"/>
      <c r="T242" s="109"/>
      <c r="U242" s="109"/>
      <c r="V242" s="109"/>
      <c r="W242" s="109"/>
      <c r="X242" s="109"/>
      <c r="Y242" s="109"/>
      <c r="Z242" s="109"/>
      <c r="AA242" s="109"/>
    </row>
    <row r="243" ht="14" spans="1:27">
      <c r="A243" s="40" t="s">
        <v>547</v>
      </c>
      <c r="B243" s="7">
        <v>46006</v>
      </c>
      <c r="C243" s="6" t="str">
        <f t="shared" si="4"/>
        <v>2025年12月</v>
      </c>
      <c r="D243" s="6" t="s">
        <v>11</v>
      </c>
      <c r="E243" s="40" t="s">
        <v>41</v>
      </c>
      <c r="F243" s="141" t="s">
        <v>768</v>
      </c>
      <c r="G243" s="61"/>
      <c r="H243" s="61"/>
      <c r="I243" s="40" t="s">
        <v>422</v>
      </c>
      <c r="J243" s="6"/>
      <c r="K243" s="8" t="s">
        <v>747</v>
      </c>
      <c r="L243" s="6" t="s">
        <v>748</v>
      </c>
      <c r="M243" s="6" t="s">
        <v>105</v>
      </c>
      <c r="N243" s="6"/>
      <c r="O243" s="10" t="s">
        <v>179</v>
      </c>
      <c r="P243" s="109" t="s">
        <v>749</v>
      </c>
      <c r="Q243" s="109"/>
      <c r="R243" s="109"/>
      <c r="S243" s="109"/>
      <c r="T243" s="109"/>
      <c r="U243" s="109"/>
      <c r="V243" s="109"/>
      <c r="W243" s="109"/>
      <c r="X243" s="109"/>
      <c r="Y243" s="109"/>
      <c r="Z243" s="109"/>
      <c r="AA243" s="109"/>
    </row>
    <row r="244" ht="14" spans="1:27">
      <c r="A244" s="40" t="s">
        <v>207</v>
      </c>
      <c r="B244" s="7">
        <v>46006</v>
      </c>
      <c r="C244" s="6" t="str">
        <f t="shared" si="4"/>
        <v>2025年12月</v>
      </c>
      <c r="D244" s="6" t="s">
        <v>12</v>
      </c>
      <c r="E244" s="40" t="s">
        <v>39</v>
      </c>
      <c r="F244" s="141" t="s">
        <v>769</v>
      </c>
      <c r="G244" s="61"/>
      <c r="H244" s="61"/>
      <c r="I244" s="40" t="s">
        <v>82</v>
      </c>
      <c r="J244" s="6"/>
      <c r="K244" s="8" t="s">
        <v>770</v>
      </c>
      <c r="L244" s="8" t="s">
        <v>770</v>
      </c>
      <c r="M244" s="6" t="s">
        <v>105</v>
      </c>
      <c r="N244" s="6"/>
      <c r="O244" s="10" t="s">
        <v>763</v>
      </c>
      <c r="P244" s="10" t="s">
        <v>764</v>
      </c>
      <c r="Q244" s="109"/>
      <c r="R244" s="109"/>
      <c r="S244" s="109"/>
      <c r="T244" s="109"/>
      <c r="U244" s="109"/>
      <c r="V244" s="109"/>
      <c r="W244" s="109"/>
      <c r="X244" s="109"/>
      <c r="Y244" s="109"/>
      <c r="Z244" s="109"/>
      <c r="AA244" s="109"/>
    </row>
    <row r="245" ht="14" spans="1:27">
      <c r="A245" s="40" t="s">
        <v>207</v>
      </c>
      <c r="B245" s="7">
        <v>46006</v>
      </c>
      <c r="C245" s="6" t="str">
        <f t="shared" si="4"/>
        <v>2025年12月</v>
      </c>
      <c r="D245" s="6" t="s">
        <v>12</v>
      </c>
      <c r="E245" s="40" t="s">
        <v>39</v>
      </c>
      <c r="F245" s="141" t="s">
        <v>771</v>
      </c>
      <c r="G245" s="61"/>
      <c r="H245" s="61"/>
      <c r="I245" s="40" t="s">
        <v>82</v>
      </c>
      <c r="J245" s="6"/>
      <c r="K245" s="8" t="s">
        <v>772</v>
      </c>
      <c r="L245" s="6" t="s">
        <v>773</v>
      </c>
      <c r="M245" s="6" t="s">
        <v>105</v>
      </c>
      <c r="N245" s="6"/>
      <c r="O245" s="109" t="s">
        <v>774</v>
      </c>
      <c r="P245" s="109"/>
      <c r="Q245" s="109"/>
      <c r="R245" s="109"/>
      <c r="S245" s="109"/>
      <c r="T245" s="109"/>
      <c r="U245" s="109"/>
      <c r="V245" s="109"/>
      <c r="W245" s="109"/>
      <c r="X245" s="109"/>
      <c r="Y245" s="109"/>
      <c r="Z245" s="109"/>
      <c r="AA245" s="109"/>
    </row>
    <row r="246" ht="14" spans="1:27">
      <c r="A246" s="40" t="s">
        <v>207</v>
      </c>
      <c r="B246" s="7">
        <v>46008</v>
      </c>
      <c r="C246" s="6" t="str">
        <f t="shared" si="4"/>
        <v>2025年12月</v>
      </c>
      <c r="D246" s="6" t="s">
        <v>12</v>
      </c>
      <c r="E246" s="40" t="s">
        <v>39</v>
      </c>
      <c r="F246" s="141" t="s">
        <v>775</v>
      </c>
      <c r="G246" s="61"/>
      <c r="H246" s="61"/>
      <c r="I246" s="40" t="s">
        <v>422</v>
      </c>
      <c r="J246" s="6"/>
      <c r="K246" s="8" t="s">
        <v>776</v>
      </c>
      <c r="L246" s="6" t="s">
        <v>777</v>
      </c>
      <c r="M246" s="6" t="s">
        <v>105</v>
      </c>
      <c r="N246" s="6"/>
      <c r="O246" s="109" t="s">
        <v>778</v>
      </c>
      <c r="P246" s="109" t="s">
        <v>779</v>
      </c>
      <c r="Q246" s="109"/>
      <c r="R246" s="109"/>
      <c r="S246" s="109"/>
      <c r="T246" s="109"/>
      <c r="U246" s="109"/>
      <c r="V246" s="109"/>
      <c r="W246" s="109"/>
      <c r="X246" s="109"/>
      <c r="Y246" s="109"/>
      <c r="Z246" s="109"/>
      <c r="AA246" s="109"/>
    </row>
    <row r="247" ht="14" spans="1:27">
      <c r="A247" s="40" t="s">
        <v>207</v>
      </c>
      <c r="B247" s="7">
        <v>46014</v>
      </c>
      <c r="C247" s="6" t="str">
        <f t="shared" si="4"/>
        <v>2025年12月</v>
      </c>
      <c r="D247" s="6" t="s">
        <v>12</v>
      </c>
      <c r="E247" s="40" t="s">
        <v>39</v>
      </c>
      <c r="F247" s="141" t="s">
        <v>780</v>
      </c>
      <c r="G247" s="61"/>
      <c r="H247" s="61"/>
      <c r="I247" s="40" t="s">
        <v>82</v>
      </c>
      <c r="J247" s="6"/>
      <c r="K247" s="8" t="s">
        <v>268</v>
      </c>
      <c r="L247" s="6" t="s">
        <v>269</v>
      </c>
      <c r="M247" s="6" t="s">
        <v>105</v>
      </c>
      <c r="N247" s="6"/>
      <c r="O247" s="109" t="s">
        <v>781</v>
      </c>
      <c r="P247" s="109"/>
      <c r="Q247" s="109"/>
      <c r="R247" s="109"/>
      <c r="S247" s="109"/>
      <c r="T247" s="109"/>
      <c r="U247" s="109"/>
      <c r="V247" s="109"/>
      <c r="W247" s="109"/>
      <c r="X247" s="109"/>
      <c r="Y247" s="109"/>
      <c r="Z247" s="109"/>
      <c r="AA247" s="109"/>
    </row>
    <row r="248" ht="14" spans="1:27">
      <c r="A248" s="40" t="s">
        <v>207</v>
      </c>
      <c r="B248" s="7">
        <v>46027</v>
      </c>
      <c r="C248" s="6" t="str">
        <f t="shared" si="4"/>
        <v>2026年1月</v>
      </c>
      <c r="D248" s="6" t="s">
        <v>10</v>
      </c>
      <c r="E248" s="40" t="s">
        <v>39</v>
      </c>
      <c r="F248" s="141" t="s">
        <v>782</v>
      </c>
      <c r="G248" s="61"/>
      <c r="H248" s="61"/>
      <c r="I248" s="40" t="s">
        <v>82</v>
      </c>
      <c r="J248" s="6"/>
      <c r="K248" s="8" t="s">
        <v>783</v>
      </c>
      <c r="L248" s="6" t="s">
        <v>784</v>
      </c>
      <c r="M248" s="6" t="s">
        <v>105</v>
      </c>
      <c r="N248" s="6"/>
      <c r="O248" s="109" t="s">
        <v>785</v>
      </c>
      <c r="P248" s="109"/>
      <c r="Q248" s="109"/>
      <c r="R248" s="109"/>
      <c r="S248" s="109"/>
      <c r="T248" s="109"/>
      <c r="U248" s="109"/>
      <c r="V248" s="109"/>
      <c r="W248" s="109"/>
      <c r="X248" s="109"/>
      <c r="Y248" s="109"/>
      <c r="Z248" s="109"/>
      <c r="AA248" s="109"/>
    </row>
    <row r="249" ht="14" spans="1:27">
      <c r="A249" s="40" t="s">
        <v>207</v>
      </c>
      <c r="B249" s="7">
        <v>46028</v>
      </c>
      <c r="C249" s="6" t="str">
        <f t="shared" si="4"/>
        <v>2026年1月</v>
      </c>
      <c r="D249" s="6" t="s">
        <v>12</v>
      </c>
      <c r="E249" s="40" t="s">
        <v>39</v>
      </c>
      <c r="F249" s="109" t="s">
        <v>786</v>
      </c>
      <c r="G249" s="61"/>
      <c r="H249" s="61"/>
      <c r="I249" s="40" t="s">
        <v>787</v>
      </c>
      <c r="J249" s="6"/>
      <c r="K249" s="8" t="s">
        <v>788</v>
      </c>
      <c r="L249" s="6" t="s">
        <v>789</v>
      </c>
      <c r="M249" s="6" t="s">
        <v>105</v>
      </c>
      <c r="N249" s="6"/>
      <c r="O249" s="109" t="s">
        <v>715</v>
      </c>
      <c r="P249" s="109" t="s">
        <v>350</v>
      </c>
      <c r="Q249" s="109"/>
      <c r="R249" s="109"/>
      <c r="S249" s="109"/>
      <c r="T249" s="109"/>
      <c r="U249" s="109"/>
      <c r="V249" s="109"/>
      <c r="W249" s="109"/>
      <c r="X249" s="109"/>
      <c r="Y249" s="109"/>
      <c r="Z249" s="109"/>
      <c r="AA249" s="109"/>
    </row>
    <row r="250" ht="14" spans="1:27">
      <c r="A250" s="40" t="s">
        <v>547</v>
      </c>
      <c r="B250" s="7">
        <v>46031</v>
      </c>
      <c r="C250" s="6" t="str">
        <f t="shared" si="4"/>
        <v>2026年1月</v>
      </c>
      <c r="D250" s="6" t="s">
        <v>10</v>
      </c>
      <c r="E250" s="40" t="s">
        <v>54</v>
      </c>
      <c r="F250" s="141" t="s">
        <v>790</v>
      </c>
      <c r="G250" s="61"/>
      <c r="H250" s="61"/>
      <c r="I250" s="40" t="s">
        <v>290</v>
      </c>
      <c r="J250" s="6"/>
      <c r="K250" s="8" t="s">
        <v>791</v>
      </c>
      <c r="L250" s="6" t="s">
        <v>792</v>
      </c>
      <c r="M250" s="6" t="s">
        <v>105</v>
      </c>
      <c r="N250" s="6"/>
      <c r="O250" s="109" t="s">
        <v>120</v>
      </c>
      <c r="P250" s="109"/>
      <c r="Q250" s="109"/>
      <c r="R250" s="109"/>
      <c r="S250" s="109"/>
      <c r="T250" s="109"/>
      <c r="U250" s="109"/>
      <c r="V250" s="109"/>
      <c r="W250" s="109"/>
      <c r="X250" s="109"/>
      <c r="Y250" s="109"/>
      <c r="Z250" s="109"/>
      <c r="AA250" s="109"/>
    </row>
    <row r="251" ht="14" spans="1:27">
      <c r="A251" s="40" t="s">
        <v>207</v>
      </c>
      <c r="B251" s="7">
        <v>46034</v>
      </c>
      <c r="C251" s="6" t="str">
        <f t="shared" si="4"/>
        <v>2026年1月</v>
      </c>
      <c r="D251" s="6" t="s">
        <v>12</v>
      </c>
      <c r="E251" s="40" t="s">
        <v>39</v>
      </c>
      <c r="F251" s="109" t="s">
        <v>793</v>
      </c>
      <c r="G251" s="61"/>
      <c r="H251" s="61"/>
      <c r="I251" s="40" t="s">
        <v>82</v>
      </c>
      <c r="J251" s="6"/>
      <c r="K251" s="8" t="s">
        <v>432</v>
      </c>
      <c r="L251" s="6" t="s">
        <v>433</v>
      </c>
      <c r="M251" s="6" t="s">
        <v>105</v>
      </c>
      <c r="N251" s="6"/>
      <c r="O251" s="109" t="s">
        <v>794</v>
      </c>
      <c r="P251" s="109"/>
      <c r="Q251" s="109"/>
      <c r="R251" s="109"/>
      <c r="S251" s="109"/>
      <c r="T251" s="109"/>
      <c r="U251" s="109"/>
      <c r="V251" s="109"/>
      <c r="W251" s="109"/>
      <c r="X251" s="109"/>
      <c r="Y251" s="109"/>
      <c r="Z251" s="109"/>
      <c r="AA251" s="109"/>
    </row>
    <row r="252" ht="14" spans="1:27">
      <c r="A252" s="40" t="s">
        <v>207</v>
      </c>
      <c r="B252" s="7">
        <v>46036</v>
      </c>
      <c r="C252" s="6" t="str">
        <f t="shared" si="4"/>
        <v>2026年1月</v>
      </c>
      <c r="D252" s="6" t="s">
        <v>10</v>
      </c>
      <c r="E252" s="40" t="s">
        <v>39</v>
      </c>
      <c r="F252" s="141" t="s">
        <v>795</v>
      </c>
      <c r="G252" s="61"/>
      <c r="H252" s="61"/>
      <c r="I252" s="40" t="s">
        <v>82</v>
      </c>
      <c r="J252" s="6"/>
      <c r="K252" s="8" t="s">
        <v>796</v>
      </c>
      <c r="L252" s="6" t="s">
        <v>797</v>
      </c>
      <c r="M252" s="6" t="s">
        <v>105</v>
      </c>
      <c r="N252" s="6"/>
      <c r="O252" s="109" t="s">
        <v>674</v>
      </c>
      <c r="P252" s="109"/>
      <c r="Q252" s="109"/>
      <c r="R252" s="109"/>
      <c r="S252" s="109"/>
      <c r="T252" s="109"/>
      <c r="U252" s="109"/>
      <c r="V252" s="109"/>
      <c r="W252" s="109"/>
      <c r="X252" s="109"/>
      <c r="Y252" s="109"/>
      <c r="Z252" s="109"/>
      <c r="AA252" s="109"/>
    </row>
    <row r="253" ht="14" spans="1:27">
      <c r="A253" s="40" t="s">
        <v>207</v>
      </c>
      <c r="B253" s="7">
        <v>46036</v>
      </c>
      <c r="C253" s="6" t="str">
        <f t="shared" si="4"/>
        <v>2026年1月</v>
      </c>
      <c r="D253" s="6" t="s">
        <v>12</v>
      </c>
      <c r="E253" s="40" t="s">
        <v>39</v>
      </c>
      <c r="F253" s="141" t="s">
        <v>798</v>
      </c>
      <c r="G253" s="61"/>
      <c r="H253" s="61"/>
      <c r="I253" s="40" t="s">
        <v>787</v>
      </c>
      <c r="J253" s="6"/>
      <c r="K253" s="8" t="s">
        <v>788</v>
      </c>
      <c r="L253" s="6" t="s">
        <v>789</v>
      </c>
      <c r="M253" s="6" t="s">
        <v>105</v>
      </c>
      <c r="N253" s="6"/>
      <c r="O253" s="10" t="s">
        <v>715</v>
      </c>
      <c r="P253" s="10" t="s">
        <v>350</v>
      </c>
      <c r="Q253" s="109"/>
      <c r="R253" s="109"/>
      <c r="S253" s="109"/>
      <c r="T253" s="109"/>
      <c r="U253" s="109"/>
      <c r="V253" s="109"/>
      <c r="W253" s="109"/>
      <c r="X253" s="109"/>
      <c r="Y253" s="109"/>
      <c r="Z253" s="109"/>
      <c r="AA253" s="109"/>
    </row>
    <row r="254" ht="14" spans="1:27">
      <c r="A254" s="40" t="s">
        <v>207</v>
      </c>
      <c r="B254" s="7">
        <v>46038</v>
      </c>
      <c r="C254" s="6" t="str">
        <f t="shared" si="4"/>
        <v>2026年1月</v>
      </c>
      <c r="D254" s="6" t="s">
        <v>10</v>
      </c>
      <c r="E254" s="40" t="s">
        <v>39</v>
      </c>
      <c r="F254" s="109" t="s">
        <v>799</v>
      </c>
      <c r="G254" s="61"/>
      <c r="H254" s="61">
        <v>7990006139</v>
      </c>
      <c r="I254" s="40" t="s">
        <v>82</v>
      </c>
      <c r="J254" s="6"/>
      <c r="K254" s="8" t="s">
        <v>451</v>
      </c>
      <c r="L254" s="6" t="s">
        <v>452</v>
      </c>
      <c r="M254" s="6" t="s">
        <v>105</v>
      </c>
      <c r="N254" s="6"/>
      <c r="O254" s="109" t="s">
        <v>800</v>
      </c>
      <c r="P254" s="109"/>
      <c r="Q254" s="109"/>
      <c r="R254" s="109"/>
      <c r="S254" s="109"/>
      <c r="T254" s="109"/>
      <c r="U254" s="109"/>
      <c r="V254" s="109"/>
      <c r="W254" s="109"/>
      <c r="X254" s="109"/>
      <c r="Y254" s="109"/>
      <c r="Z254" s="109"/>
      <c r="AA254" s="109"/>
    </row>
    <row r="255" ht="14" spans="1:27">
      <c r="A255" s="40" t="s">
        <v>207</v>
      </c>
      <c r="B255" s="7">
        <v>46038</v>
      </c>
      <c r="C255" s="6" t="str">
        <f t="shared" si="4"/>
        <v>2026年1月</v>
      </c>
      <c r="D255" s="6" t="s">
        <v>12</v>
      </c>
      <c r="E255" s="40" t="s">
        <v>39</v>
      </c>
      <c r="F255" s="141" t="s">
        <v>799</v>
      </c>
      <c r="G255" s="61"/>
      <c r="H255" s="61">
        <v>7990004606</v>
      </c>
      <c r="I255" s="40" t="s">
        <v>82</v>
      </c>
      <c r="J255" s="6"/>
      <c r="K255" s="8" t="s">
        <v>451</v>
      </c>
      <c r="L255" s="6" t="s">
        <v>452</v>
      </c>
      <c r="M255" s="6" t="s">
        <v>105</v>
      </c>
      <c r="N255" s="6"/>
      <c r="O255" s="109" t="s">
        <v>800</v>
      </c>
      <c r="P255" s="109"/>
      <c r="Q255" s="109"/>
      <c r="R255" s="109"/>
      <c r="S255" s="109"/>
      <c r="T255" s="109"/>
      <c r="U255" s="109"/>
      <c r="V255" s="109"/>
      <c r="W255" s="109"/>
      <c r="X255" s="109"/>
      <c r="Y255" s="109"/>
      <c r="Z255" s="109"/>
      <c r="AA255" s="109"/>
    </row>
    <row r="256" ht="14" spans="1:27">
      <c r="A256" s="40" t="s">
        <v>207</v>
      </c>
      <c r="B256" s="7">
        <v>46038</v>
      </c>
      <c r="C256" s="6" t="str">
        <f t="shared" si="4"/>
        <v>2026年1月</v>
      </c>
      <c r="D256" s="6" t="s">
        <v>12</v>
      </c>
      <c r="E256" s="40" t="s">
        <v>39</v>
      </c>
      <c r="F256" s="141" t="s">
        <v>799</v>
      </c>
      <c r="G256" s="61"/>
      <c r="H256" s="61">
        <v>7990010571</v>
      </c>
      <c r="I256" s="40" t="s">
        <v>82</v>
      </c>
      <c r="J256" s="6"/>
      <c r="K256" s="8" t="s">
        <v>717</v>
      </c>
      <c r="L256" s="6" t="s">
        <v>718</v>
      </c>
      <c r="M256" s="6" t="s">
        <v>105</v>
      </c>
      <c r="N256" s="6"/>
      <c r="O256" s="109" t="s">
        <v>801</v>
      </c>
      <c r="P256" s="109"/>
      <c r="Q256" s="109"/>
      <c r="R256" s="109"/>
      <c r="S256" s="109"/>
      <c r="T256" s="109"/>
      <c r="U256" s="109"/>
      <c r="V256" s="109"/>
      <c r="W256" s="109"/>
      <c r="X256" s="109"/>
      <c r="Y256" s="109"/>
      <c r="Z256" s="109"/>
      <c r="AA256" s="109"/>
    </row>
    <row r="257" ht="14" spans="1:27">
      <c r="A257" s="40" t="s">
        <v>547</v>
      </c>
      <c r="B257" s="7">
        <v>46042</v>
      </c>
      <c r="C257" s="6" t="str">
        <f t="shared" si="4"/>
        <v>2026年1月</v>
      </c>
      <c r="D257" s="6" t="s">
        <v>10</v>
      </c>
      <c r="E257" s="40" t="s">
        <v>41</v>
      </c>
      <c r="F257" s="141" t="s">
        <v>802</v>
      </c>
      <c r="G257" s="61"/>
      <c r="H257" s="61"/>
      <c r="I257" s="40" t="s">
        <v>82</v>
      </c>
      <c r="J257" s="6"/>
      <c r="K257" s="8" t="s">
        <v>803</v>
      </c>
      <c r="L257" s="6" t="s">
        <v>804</v>
      </c>
      <c r="M257" s="6" t="s">
        <v>7</v>
      </c>
      <c r="N257" s="6"/>
      <c r="O257" s="109" t="s">
        <v>111</v>
      </c>
      <c r="P257" s="109"/>
      <c r="Q257" s="109"/>
      <c r="R257" s="109"/>
      <c r="S257" s="109"/>
      <c r="T257" s="109"/>
      <c r="U257" s="109"/>
      <c r="V257" s="109"/>
      <c r="W257" s="109"/>
      <c r="X257" s="109"/>
      <c r="Y257" s="109"/>
      <c r="Z257" s="109"/>
      <c r="AA257" s="109"/>
    </row>
    <row r="258" ht="28" spans="1:27">
      <c r="A258" s="40" t="s">
        <v>547</v>
      </c>
      <c r="B258" s="7">
        <v>46059</v>
      </c>
      <c r="C258" s="6" t="str">
        <f t="shared" si="4"/>
        <v>2026年2月</v>
      </c>
      <c r="D258" s="6" t="s">
        <v>11</v>
      </c>
      <c r="E258" s="40" t="s">
        <v>53</v>
      </c>
      <c r="F258" s="141" t="s">
        <v>805</v>
      </c>
      <c r="G258" s="61"/>
      <c r="H258" s="95" t="s">
        <v>806</v>
      </c>
      <c r="I258" s="40" t="s">
        <v>82</v>
      </c>
      <c r="J258" s="6"/>
      <c r="K258" s="71" t="s">
        <v>807</v>
      </c>
      <c r="L258" s="41" t="s">
        <v>808</v>
      </c>
      <c r="M258" s="6" t="s">
        <v>105</v>
      </c>
      <c r="N258" s="6"/>
      <c r="O258" s="241" t="s">
        <v>809</v>
      </c>
      <c r="P258" s="109"/>
      <c r="Q258" s="109"/>
      <c r="R258" s="109"/>
      <c r="S258" s="109"/>
      <c r="T258" s="109"/>
      <c r="U258" s="109"/>
      <c r="V258" s="109"/>
      <c r="W258" s="109"/>
      <c r="X258" s="109"/>
      <c r="Y258" s="109"/>
      <c r="Z258" s="109"/>
      <c r="AA258" s="109"/>
    </row>
    <row r="259" ht="14" spans="1:27">
      <c r="A259" s="40" t="s">
        <v>207</v>
      </c>
      <c r="B259" s="7">
        <v>46063</v>
      </c>
      <c r="C259" s="6" t="str">
        <f t="shared" si="4"/>
        <v>2026年2月</v>
      </c>
      <c r="D259" s="6" t="s">
        <v>10</v>
      </c>
      <c r="E259" s="40" t="s">
        <v>40</v>
      </c>
      <c r="F259" s="141" t="s">
        <v>810</v>
      </c>
      <c r="G259" s="61"/>
      <c r="H259" s="61"/>
      <c r="I259" s="40" t="s">
        <v>82</v>
      </c>
      <c r="J259" s="6"/>
      <c r="K259" s="8" t="s">
        <v>811</v>
      </c>
      <c r="L259" s="6" t="s">
        <v>812</v>
      </c>
      <c r="M259" s="6" t="s">
        <v>105</v>
      </c>
      <c r="N259" s="6"/>
      <c r="O259" s="109" t="s">
        <v>813</v>
      </c>
      <c r="P259" s="109"/>
      <c r="Q259" s="109"/>
      <c r="R259" s="109"/>
      <c r="S259" s="109"/>
      <c r="T259" s="109"/>
      <c r="U259" s="109"/>
      <c r="V259" s="109"/>
      <c r="W259" s="109"/>
      <c r="X259" s="109"/>
      <c r="Y259" s="109"/>
      <c r="Z259" s="109"/>
      <c r="AA259" s="109"/>
    </row>
    <row r="260" ht="14" spans="1:27">
      <c r="A260" s="40" t="s">
        <v>207</v>
      </c>
      <c r="B260" s="7">
        <v>46064</v>
      </c>
      <c r="C260" s="6" t="str">
        <f t="shared" si="4"/>
        <v>2026年2月</v>
      </c>
      <c r="D260" s="6" t="s">
        <v>10</v>
      </c>
      <c r="E260" s="40" t="s">
        <v>39</v>
      </c>
      <c r="F260" s="141" t="s">
        <v>814</v>
      </c>
      <c r="G260" s="61"/>
      <c r="H260" s="61"/>
      <c r="I260" s="40" t="s">
        <v>422</v>
      </c>
      <c r="J260" s="6"/>
      <c r="K260" s="8" t="s">
        <v>815</v>
      </c>
      <c r="L260" s="6" t="s">
        <v>816</v>
      </c>
      <c r="M260" s="6" t="s">
        <v>105</v>
      </c>
      <c r="N260" s="6"/>
      <c r="O260" s="109" t="s">
        <v>817</v>
      </c>
      <c r="P260" s="109" t="s">
        <v>818</v>
      </c>
      <c r="Q260" s="109"/>
      <c r="R260" s="109"/>
      <c r="S260" s="109"/>
      <c r="T260" s="109"/>
      <c r="U260" s="109"/>
      <c r="V260" s="109"/>
      <c r="W260" s="109"/>
      <c r="X260" s="109"/>
      <c r="Y260" s="109"/>
      <c r="Z260" s="109"/>
      <c r="AA260" s="109"/>
    </row>
    <row r="261" ht="14" spans="1:27">
      <c r="A261" s="40" t="s">
        <v>207</v>
      </c>
      <c r="B261" s="7">
        <v>46064</v>
      </c>
      <c r="C261" s="6" t="str">
        <f t="shared" si="4"/>
        <v>2026年2月</v>
      </c>
      <c r="D261" s="6" t="s">
        <v>10</v>
      </c>
      <c r="E261" s="40" t="s">
        <v>39</v>
      </c>
      <c r="F261" s="141" t="s">
        <v>819</v>
      </c>
      <c r="G261" s="61"/>
      <c r="H261" s="61"/>
      <c r="I261" s="40" t="s">
        <v>82</v>
      </c>
      <c r="J261" s="6"/>
      <c r="K261" s="8" t="s">
        <v>820</v>
      </c>
      <c r="L261" s="6" t="s">
        <v>821</v>
      </c>
      <c r="M261" s="6" t="s">
        <v>105</v>
      </c>
      <c r="N261" s="6"/>
      <c r="O261" s="109" t="s">
        <v>822</v>
      </c>
      <c r="P261" s="109"/>
      <c r="Q261" s="109"/>
      <c r="R261" s="109"/>
      <c r="S261" s="109"/>
      <c r="T261" s="109"/>
      <c r="U261" s="109"/>
      <c r="V261" s="109"/>
      <c r="W261" s="109"/>
      <c r="X261" s="109"/>
      <c r="Y261" s="109"/>
      <c r="Z261" s="109"/>
      <c r="AA261" s="109"/>
    </row>
    <row r="262" ht="14" spans="1:27">
      <c r="A262" s="40" t="s">
        <v>207</v>
      </c>
      <c r="B262" s="7">
        <v>46064</v>
      </c>
      <c r="C262" s="6" t="str">
        <f t="shared" si="4"/>
        <v>2026年2月</v>
      </c>
      <c r="D262" s="6" t="s">
        <v>10</v>
      </c>
      <c r="E262" s="40" t="s">
        <v>39</v>
      </c>
      <c r="F262" s="141" t="s">
        <v>823</v>
      </c>
      <c r="G262" s="61"/>
      <c r="H262" s="61"/>
      <c r="I262" s="40" t="s">
        <v>82</v>
      </c>
      <c r="J262" s="6"/>
      <c r="K262" s="8" t="s">
        <v>824</v>
      </c>
      <c r="L262" s="6" t="s">
        <v>574</v>
      </c>
      <c r="M262" s="6" t="s">
        <v>105</v>
      </c>
      <c r="N262" s="6"/>
      <c r="O262" s="109" t="s">
        <v>825</v>
      </c>
      <c r="P262" s="109" t="s">
        <v>826</v>
      </c>
      <c r="Q262" s="109"/>
      <c r="R262" s="109"/>
      <c r="S262" s="109"/>
      <c r="T262" s="109"/>
      <c r="U262" s="109"/>
      <c r="V262" s="109"/>
      <c r="W262" s="109"/>
      <c r="X262" s="109"/>
      <c r="Y262" s="109"/>
      <c r="Z262" s="109"/>
      <c r="AA262" s="109"/>
    </row>
    <row r="263" ht="14" spans="1:27">
      <c r="A263" s="40" t="s">
        <v>207</v>
      </c>
      <c r="B263" s="7">
        <v>46064</v>
      </c>
      <c r="C263" s="6" t="str">
        <f t="shared" si="4"/>
        <v>2026年2月</v>
      </c>
      <c r="D263" s="6" t="s">
        <v>12</v>
      </c>
      <c r="E263" s="40" t="s">
        <v>39</v>
      </c>
      <c r="F263" s="141" t="s">
        <v>827</v>
      </c>
      <c r="G263" s="61"/>
      <c r="H263" s="61"/>
      <c r="I263" s="40" t="s">
        <v>82</v>
      </c>
      <c r="J263" s="6"/>
      <c r="K263" s="8" t="s">
        <v>828</v>
      </c>
      <c r="L263" s="6" t="s">
        <v>829</v>
      </c>
      <c r="M263" s="6" t="s">
        <v>105</v>
      </c>
      <c r="N263" s="6"/>
      <c r="O263" s="109" t="s">
        <v>689</v>
      </c>
      <c r="P263" s="109"/>
      <c r="Q263" s="109"/>
      <c r="R263" s="109"/>
      <c r="S263" s="109"/>
      <c r="T263" s="109"/>
      <c r="U263" s="109"/>
      <c r="V263" s="109"/>
      <c r="W263" s="109"/>
      <c r="X263" s="109"/>
      <c r="Y263" s="109"/>
      <c r="Z263" s="109"/>
      <c r="AA263" s="109"/>
    </row>
    <row r="264" ht="14" spans="1:27">
      <c r="A264" s="40" t="s">
        <v>207</v>
      </c>
      <c r="B264" s="7">
        <v>46064</v>
      </c>
      <c r="C264" s="6" t="str">
        <f t="shared" si="4"/>
        <v>2026年2月</v>
      </c>
      <c r="D264" s="6" t="s">
        <v>12</v>
      </c>
      <c r="E264" s="40" t="s">
        <v>39</v>
      </c>
      <c r="F264" s="141" t="s">
        <v>830</v>
      </c>
      <c r="G264" s="61"/>
      <c r="H264" s="61"/>
      <c r="I264" s="40" t="s">
        <v>82</v>
      </c>
      <c r="J264" s="6"/>
      <c r="K264" s="8" t="s">
        <v>831</v>
      </c>
      <c r="L264" s="6" t="s">
        <v>832</v>
      </c>
      <c r="M264" s="6" t="s">
        <v>105</v>
      </c>
      <c r="N264" s="6"/>
      <c r="O264" s="109" t="s">
        <v>833</v>
      </c>
      <c r="P264" s="109"/>
      <c r="Q264" s="109"/>
      <c r="R264" s="109"/>
      <c r="S264" s="109"/>
      <c r="T264" s="109"/>
      <c r="U264" s="109"/>
      <c r="V264" s="109"/>
      <c r="W264" s="109"/>
      <c r="X264" s="109"/>
      <c r="Y264" s="109"/>
      <c r="Z264" s="109"/>
      <c r="AA264" s="109"/>
    </row>
    <row r="265" ht="14" spans="1:27">
      <c r="A265" s="40" t="s">
        <v>207</v>
      </c>
      <c r="B265" s="7">
        <v>46065</v>
      </c>
      <c r="C265" s="6" t="str">
        <f t="shared" si="4"/>
        <v>2026年2月</v>
      </c>
      <c r="D265" s="6" t="s">
        <v>12</v>
      </c>
      <c r="E265" s="40" t="s">
        <v>39</v>
      </c>
      <c r="F265" s="141" t="s">
        <v>834</v>
      </c>
      <c r="G265" s="61"/>
      <c r="H265" s="61"/>
      <c r="I265" s="40" t="s">
        <v>82</v>
      </c>
      <c r="J265" s="6"/>
      <c r="K265" s="8" t="s">
        <v>835</v>
      </c>
      <c r="L265" s="6" t="s">
        <v>836</v>
      </c>
      <c r="M265" s="6" t="s">
        <v>105</v>
      </c>
      <c r="N265" s="6"/>
      <c r="O265" s="109" t="s">
        <v>670</v>
      </c>
      <c r="P265" s="109"/>
      <c r="Q265" s="109"/>
      <c r="R265" s="109"/>
      <c r="S265" s="109"/>
      <c r="T265" s="109"/>
      <c r="U265" s="109"/>
      <c r="V265" s="109"/>
      <c r="W265" s="109"/>
      <c r="X265" s="109"/>
      <c r="Y265" s="109"/>
      <c r="Z265" s="109"/>
      <c r="AA265" s="109"/>
    </row>
    <row r="266" ht="14" spans="1:27">
      <c r="A266" s="40" t="s">
        <v>142</v>
      </c>
      <c r="B266" s="7">
        <v>46072</v>
      </c>
      <c r="C266" s="6" t="str">
        <f t="shared" si="4"/>
        <v>2026年2月</v>
      </c>
      <c r="D266" s="6" t="s">
        <v>10</v>
      </c>
      <c r="E266" s="40" t="s">
        <v>40</v>
      </c>
      <c r="F266" s="141" t="s">
        <v>837</v>
      </c>
      <c r="G266" s="61"/>
      <c r="H266" s="61"/>
      <c r="I266" s="40" t="s">
        <v>82</v>
      </c>
      <c r="J266" s="6"/>
      <c r="K266" s="8" t="s">
        <v>737</v>
      </c>
      <c r="L266" s="6" t="s">
        <v>738</v>
      </c>
      <c r="M266" s="6" t="s">
        <v>105</v>
      </c>
      <c r="N266" s="6"/>
      <c r="O266" s="109"/>
      <c r="P266" s="109"/>
      <c r="Q266" s="109"/>
      <c r="R266" s="109"/>
      <c r="S266" s="109"/>
      <c r="T266" s="109"/>
      <c r="U266" s="109"/>
      <c r="V266" s="109"/>
      <c r="W266" s="109"/>
      <c r="X266" s="109"/>
      <c r="Y266" s="109"/>
      <c r="Z266" s="109"/>
      <c r="AA266" s="109"/>
    </row>
    <row r="267" ht="14" spans="1:27">
      <c r="A267" s="40" t="s">
        <v>142</v>
      </c>
      <c r="B267" s="7">
        <v>46073</v>
      </c>
      <c r="C267" s="6" t="str">
        <f t="shared" si="4"/>
        <v>2026年2月</v>
      </c>
      <c r="D267" s="6" t="s">
        <v>12</v>
      </c>
      <c r="E267" s="40" t="s">
        <v>39</v>
      </c>
      <c r="F267" s="141" t="s">
        <v>838</v>
      </c>
      <c r="G267" s="61"/>
      <c r="H267" s="61"/>
      <c r="I267" s="40" t="s">
        <v>82</v>
      </c>
      <c r="J267" s="6"/>
      <c r="K267" s="8" t="s">
        <v>835</v>
      </c>
      <c r="L267" s="6" t="s">
        <v>836</v>
      </c>
      <c r="M267" s="6" t="s">
        <v>105</v>
      </c>
      <c r="N267" s="6"/>
      <c r="O267" s="109"/>
      <c r="P267" s="109"/>
      <c r="Q267" s="109"/>
      <c r="R267" s="109"/>
      <c r="S267" s="109"/>
      <c r="T267" s="109"/>
      <c r="U267" s="109"/>
      <c r="V267" s="109"/>
      <c r="W267" s="109"/>
      <c r="X267" s="109"/>
      <c r="Y267" s="109"/>
      <c r="Z267" s="109"/>
      <c r="AA267" s="109"/>
    </row>
    <row r="268" s="218" customFormat="1" ht="14" spans="1:27">
      <c r="A268" s="216" t="s">
        <v>142</v>
      </c>
      <c r="B268" s="246">
        <v>46077</v>
      </c>
      <c r="C268" s="92" t="str">
        <f t="shared" si="4"/>
        <v>2026年2月</v>
      </c>
      <c r="D268" s="92" t="s">
        <v>10</v>
      </c>
      <c r="E268" s="216" t="s">
        <v>47</v>
      </c>
      <c r="F268" s="245" t="s">
        <v>839</v>
      </c>
      <c r="G268" s="247"/>
      <c r="H268" s="247"/>
      <c r="I268" s="216" t="s">
        <v>82</v>
      </c>
      <c r="J268" s="92"/>
      <c r="K268" s="248" t="s">
        <v>840</v>
      </c>
      <c r="L268" s="92" t="s">
        <v>841</v>
      </c>
      <c r="M268" s="92" t="s">
        <v>105</v>
      </c>
      <c r="N268" s="92"/>
    </row>
    <row r="269" ht="14" spans="1:27">
      <c r="A269" s="40" t="s">
        <v>142</v>
      </c>
      <c r="B269" s="7">
        <v>46077</v>
      </c>
      <c r="C269" s="6" t="str">
        <f t="shared" si="4"/>
        <v>2026年2月</v>
      </c>
      <c r="D269" s="6" t="s">
        <v>12</v>
      </c>
      <c r="E269" s="40" t="s">
        <v>39</v>
      </c>
      <c r="F269" s="141" t="s">
        <v>842</v>
      </c>
      <c r="G269" s="61"/>
      <c r="H269" s="61"/>
      <c r="I269" s="40" t="s">
        <v>82</v>
      </c>
      <c r="J269" s="6"/>
      <c r="K269" s="8" t="s">
        <v>843</v>
      </c>
      <c r="L269" s="6" t="s">
        <v>844</v>
      </c>
      <c r="M269" s="92" t="s">
        <v>105</v>
      </c>
      <c r="N269" s="6"/>
      <c r="O269" s="109"/>
      <c r="P269" s="109"/>
      <c r="Q269" s="109"/>
      <c r="R269" s="109"/>
      <c r="S269" s="109"/>
      <c r="T269" s="109"/>
      <c r="U269" s="109"/>
      <c r="V269" s="109"/>
      <c r="W269" s="109"/>
      <c r="X269" s="109"/>
      <c r="Y269" s="109"/>
      <c r="Z269" s="109"/>
      <c r="AA269" s="109"/>
    </row>
    <row r="270" ht="14" spans="1:27">
      <c r="A270" s="40" t="s">
        <v>584</v>
      </c>
      <c r="B270" s="7">
        <v>46079</v>
      </c>
      <c r="C270" s="6" t="str">
        <f t="shared" si="4"/>
        <v>2026年2月</v>
      </c>
      <c r="D270" s="6" t="s">
        <v>12</v>
      </c>
      <c r="E270" s="216" t="s">
        <v>47</v>
      </c>
      <c r="F270" s="208" t="s">
        <v>845</v>
      </c>
      <c r="G270" s="61"/>
      <c r="H270" s="61"/>
      <c r="I270" s="40" t="s">
        <v>82</v>
      </c>
      <c r="J270" s="6"/>
      <c r="K270" s="8"/>
      <c r="L270" s="6"/>
      <c r="M270" s="92" t="s">
        <v>105</v>
      </c>
      <c r="N270" s="6"/>
    </row>
    <row r="271" ht="14" spans="1:27">
      <c r="A271" s="40" t="s">
        <v>207</v>
      </c>
      <c r="B271" s="7">
        <v>46083</v>
      </c>
      <c r="C271" s="6" t="str">
        <f t="shared" si="4"/>
        <v>2026年3月</v>
      </c>
      <c r="D271" s="92" t="s">
        <v>10</v>
      </c>
      <c r="E271" s="40" t="s">
        <v>39</v>
      </c>
      <c r="F271" s="141" t="s">
        <v>846</v>
      </c>
      <c r="G271" s="61"/>
      <c r="H271" s="61"/>
      <c r="I271" s="40" t="s">
        <v>82</v>
      </c>
      <c r="J271" s="6"/>
      <c r="K271" s="8" t="s">
        <v>847</v>
      </c>
      <c r="L271" s="6" t="s">
        <v>848</v>
      </c>
      <c r="M271" s="92" t="s">
        <v>105</v>
      </c>
      <c r="N271" s="6"/>
      <c r="O271" s="109" t="s">
        <v>849</v>
      </c>
      <c r="P271" s="109"/>
      <c r="Q271" s="109"/>
      <c r="R271" s="109"/>
      <c r="S271" s="109"/>
      <c r="T271" s="109"/>
      <c r="U271" s="109"/>
      <c r="V271" s="109"/>
      <c r="W271" s="109"/>
      <c r="X271" s="109"/>
      <c r="Y271" s="109"/>
      <c r="Z271" s="109"/>
      <c r="AA271" s="109"/>
    </row>
    <row r="272" ht="14" spans="1:27">
      <c r="A272" s="40" t="s">
        <v>547</v>
      </c>
      <c r="B272" s="7">
        <v>46085</v>
      </c>
      <c r="C272" s="6" t="str">
        <f t="shared" si="4"/>
        <v>2026年3月</v>
      </c>
      <c r="D272" s="6" t="s">
        <v>10</v>
      </c>
      <c r="E272" s="40" t="s">
        <v>54</v>
      </c>
      <c r="F272" s="141" t="s">
        <v>850</v>
      </c>
      <c r="G272" s="61"/>
      <c r="H272" s="61"/>
      <c r="I272" s="40" t="s">
        <v>82</v>
      </c>
      <c r="J272" s="6"/>
      <c r="K272" s="8" t="s">
        <v>851</v>
      </c>
      <c r="L272" s="6" t="s">
        <v>852</v>
      </c>
      <c r="M272" s="92" t="s">
        <v>105</v>
      </c>
      <c r="N272" s="6"/>
      <c r="O272" s="6" t="s">
        <v>136</v>
      </c>
      <c r="P272" s="109"/>
      <c r="Q272" s="109"/>
      <c r="R272" s="109"/>
      <c r="S272" s="109"/>
      <c r="T272" s="109"/>
      <c r="U272" s="109"/>
      <c r="V272" s="109"/>
      <c r="W272" s="109"/>
      <c r="X272" s="109"/>
      <c r="Y272" s="109"/>
      <c r="Z272" s="109"/>
      <c r="AA272" s="109"/>
    </row>
    <row r="273" ht="56" spans="1:27">
      <c r="A273" s="40" t="s">
        <v>547</v>
      </c>
      <c r="B273" s="7">
        <v>46090</v>
      </c>
      <c r="C273" s="6" t="str">
        <f t="shared" si="4"/>
        <v>2026年3月</v>
      </c>
      <c r="D273" s="6" t="s">
        <v>10</v>
      </c>
      <c r="E273" s="40" t="s">
        <v>53</v>
      </c>
      <c r="F273" s="141" t="s">
        <v>853</v>
      </c>
      <c r="G273" s="61"/>
      <c r="H273" s="61"/>
      <c r="I273" s="40" t="s">
        <v>82</v>
      </c>
      <c r="J273" s="6"/>
      <c r="K273" s="71" t="s">
        <v>854</v>
      </c>
      <c r="L273" s="41" t="s">
        <v>855</v>
      </c>
      <c r="M273" s="92" t="s">
        <v>105</v>
      </c>
      <c r="N273" s="6"/>
      <c r="O273" s="241" t="s">
        <v>856</v>
      </c>
      <c r="P273" s="109"/>
      <c r="Q273" s="109"/>
      <c r="R273" s="109"/>
      <c r="S273" s="109"/>
      <c r="T273" s="109"/>
      <c r="U273" s="109"/>
      <c r="V273" s="109"/>
      <c r="W273" s="109"/>
      <c r="X273" s="109"/>
      <c r="Y273" s="109"/>
      <c r="Z273" s="109"/>
      <c r="AA273" s="109"/>
    </row>
    <row r="274" ht="14" spans="1:27">
      <c r="A274" s="40" t="s">
        <v>207</v>
      </c>
      <c r="B274" s="7">
        <v>46091</v>
      </c>
      <c r="C274" s="6" t="str">
        <f t="shared" si="4"/>
        <v>2026年3月</v>
      </c>
      <c r="D274" s="6" t="s">
        <v>12</v>
      </c>
      <c r="E274" s="40" t="s">
        <v>39</v>
      </c>
      <c r="F274" s="141" t="s">
        <v>857</v>
      </c>
      <c r="G274" s="61"/>
      <c r="H274" s="61"/>
      <c r="I274" s="40" t="s">
        <v>82</v>
      </c>
      <c r="J274" s="6"/>
      <c r="K274" s="8" t="s">
        <v>858</v>
      </c>
      <c r="L274" s="6" t="s">
        <v>859</v>
      </c>
      <c r="M274" s="92" t="s">
        <v>105</v>
      </c>
      <c r="N274" s="6"/>
      <c r="O274" s="109" t="s">
        <v>822</v>
      </c>
      <c r="P274" s="109"/>
      <c r="Q274" s="109"/>
      <c r="R274" s="109"/>
      <c r="S274" s="109"/>
      <c r="T274" s="109"/>
      <c r="U274" s="109"/>
      <c r="V274" s="109"/>
      <c r="W274" s="109"/>
      <c r="X274" s="109"/>
      <c r="Y274" s="109"/>
      <c r="Z274" s="109"/>
      <c r="AA274" s="109"/>
    </row>
    <row r="275" ht="14" spans="1:27">
      <c r="A275" s="40" t="s">
        <v>142</v>
      </c>
      <c r="B275" s="7">
        <v>46099</v>
      </c>
      <c r="C275" s="6" t="str">
        <f t="shared" si="4"/>
        <v>2026年3月</v>
      </c>
      <c r="D275" s="6" t="s">
        <v>12</v>
      </c>
      <c r="E275" s="40" t="s">
        <v>39</v>
      </c>
      <c r="F275" s="141" t="s">
        <v>860</v>
      </c>
      <c r="G275" s="61"/>
      <c r="H275" s="61"/>
      <c r="I275" s="40" t="s">
        <v>82</v>
      </c>
      <c r="J275" s="6"/>
      <c r="K275" s="8" t="s">
        <v>861</v>
      </c>
      <c r="L275" s="6" t="s">
        <v>862</v>
      </c>
      <c r="M275" s="92" t="s">
        <v>105</v>
      </c>
      <c r="N275" s="6"/>
      <c r="O275" s="109"/>
      <c r="P275" s="109"/>
      <c r="Q275" s="109"/>
      <c r="R275" s="109"/>
      <c r="S275" s="109"/>
      <c r="T275" s="109"/>
      <c r="U275" s="109"/>
      <c r="V275" s="109"/>
      <c r="W275" s="109"/>
      <c r="X275" s="109"/>
      <c r="Y275" s="109"/>
      <c r="Z275" s="109"/>
      <c r="AA275" s="109"/>
    </row>
    <row r="276" ht="14" spans="1:27">
      <c r="A276" s="40" t="s">
        <v>142</v>
      </c>
      <c r="B276" s="7">
        <v>46100</v>
      </c>
      <c r="C276" s="6" t="str">
        <f t="shared" si="4"/>
        <v>2026年3月</v>
      </c>
      <c r="D276" s="6" t="s">
        <v>10</v>
      </c>
      <c r="E276" s="40" t="s">
        <v>40</v>
      </c>
      <c r="F276" s="141" t="s">
        <v>863</v>
      </c>
      <c r="G276" s="61"/>
      <c r="H276" s="61"/>
      <c r="I276" s="40" t="s">
        <v>82</v>
      </c>
      <c r="J276" s="6"/>
      <c r="K276" s="8" t="s">
        <v>864</v>
      </c>
      <c r="L276" s="6" t="s">
        <v>865</v>
      </c>
      <c r="M276" s="92" t="s">
        <v>105</v>
      </c>
      <c r="N276" s="6"/>
      <c r="O276" s="109"/>
      <c r="P276" s="109"/>
      <c r="Q276" s="109"/>
      <c r="R276" s="109"/>
      <c r="S276" s="109"/>
      <c r="T276" s="109"/>
      <c r="U276" s="109"/>
      <c r="V276" s="109"/>
      <c r="W276" s="109"/>
      <c r="X276" s="109"/>
      <c r="Y276" s="109"/>
      <c r="Z276" s="109"/>
      <c r="AA276" s="109"/>
    </row>
    <row r="277" ht="14" spans="1:27">
      <c r="A277" s="40" t="s">
        <v>142</v>
      </c>
      <c r="B277" s="7">
        <v>46114</v>
      </c>
      <c r="C277" s="6" t="str">
        <f t="shared" si="4"/>
        <v>2026年4月</v>
      </c>
      <c r="D277" s="6" t="s">
        <v>10</v>
      </c>
      <c r="E277" s="40" t="s">
        <v>39</v>
      </c>
      <c r="F277" s="141" t="s">
        <v>866</v>
      </c>
      <c r="G277" s="61"/>
      <c r="H277" s="61"/>
      <c r="I277" s="40" t="s">
        <v>82</v>
      </c>
      <c r="J277" s="6"/>
      <c r="K277" s="8" t="s">
        <v>867</v>
      </c>
      <c r="L277" s="6" t="s">
        <v>868</v>
      </c>
      <c r="M277" s="92" t="s">
        <v>105</v>
      </c>
      <c r="N277" s="6"/>
      <c r="O277" s="109"/>
      <c r="P277" s="109"/>
      <c r="Q277" s="109"/>
      <c r="R277" s="109"/>
      <c r="S277" s="109"/>
      <c r="T277" s="109"/>
      <c r="U277" s="109"/>
      <c r="V277" s="109"/>
      <c r="W277" s="109"/>
      <c r="X277" s="109"/>
      <c r="Y277" s="109"/>
      <c r="Z277" s="109"/>
      <c r="AA277" s="109"/>
    </row>
    <row r="278" ht="14" spans="1:27">
      <c r="A278" s="40" t="s">
        <v>142</v>
      </c>
      <c r="B278" s="7">
        <v>46114</v>
      </c>
      <c r="C278" s="6" t="str">
        <f t="shared" si="4"/>
        <v>2026年4月</v>
      </c>
      <c r="D278" s="6" t="s">
        <v>12</v>
      </c>
      <c r="E278" s="40" t="s">
        <v>41</v>
      </c>
      <c r="F278" s="141" t="s">
        <v>869</v>
      </c>
      <c r="G278" s="61"/>
      <c r="H278" s="61"/>
      <c r="I278" s="40" t="s">
        <v>82</v>
      </c>
      <c r="J278" s="6"/>
      <c r="K278" s="8" t="s">
        <v>870</v>
      </c>
      <c r="L278" s="6" t="s">
        <v>871</v>
      </c>
      <c r="M278" s="92" t="s">
        <v>105</v>
      </c>
      <c r="N278" s="6"/>
      <c r="O278" s="109"/>
      <c r="P278" s="109"/>
      <c r="Q278" s="109"/>
      <c r="R278" s="109"/>
      <c r="S278" s="109"/>
      <c r="T278" s="109"/>
      <c r="U278" s="109"/>
      <c r="V278" s="109"/>
      <c r="W278" s="109"/>
      <c r="X278" s="109"/>
      <c r="Y278" s="109"/>
      <c r="Z278" s="109"/>
      <c r="AA278" s="109"/>
    </row>
    <row r="279" ht="14" spans="1:27">
      <c r="A279" s="40" t="s">
        <v>872</v>
      </c>
      <c r="B279" s="7">
        <v>46113</v>
      </c>
      <c r="C279" s="6" t="str">
        <f t="shared" si="4"/>
        <v>2026年4月</v>
      </c>
      <c r="D279" s="6" t="s">
        <v>12</v>
      </c>
      <c r="E279" s="40" t="s">
        <v>39</v>
      </c>
      <c r="F279" s="245" t="s">
        <v>873</v>
      </c>
      <c r="G279" s="61"/>
      <c r="H279" s="61"/>
      <c r="I279" s="40" t="s">
        <v>82</v>
      </c>
      <c r="J279" s="6"/>
      <c r="K279" s="90" t="s">
        <v>874</v>
      </c>
      <c r="L279" s="109" t="s">
        <v>875</v>
      </c>
      <c r="M279" s="92" t="s">
        <v>105</v>
      </c>
      <c r="N279" s="6"/>
      <c r="O279" s="109" t="s">
        <v>801</v>
      </c>
      <c r="P279" s="109" t="s">
        <v>876</v>
      </c>
      <c r="Q279" s="249">
        <v>46153</v>
      </c>
      <c r="R279" s="249">
        <v>46155</v>
      </c>
      <c r="S279" s="109"/>
      <c r="T279" s="109"/>
      <c r="U279" s="109"/>
      <c r="V279" s="109"/>
      <c r="W279" s="109"/>
      <c r="X279" s="109"/>
      <c r="Y279" s="109"/>
      <c r="Z279" s="109"/>
      <c r="AA279" s="109"/>
    </row>
    <row r="280" ht="14" spans="1:27">
      <c r="A280" s="40" t="s">
        <v>142</v>
      </c>
      <c r="B280" s="7">
        <v>46115</v>
      </c>
      <c r="C280" s="6" t="str">
        <f t="shared" si="4"/>
        <v>2026年4月</v>
      </c>
      <c r="D280" s="6" t="s">
        <v>11</v>
      </c>
      <c r="E280" s="40" t="s">
        <v>47</v>
      </c>
      <c r="F280" s="141" t="s">
        <v>877</v>
      </c>
      <c r="G280" s="61"/>
      <c r="H280" s="61"/>
      <c r="I280" s="40" t="s">
        <v>82</v>
      </c>
      <c r="J280" s="6"/>
      <c r="K280" s="8" t="s">
        <v>878</v>
      </c>
      <c r="L280" s="6" t="s">
        <v>879</v>
      </c>
      <c r="M280" s="92" t="s">
        <v>105</v>
      </c>
      <c r="N280" s="6"/>
      <c r="O280" s="109"/>
      <c r="P280" s="109"/>
      <c r="Q280" s="109"/>
      <c r="R280" s="109"/>
      <c r="S280" s="109"/>
      <c r="T280" s="109"/>
      <c r="U280" s="109"/>
      <c r="V280" s="109"/>
      <c r="W280" s="109"/>
      <c r="X280" s="109"/>
      <c r="Y280" s="109"/>
      <c r="Z280" s="109"/>
      <c r="AA280" s="109"/>
    </row>
    <row r="281" ht="14" spans="1:27">
      <c r="A281" s="40" t="s">
        <v>872</v>
      </c>
      <c r="B281" s="7">
        <v>46120</v>
      </c>
      <c r="C281" s="6" t="str">
        <f t="shared" si="4"/>
        <v>2026年4月</v>
      </c>
      <c r="D281" s="6" t="s">
        <v>10</v>
      </c>
      <c r="E281" s="40" t="s">
        <v>39</v>
      </c>
      <c r="F281" s="141" t="s">
        <v>880</v>
      </c>
      <c r="G281" s="61"/>
      <c r="H281" s="61"/>
      <c r="I281" s="40" t="s">
        <v>82</v>
      </c>
      <c r="J281" s="6"/>
      <c r="K281" s="8" t="s">
        <v>881</v>
      </c>
      <c r="L281" s="6" t="s">
        <v>882</v>
      </c>
      <c r="M281" s="92" t="s">
        <v>105</v>
      </c>
      <c r="N281" s="6"/>
      <c r="O281" s="109" t="s">
        <v>346</v>
      </c>
      <c r="P281" s="109"/>
      <c r="Q281" s="249">
        <v>46122</v>
      </c>
      <c r="R281" s="249">
        <v>46122</v>
      </c>
      <c r="S281" s="109"/>
      <c r="T281" s="109"/>
      <c r="U281" s="109"/>
      <c r="V281" s="109"/>
      <c r="W281" s="109"/>
      <c r="X281" s="109"/>
      <c r="Y281" s="109"/>
      <c r="Z281" s="109"/>
      <c r="AA281" s="109"/>
    </row>
    <row r="282" ht="14" spans="1:27">
      <c r="A282" s="40" t="s">
        <v>872</v>
      </c>
      <c r="B282" s="7">
        <v>46126</v>
      </c>
      <c r="C282" s="6" t="str">
        <f t="shared" si="4"/>
        <v>2026年4月</v>
      </c>
      <c r="D282" s="6" t="s">
        <v>10</v>
      </c>
      <c r="E282" s="40" t="s">
        <v>39</v>
      </c>
      <c r="F282" s="141" t="s">
        <v>883</v>
      </c>
      <c r="G282" s="61"/>
      <c r="H282" s="61"/>
      <c r="I282" s="40" t="s">
        <v>82</v>
      </c>
      <c r="J282" s="6"/>
      <c r="K282" s="8" t="s">
        <v>884</v>
      </c>
      <c r="L282" s="6" t="s">
        <v>885</v>
      </c>
      <c r="M282" s="92" t="s">
        <v>105</v>
      </c>
      <c r="N282" s="6"/>
      <c r="O282" s="109" t="s">
        <v>689</v>
      </c>
      <c r="P282" s="109"/>
      <c r="Q282" s="109"/>
      <c r="R282" s="109"/>
      <c r="S282" s="109"/>
      <c r="T282" s="109"/>
      <c r="U282" s="109"/>
      <c r="V282" s="109"/>
      <c r="W282" s="109"/>
      <c r="X282" s="109"/>
      <c r="Y282" s="109"/>
      <c r="Z282" s="109"/>
      <c r="AA282" s="109"/>
    </row>
    <row r="283" ht="14" spans="1:27">
      <c r="A283" s="40" t="s">
        <v>142</v>
      </c>
      <c r="B283" s="7">
        <v>46127</v>
      </c>
      <c r="C283" s="6" t="str">
        <f t="shared" si="4"/>
        <v>2026年4月</v>
      </c>
      <c r="D283" s="6" t="s">
        <v>10</v>
      </c>
      <c r="E283" s="40" t="s">
        <v>39</v>
      </c>
      <c r="F283" s="141" t="s">
        <v>886</v>
      </c>
      <c r="G283" s="61"/>
      <c r="H283" s="61"/>
      <c r="I283" s="40" t="s">
        <v>82</v>
      </c>
      <c r="J283" s="6"/>
      <c r="K283" s="8" t="s">
        <v>887</v>
      </c>
      <c r="L283" s="6" t="s">
        <v>888</v>
      </c>
      <c r="M283" s="92" t="s">
        <v>105</v>
      </c>
      <c r="N283" s="6"/>
      <c r="O283" s="109"/>
      <c r="P283" s="109"/>
      <c r="Q283" s="109"/>
      <c r="R283" s="109"/>
      <c r="S283" s="109"/>
      <c r="T283" s="109"/>
      <c r="U283" s="109"/>
      <c r="V283" s="109"/>
      <c r="W283" s="109"/>
      <c r="X283" s="109"/>
      <c r="Y283" s="109"/>
      <c r="Z283" s="109"/>
      <c r="AA283" s="109"/>
    </row>
    <row r="284" ht="14" spans="1:27">
      <c r="A284" s="40" t="s">
        <v>872</v>
      </c>
      <c r="B284" s="7">
        <v>46127</v>
      </c>
      <c r="C284" s="6" t="str">
        <f t="shared" si="4"/>
        <v>2026年4月</v>
      </c>
      <c r="D284" s="6" t="s">
        <v>10</v>
      </c>
      <c r="E284" s="40" t="s">
        <v>39</v>
      </c>
      <c r="F284" s="141" t="s">
        <v>889</v>
      </c>
      <c r="G284" s="61"/>
      <c r="H284" s="61"/>
      <c r="I284" s="40" t="s">
        <v>82</v>
      </c>
      <c r="J284" s="6"/>
      <c r="K284" s="8" t="s">
        <v>890</v>
      </c>
      <c r="L284" s="6" t="s">
        <v>891</v>
      </c>
      <c r="M284" s="92" t="s">
        <v>105</v>
      </c>
      <c r="N284" s="6"/>
      <c r="O284" s="109" t="s">
        <v>801</v>
      </c>
      <c r="P284" s="109"/>
      <c r="Q284" s="109"/>
      <c r="R284" s="109"/>
      <c r="S284" s="109"/>
      <c r="T284" s="109"/>
      <c r="U284" s="109"/>
      <c r="V284" s="109"/>
      <c r="W284" s="109"/>
      <c r="X284" s="109"/>
      <c r="Y284" s="109"/>
      <c r="Z284" s="109"/>
      <c r="AA284" s="109"/>
    </row>
    <row r="285" ht="14" spans="1:27">
      <c r="A285" s="40" t="s">
        <v>547</v>
      </c>
      <c r="B285" s="7">
        <v>46129</v>
      </c>
      <c r="C285" s="6" t="str">
        <f t="shared" si="4"/>
        <v>2026年4月</v>
      </c>
      <c r="D285" s="6" t="s">
        <v>10</v>
      </c>
      <c r="E285" s="40" t="s">
        <v>892</v>
      </c>
      <c r="F285" s="141" t="s">
        <v>893</v>
      </c>
      <c r="G285" s="61"/>
      <c r="H285" s="61"/>
      <c r="I285" s="40"/>
      <c r="J285" s="6" t="s">
        <v>894</v>
      </c>
      <c r="K285" s="8"/>
      <c r="L285" s="6"/>
      <c r="M285" s="92" t="s">
        <v>105</v>
      </c>
      <c r="N285" s="6"/>
      <c r="O285" s="109"/>
      <c r="P285" s="109"/>
      <c r="Q285" s="109"/>
      <c r="R285" s="109"/>
      <c r="S285" s="109"/>
      <c r="T285" s="109"/>
      <c r="U285" s="109"/>
      <c r="V285" s="109"/>
      <c r="W285" s="109"/>
      <c r="X285" s="109"/>
      <c r="Y285" s="109"/>
      <c r="Z285" s="109"/>
      <c r="AA285" s="109"/>
    </row>
    <row r="286" ht="14" spans="1:27">
      <c r="A286" s="40" t="s">
        <v>872</v>
      </c>
      <c r="B286" s="7">
        <v>46129</v>
      </c>
      <c r="C286" s="6" t="str">
        <f t="shared" ref="C286:C298" si="5">YEAR(B286)&amp;"年"&amp;MONTH(B286)&amp;"月"</f>
        <v>2026年4月</v>
      </c>
      <c r="D286" s="6" t="s">
        <v>10</v>
      </c>
      <c r="E286" s="40" t="s">
        <v>39</v>
      </c>
      <c r="F286" s="141" t="s">
        <v>895</v>
      </c>
      <c r="G286" s="61"/>
      <c r="H286" s="61"/>
      <c r="I286" s="40" t="s">
        <v>82</v>
      </c>
      <c r="J286" s="6"/>
      <c r="K286" s="8" t="s">
        <v>896</v>
      </c>
      <c r="L286" s="6" t="s">
        <v>897</v>
      </c>
      <c r="M286" s="92" t="s">
        <v>105</v>
      </c>
      <c r="N286" s="6"/>
      <c r="O286" s="109" t="s">
        <v>849</v>
      </c>
      <c r="P286" s="109"/>
      <c r="Q286" s="109"/>
      <c r="R286" s="109"/>
      <c r="S286" s="109"/>
      <c r="T286" s="109"/>
      <c r="U286" s="109"/>
      <c r="V286" s="109"/>
      <c r="W286" s="109"/>
      <c r="X286" s="109"/>
      <c r="Y286" s="109"/>
      <c r="Z286" s="109"/>
      <c r="AA286" s="109"/>
    </row>
    <row r="287" ht="14" spans="1:27">
      <c r="A287" s="40" t="s">
        <v>142</v>
      </c>
      <c r="B287" s="7">
        <v>46129</v>
      </c>
      <c r="C287" s="6" t="str">
        <f t="shared" si="5"/>
        <v>2026年4月</v>
      </c>
      <c r="D287" s="6" t="s">
        <v>10</v>
      </c>
      <c r="E287" s="40" t="s">
        <v>40</v>
      </c>
      <c r="F287" s="141" t="s">
        <v>898</v>
      </c>
      <c r="G287" s="61"/>
      <c r="H287" s="61"/>
      <c r="I287" s="40" t="s">
        <v>82</v>
      </c>
      <c r="J287" s="6"/>
      <c r="K287" s="8" t="s">
        <v>899</v>
      </c>
      <c r="L287" s="6" t="s">
        <v>900</v>
      </c>
      <c r="M287" s="92" t="s">
        <v>105</v>
      </c>
      <c r="N287" s="6"/>
      <c r="O287" s="109"/>
      <c r="P287" s="109"/>
      <c r="Q287" s="109"/>
      <c r="R287" s="109"/>
      <c r="S287" s="109"/>
      <c r="T287" s="109"/>
      <c r="U287" s="109"/>
      <c r="V287" s="109"/>
      <c r="W287" s="109"/>
      <c r="X287" s="109"/>
      <c r="Y287" s="109"/>
      <c r="Z287" s="109"/>
      <c r="AA287" s="109"/>
    </row>
    <row r="288" ht="14" spans="1:27">
      <c r="A288" s="40" t="s">
        <v>142</v>
      </c>
      <c r="B288" s="7">
        <v>46129</v>
      </c>
      <c r="C288" s="6" t="str">
        <f t="shared" si="5"/>
        <v>2026年4月</v>
      </c>
      <c r="D288" s="6" t="s">
        <v>10</v>
      </c>
      <c r="E288" s="40" t="s">
        <v>40</v>
      </c>
      <c r="F288" s="141" t="s">
        <v>901</v>
      </c>
      <c r="G288" s="61"/>
      <c r="H288" s="61"/>
      <c r="I288" s="40" t="s">
        <v>82</v>
      </c>
      <c r="J288" s="6"/>
      <c r="K288" s="8" t="s">
        <v>902</v>
      </c>
      <c r="L288" s="6" t="s">
        <v>903</v>
      </c>
      <c r="M288" s="92" t="s">
        <v>105</v>
      </c>
      <c r="N288" s="6"/>
      <c r="O288" s="109"/>
      <c r="P288" s="109"/>
      <c r="Q288" s="109"/>
      <c r="R288" s="109"/>
      <c r="S288" s="109"/>
      <c r="T288" s="109"/>
      <c r="U288" s="109"/>
      <c r="V288" s="109"/>
      <c r="W288" s="109"/>
      <c r="X288" s="109"/>
      <c r="Y288" s="109"/>
      <c r="Z288" s="109"/>
      <c r="AA288" s="109"/>
    </row>
    <row r="289" ht="14" spans="1:27">
      <c r="A289" s="40" t="s">
        <v>872</v>
      </c>
      <c r="B289" s="7">
        <v>46140</v>
      </c>
      <c r="C289" s="6" t="str">
        <f t="shared" si="5"/>
        <v>2026年4月</v>
      </c>
      <c r="D289" s="6" t="s">
        <v>10</v>
      </c>
      <c r="E289" s="40" t="s">
        <v>39</v>
      </c>
      <c r="F289" s="141" t="s">
        <v>904</v>
      </c>
      <c r="G289" s="61"/>
      <c r="H289" s="61"/>
      <c r="I289" s="40" t="s">
        <v>82</v>
      </c>
      <c r="J289" s="6"/>
      <c r="K289" s="8" t="s">
        <v>118</v>
      </c>
      <c r="L289" s="6" t="s">
        <v>119</v>
      </c>
      <c r="M289" s="92" t="s">
        <v>105</v>
      </c>
      <c r="N289" s="6"/>
      <c r="O289" s="109" t="s">
        <v>678</v>
      </c>
      <c r="P289" s="109"/>
      <c r="Q289" s="109"/>
      <c r="R289" s="109"/>
      <c r="S289" s="109"/>
      <c r="T289" s="109"/>
      <c r="U289" s="109"/>
      <c r="V289" s="109"/>
      <c r="W289" s="109"/>
      <c r="X289" s="109"/>
      <c r="Y289" s="109"/>
      <c r="Z289" s="109"/>
      <c r="AA289" s="109"/>
    </row>
    <row r="290" ht="14" spans="1:27">
      <c r="A290" s="40" t="s">
        <v>872</v>
      </c>
      <c r="B290" s="7">
        <v>46147</v>
      </c>
      <c r="C290" s="6" t="str">
        <f t="shared" si="5"/>
        <v>2026年5月</v>
      </c>
      <c r="D290" s="6" t="s">
        <v>12</v>
      </c>
      <c r="E290" s="40" t="s">
        <v>51</v>
      </c>
      <c r="F290" s="245" t="s">
        <v>905</v>
      </c>
      <c r="G290" s="61"/>
      <c r="H290" s="61"/>
      <c r="I290" s="40" t="s">
        <v>82</v>
      </c>
      <c r="J290" s="8"/>
      <c r="K290" s="8" t="s">
        <v>906</v>
      </c>
      <c r="L290" s="6" t="s">
        <v>907</v>
      </c>
      <c r="M290" s="92" t="s">
        <v>105</v>
      </c>
      <c r="N290" s="6"/>
      <c r="O290" s="109"/>
      <c r="P290" s="90" t="s">
        <v>908</v>
      </c>
      <c r="Q290" s="109"/>
      <c r="R290" s="109"/>
      <c r="S290" s="109"/>
      <c r="T290" s="109"/>
      <c r="U290" s="109"/>
      <c r="V290" s="109"/>
      <c r="W290" s="109"/>
      <c r="X290" s="109"/>
      <c r="Y290" s="109"/>
      <c r="Z290" s="109"/>
      <c r="AA290" s="109"/>
    </row>
    <row r="291" ht="14" spans="1:27">
      <c r="A291" s="40" t="s">
        <v>872</v>
      </c>
      <c r="B291" s="7">
        <v>46147</v>
      </c>
      <c r="C291" s="6" t="str">
        <f t="shared" si="5"/>
        <v>2026年5月</v>
      </c>
      <c r="D291" s="6" t="s">
        <v>10</v>
      </c>
      <c r="E291" s="40" t="s">
        <v>54</v>
      </c>
      <c r="F291" s="141" t="s">
        <v>909</v>
      </c>
      <c r="G291" s="61"/>
      <c r="H291" s="61"/>
      <c r="I291" s="40" t="s">
        <v>82</v>
      </c>
      <c r="J291" s="6"/>
      <c r="K291" s="8" t="s">
        <v>910</v>
      </c>
      <c r="L291" s="6" t="s">
        <v>911</v>
      </c>
      <c r="M291" s="92" t="s">
        <v>105</v>
      </c>
      <c r="N291" s="6"/>
      <c r="O291" s="109"/>
      <c r="P291" s="109"/>
      <c r="Q291" s="109"/>
      <c r="R291" s="109"/>
      <c r="S291" s="109"/>
      <c r="T291" s="109"/>
      <c r="U291" s="109"/>
      <c r="V291" s="109"/>
      <c r="W291" s="109"/>
      <c r="X291" s="109"/>
      <c r="Y291" s="109"/>
      <c r="Z291" s="109"/>
      <c r="AA291" s="109"/>
    </row>
    <row r="292" ht="28" spans="1:27">
      <c r="A292" s="40" t="s">
        <v>872</v>
      </c>
      <c r="B292" s="7">
        <v>46149</v>
      </c>
      <c r="C292" s="6" t="str">
        <f t="shared" si="5"/>
        <v>2026年5月</v>
      </c>
      <c r="D292" s="6" t="s">
        <v>10</v>
      </c>
      <c r="E292" s="40" t="s">
        <v>39</v>
      </c>
      <c r="F292" s="140" t="s">
        <v>912</v>
      </c>
      <c r="G292" s="61"/>
      <c r="H292" s="61"/>
      <c r="I292" s="40" t="s">
        <v>82</v>
      </c>
      <c r="J292" s="6"/>
      <c r="K292" s="8" t="s">
        <v>913</v>
      </c>
      <c r="L292" s="6" t="s">
        <v>914</v>
      </c>
      <c r="M292" s="92" t="s">
        <v>105</v>
      </c>
      <c r="N292" s="6"/>
      <c r="O292" s="109" t="s">
        <v>817</v>
      </c>
      <c r="P292" s="109"/>
      <c r="Q292" s="109"/>
      <c r="R292" s="109"/>
      <c r="S292" s="109"/>
      <c r="T292" s="109"/>
      <c r="U292" s="109"/>
      <c r="V292" s="109"/>
      <c r="W292" s="109"/>
      <c r="X292" s="109"/>
      <c r="Y292" s="109"/>
      <c r="Z292" s="109"/>
      <c r="AA292" s="109"/>
    </row>
    <row r="293" ht="14" spans="1:27">
      <c r="A293" s="40" t="s">
        <v>142</v>
      </c>
      <c r="B293" s="7">
        <v>46149</v>
      </c>
      <c r="C293" s="6" t="str">
        <f t="shared" si="5"/>
        <v>2026年5月</v>
      </c>
      <c r="D293" s="6" t="s">
        <v>11</v>
      </c>
      <c r="E293" s="40" t="s">
        <v>40</v>
      </c>
      <c r="F293" s="141" t="s">
        <v>915</v>
      </c>
      <c r="G293" s="61"/>
      <c r="H293" s="61"/>
      <c r="I293" s="40" t="s">
        <v>82</v>
      </c>
      <c r="J293" s="6"/>
      <c r="K293" s="8" t="s">
        <v>916</v>
      </c>
      <c r="L293" s="6" t="s">
        <v>917</v>
      </c>
      <c r="M293" s="92" t="s">
        <v>105</v>
      </c>
      <c r="N293" s="6"/>
      <c r="O293" s="109"/>
      <c r="P293" s="109"/>
      <c r="Q293" s="109"/>
      <c r="R293" s="109"/>
      <c r="S293" s="109"/>
      <c r="T293" s="109"/>
      <c r="U293" s="109"/>
      <c r="V293" s="109"/>
      <c r="W293" s="109"/>
      <c r="X293" s="109"/>
      <c r="Y293" s="109"/>
      <c r="Z293" s="109"/>
      <c r="AA293" s="109"/>
    </row>
    <row r="294" ht="14" spans="1:27">
      <c r="A294" s="40" t="s">
        <v>142</v>
      </c>
      <c r="B294" s="7">
        <v>46150</v>
      </c>
      <c r="C294" s="6" t="str">
        <f t="shared" si="5"/>
        <v>2026年5月</v>
      </c>
      <c r="D294" s="6" t="s">
        <v>12</v>
      </c>
      <c r="E294" s="40" t="s">
        <v>39</v>
      </c>
      <c r="F294" s="141" t="s">
        <v>918</v>
      </c>
      <c r="G294" s="61"/>
      <c r="H294" s="61"/>
      <c r="I294" s="40" t="s">
        <v>82</v>
      </c>
      <c r="J294" s="6"/>
      <c r="K294" s="8" t="s">
        <v>919</v>
      </c>
      <c r="L294" s="6" t="s">
        <v>920</v>
      </c>
      <c r="M294" s="92" t="s">
        <v>105</v>
      </c>
      <c r="N294" s="6"/>
      <c r="O294" s="109"/>
      <c r="P294" s="109"/>
      <c r="Q294" s="109"/>
      <c r="R294" s="109"/>
      <c r="S294" s="109"/>
      <c r="T294" s="109"/>
      <c r="U294" s="109"/>
      <c r="V294" s="109"/>
      <c r="W294" s="109"/>
      <c r="X294" s="109"/>
      <c r="Y294" s="109"/>
      <c r="Z294" s="109"/>
      <c r="AA294" s="109"/>
    </row>
    <row r="295" ht="14" spans="1:27">
      <c r="A295" s="40" t="s">
        <v>872</v>
      </c>
      <c r="B295" s="7">
        <v>46153</v>
      </c>
      <c r="C295" s="6" t="str">
        <f t="shared" si="5"/>
        <v>2026年5月</v>
      </c>
      <c r="D295" s="6" t="s">
        <v>10</v>
      </c>
      <c r="E295" s="40" t="s">
        <v>39</v>
      </c>
      <c r="F295" s="141" t="s">
        <v>921</v>
      </c>
      <c r="G295" s="61"/>
      <c r="H295" s="61"/>
      <c r="I295" s="40" t="s">
        <v>82</v>
      </c>
      <c r="J295" s="6"/>
      <c r="K295" s="8" t="s">
        <v>922</v>
      </c>
      <c r="L295" s="6" t="s">
        <v>875</v>
      </c>
      <c r="M295" s="92" t="s">
        <v>105</v>
      </c>
      <c r="N295" s="6"/>
      <c r="O295" s="109" t="s">
        <v>674</v>
      </c>
      <c r="P295" s="109" t="s">
        <v>876</v>
      </c>
      <c r="Q295" s="109"/>
      <c r="R295" s="109"/>
      <c r="S295" s="109"/>
      <c r="T295" s="109"/>
      <c r="U295" s="109"/>
      <c r="V295" s="109"/>
      <c r="W295" s="109"/>
      <c r="X295" s="109"/>
      <c r="Y295" s="109"/>
      <c r="Z295" s="109"/>
      <c r="AA295" s="109"/>
    </row>
    <row r="296" ht="14" spans="1:27">
      <c r="A296" s="40" t="s">
        <v>142</v>
      </c>
      <c r="B296" s="7">
        <v>46155</v>
      </c>
      <c r="C296" s="6" t="str">
        <f t="shared" si="5"/>
        <v>2026年5月</v>
      </c>
      <c r="D296" s="6" t="s">
        <v>10</v>
      </c>
      <c r="E296" s="40" t="s">
        <v>40</v>
      </c>
      <c r="F296" s="141" t="s">
        <v>923</v>
      </c>
      <c r="G296" s="61"/>
      <c r="H296" s="61"/>
      <c r="I296" s="40" t="s">
        <v>82</v>
      </c>
      <c r="J296" s="6"/>
      <c r="K296" s="8" t="s">
        <v>924</v>
      </c>
      <c r="L296" s="6" t="s">
        <v>925</v>
      </c>
      <c r="M296" s="92" t="s">
        <v>105</v>
      </c>
      <c r="N296" s="6"/>
      <c r="O296" s="109"/>
      <c r="P296" s="109"/>
      <c r="Q296" s="109"/>
      <c r="R296" s="109"/>
      <c r="S296" s="109"/>
      <c r="T296" s="109"/>
      <c r="U296" s="109"/>
      <c r="V296" s="109"/>
      <c r="W296" s="109"/>
      <c r="X296" s="109"/>
      <c r="Y296" s="109"/>
      <c r="Z296" s="109"/>
      <c r="AA296" s="109"/>
    </row>
    <row r="297" ht="14" spans="1:27">
      <c r="A297" s="40" t="s">
        <v>872</v>
      </c>
      <c r="B297" s="7">
        <v>46157</v>
      </c>
      <c r="C297" s="6" t="str">
        <f t="shared" si="5"/>
        <v>2026年5月</v>
      </c>
      <c r="D297" s="6" t="s">
        <v>12</v>
      </c>
      <c r="E297" s="40" t="s">
        <v>39</v>
      </c>
      <c r="F297" s="141" t="s">
        <v>926</v>
      </c>
      <c r="G297" s="61"/>
      <c r="H297" s="61"/>
      <c r="I297" s="40" t="s">
        <v>82</v>
      </c>
      <c r="J297" s="6"/>
      <c r="K297" s="8" t="s">
        <v>601</v>
      </c>
      <c r="L297" s="6" t="s">
        <v>222</v>
      </c>
      <c r="M297" s="92" t="s">
        <v>105</v>
      </c>
      <c r="N297" s="6"/>
      <c r="O297" s="109" t="s">
        <v>927</v>
      </c>
      <c r="P297" s="109"/>
      <c r="Q297" s="109"/>
      <c r="R297" s="109"/>
      <c r="S297" s="109"/>
      <c r="T297" s="109"/>
      <c r="U297" s="109"/>
      <c r="V297" s="109"/>
      <c r="W297" s="109"/>
      <c r="X297" s="109"/>
      <c r="Y297" s="109"/>
      <c r="Z297" s="109"/>
      <c r="AA297" s="109"/>
    </row>
    <row r="298" ht="14" spans="1:27">
      <c r="A298" s="40" t="s">
        <v>142</v>
      </c>
      <c r="B298" s="7">
        <v>46163</v>
      </c>
      <c r="C298" s="6" t="str">
        <f t="shared" si="5"/>
        <v>2026年5月</v>
      </c>
      <c r="D298" s="6" t="s">
        <v>10</v>
      </c>
      <c r="E298" s="40" t="s">
        <v>43</v>
      </c>
      <c r="F298" s="141" t="s">
        <v>928</v>
      </c>
      <c r="G298" s="61"/>
      <c r="H298" s="61"/>
      <c r="I298" s="40" t="s">
        <v>82</v>
      </c>
      <c r="J298" s="6"/>
      <c r="K298" s="8" t="s">
        <v>929</v>
      </c>
      <c r="L298" s="6" t="s">
        <v>930</v>
      </c>
      <c r="M298" s="92" t="s">
        <v>105</v>
      </c>
      <c r="N298" s="6"/>
      <c r="O298" s="109"/>
      <c r="P298" s="109"/>
      <c r="Q298" s="109"/>
      <c r="R298" s="109"/>
      <c r="S298" s="109"/>
      <c r="T298" s="109"/>
      <c r="U298" s="109"/>
      <c r="V298" s="109"/>
      <c r="W298" s="109"/>
      <c r="X298" s="109"/>
      <c r="Y298" s="109"/>
      <c r="Z298" s="109"/>
      <c r="AA298" s="109"/>
    </row>
    <row r="299" ht="14" spans="1:27">
      <c r="A299" s="10"/>
      <c r="B299" s="10"/>
      <c r="C299" s="10"/>
      <c r="D299" s="10"/>
      <c r="E299" s="10"/>
      <c r="F299" s="10"/>
      <c r="G299" s="61"/>
      <c r="H299" s="61"/>
      <c r="I299" s="40" t="s">
        <v>82</v>
      </c>
      <c r="J299" s="6"/>
      <c r="K299" s="8" t="s">
        <v>931</v>
      </c>
      <c r="L299" s="6" t="s">
        <v>932</v>
      </c>
      <c r="M299" s="10"/>
      <c r="N299" s="6"/>
      <c r="O299" s="109"/>
      <c r="P299" s="109"/>
      <c r="Q299" s="109"/>
      <c r="R299" s="109"/>
      <c r="S299" s="109"/>
      <c r="T299" s="109"/>
      <c r="U299" s="109"/>
      <c r="V299" s="109"/>
      <c r="W299" s="109"/>
      <c r="X299" s="109"/>
      <c r="Y299" s="109"/>
      <c r="Z299" s="109"/>
      <c r="AA299" s="109"/>
    </row>
    <row r="300" ht="14" spans="1:27">
      <c r="A300" s="10"/>
      <c r="B300" s="10"/>
      <c r="C300" s="10"/>
      <c r="D300" s="10"/>
      <c r="E300" s="10"/>
      <c r="F300" s="10"/>
      <c r="G300" s="61"/>
      <c r="H300" s="61"/>
      <c r="I300" s="40" t="s">
        <v>82</v>
      </c>
      <c r="J300" s="6"/>
      <c r="K300" s="8" t="s">
        <v>931</v>
      </c>
      <c r="L300" s="6" t="s">
        <v>932</v>
      </c>
      <c r="M300" s="10"/>
      <c r="N300" s="6"/>
      <c r="O300" s="109"/>
      <c r="P300" s="109"/>
      <c r="Q300" s="109"/>
      <c r="R300" s="109"/>
      <c r="S300" s="109"/>
      <c r="T300" s="109"/>
      <c r="U300" s="109"/>
      <c r="V300" s="109"/>
      <c r="W300" s="109"/>
      <c r="X300" s="109"/>
      <c r="Y300" s="109"/>
      <c r="Z300" s="109"/>
      <c r="AA300" s="109"/>
    </row>
    <row r="301" ht="14" spans="1:27">
      <c r="A301" s="10"/>
      <c r="B301" s="10"/>
      <c r="C301" s="10"/>
      <c r="D301" s="10"/>
      <c r="E301" s="10"/>
      <c r="F301" s="10"/>
      <c r="G301" s="61"/>
      <c r="H301" s="61"/>
      <c r="I301" s="40" t="s">
        <v>82</v>
      </c>
      <c r="J301" s="6"/>
      <c r="K301" s="8" t="s">
        <v>933</v>
      </c>
      <c r="L301" s="6" t="s">
        <v>934</v>
      </c>
      <c r="M301" s="10"/>
      <c r="N301" s="6"/>
      <c r="O301" s="109"/>
      <c r="P301" s="109"/>
      <c r="Q301" s="109"/>
      <c r="R301" s="109"/>
      <c r="S301" s="109"/>
      <c r="T301" s="109"/>
      <c r="U301" s="109"/>
      <c r="V301" s="109"/>
      <c r="W301" s="109"/>
      <c r="X301" s="109"/>
      <c r="Y301" s="109"/>
      <c r="Z301" s="109"/>
      <c r="AA301" s="109"/>
    </row>
    <row r="302" ht="14" spans="1:27">
      <c r="A302" s="10"/>
      <c r="B302" s="10"/>
      <c r="C302" s="10"/>
      <c r="D302" s="10"/>
      <c r="E302" s="10"/>
      <c r="F302" s="10"/>
      <c r="G302" s="61"/>
      <c r="H302" s="61"/>
      <c r="I302" s="40" t="s">
        <v>82</v>
      </c>
      <c r="J302" s="6"/>
      <c r="K302" s="8" t="s">
        <v>933</v>
      </c>
      <c r="L302" s="6" t="s">
        <v>934</v>
      </c>
      <c r="M302" s="10"/>
      <c r="N302" s="6"/>
      <c r="O302" s="109"/>
      <c r="P302" s="109"/>
      <c r="Q302" s="109"/>
      <c r="R302" s="109"/>
      <c r="S302" s="109"/>
      <c r="T302" s="109"/>
      <c r="U302" s="109"/>
      <c r="V302" s="109"/>
      <c r="W302" s="109"/>
      <c r="X302" s="109"/>
      <c r="Y302" s="109"/>
      <c r="Z302" s="109"/>
      <c r="AA302" s="109"/>
    </row>
    <row r="303" ht="14" spans="1:27">
      <c r="A303" s="10"/>
      <c r="B303" s="10"/>
      <c r="C303" s="10"/>
      <c r="D303" s="10"/>
      <c r="E303" s="10"/>
      <c r="F303" s="10"/>
      <c r="G303" s="61"/>
      <c r="H303" s="61"/>
      <c r="I303" s="40" t="s">
        <v>82</v>
      </c>
      <c r="J303" s="6"/>
      <c r="K303" s="8" t="s">
        <v>933</v>
      </c>
      <c r="L303" s="6" t="s">
        <v>934</v>
      </c>
      <c r="M303" s="10"/>
      <c r="N303" s="6"/>
      <c r="O303" s="109"/>
      <c r="P303" s="109"/>
      <c r="Q303" s="109"/>
      <c r="R303" s="109"/>
      <c r="S303" s="109"/>
      <c r="T303" s="109"/>
      <c r="U303" s="109"/>
      <c r="V303" s="109"/>
      <c r="W303" s="109"/>
      <c r="X303" s="109"/>
      <c r="Y303" s="109"/>
      <c r="Z303" s="109"/>
      <c r="AA303" s="109"/>
    </row>
    <row r="304" ht="14" spans="1:27">
      <c r="A304" s="10"/>
      <c r="B304" s="10"/>
      <c r="C304" s="10"/>
      <c r="D304" s="10"/>
      <c r="E304" s="10"/>
      <c r="F304" s="10"/>
      <c r="G304" s="61"/>
      <c r="H304" s="61"/>
      <c r="I304" s="40" t="s">
        <v>82</v>
      </c>
      <c r="J304" s="6"/>
      <c r="K304" s="8" t="s">
        <v>933</v>
      </c>
      <c r="L304" s="6" t="s">
        <v>934</v>
      </c>
      <c r="M304" s="10"/>
      <c r="N304" s="6"/>
      <c r="O304" s="109"/>
      <c r="P304" s="109"/>
      <c r="Q304" s="109"/>
      <c r="R304" s="109"/>
      <c r="S304" s="109"/>
      <c r="T304" s="109"/>
      <c r="U304" s="109"/>
      <c r="V304" s="109"/>
      <c r="W304" s="109"/>
      <c r="X304" s="109"/>
      <c r="Y304" s="109"/>
      <c r="Z304" s="109"/>
      <c r="AA304" s="109"/>
    </row>
    <row r="305" ht="14" spans="1:27">
      <c r="A305" s="10"/>
      <c r="B305" s="10"/>
      <c r="C305" s="10"/>
      <c r="D305" s="10"/>
      <c r="E305" s="10"/>
      <c r="F305" s="10"/>
      <c r="G305" s="61"/>
      <c r="H305" s="61"/>
      <c r="I305" s="40" t="s">
        <v>82</v>
      </c>
      <c r="J305" s="6"/>
      <c r="K305" s="8" t="s">
        <v>933</v>
      </c>
      <c r="L305" s="6" t="s">
        <v>934</v>
      </c>
      <c r="M305" s="10"/>
      <c r="N305" s="6"/>
      <c r="O305" s="109"/>
      <c r="P305" s="109"/>
      <c r="Q305" s="109"/>
      <c r="R305" s="109"/>
      <c r="S305" s="109"/>
      <c r="T305" s="109"/>
      <c r="U305" s="109"/>
      <c r="V305" s="109"/>
      <c r="W305" s="109"/>
      <c r="X305" s="109"/>
      <c r="Y305" s="109"/>
      <c r="Z305" s="109"/>
      <c r="AA305" s="109"/>
    </row>
    <row r="306" ht="14" spans="1:27">
      <c r="A306" s="10"/>
      <c r="B306" s="10"/>
      <c r="C306" s="10"/>
      <c r="D306" s="10"/>
      <c r="E306" s="10"/>
      <c r="F306" s="10"/>
      <c r="G306" s="61"/>
      <c r="H306" s="61"/>
      <c r="I306" s="40" t="s">
        <v>82</v>
      </c>
      <c r="J306" s="6"/>
      <c r="K306" s="8" t="s">
        <v>933</v>
      </c>
      <c r="L306" s="6" t="s">
        <v>934</v>
      </c>
      <c r="M306" s="10"/>
      <c r="N306" s="6"/>
      <c r="O306" s="109"/>
      <c r="P306" s="109"/>
      <c r="Q306" s="109"/>
      <c r="R306" s="109"/>
      <c r="S306" s="109"/>
      <c r="T306" s="109"/>
      <c r="U306" s="109"/>
      <c r="V306" s="109"/>
      <c r="W306" s="109"/>
      <c r="X306" s="109"/>
      <c r="Y306" s="109"/>
      <c r="Z306" s="109"/>
      <c r="AA306" s="109"/>
    </row>
    <row r="307" ht="14" spans="1:27">
      <c r="A307" s="10"/>
      <c r="B307" s="10"/>
      <c r="C307" s="10"/>
      <c r="D307" s="10"/>
      <c r="E307" s="10"/>
      <c r="F307" s="10"/>
      <c r="G307" s="61"/>
      <c r="H307" s="61"/>
      <c r="I307" s="40" t="s">
        <v>82</v>
      </c>
      <c r="J307" s="6"/>
      <c r="K307" s="8" t="s">
        <v>933</v>
      </c>
      <c r="L307" s="6" t="s">
        <v>934</v>
      </c>
      <c r="M307" s="10"/>
      <c r="N307" s="6"/>
      <c r="O307" s="109"/>
      <c r="P307" s="109"/>
      <c r="Q307" s="109"/>
      <c r="R307" s="109"/>
      <c r="S307" s="109"/>
      <c r="T307" s="109"/>
      <c r="U307" s="109"/>
      <c r="V307" s="109"/>
      <c r="W307" s="109"/>
      <c r="X307" s="109"/>
      <c r="Y307" s="109"/>
      <c r="Z307" s="109"/>
      <c r="AA307" s="109"/>
    </row>
    <row r="308" ht="14" spans="1:27">
      <c r="A308" s="10"/>
      <c r="B308" s="10"/>
      <c r="C308" s="10"/>
      <c r="D308" s="10"/>
      <c r="E308" s="10"/>
      <c r="F308" s="10"/>
      <c r="G308" s="61"/>
      <c r="H308" s="61"/>
      <c r="I308" s="40" t="s">
        <v>82</v>
      </c>
      <c r="J308" s="6"/>
      <c r="K308" s="8" t="s">
        <v>935</v>
      </c>
      <c r="L308" s="6" t="s">
        <v>936</v>
      </c>
      <c r="M308" s="10"/>
      <c r="N308" s="6"/>
      <c r="O308" s="109"/>
      <c r="P308" s="109"/>
      <c r="Q308" s="109"/>
      <c r="R308" s="109"/>
      <c r="S308" s="109"/>
      <c r="T308" s="109"/>
      <c r="U308" s="109"/>
      <c r="V308" s="109"/>
      <c r="W308" s="109"/>
      <c r="X308" s="109"/>
      <c r="Y308" s="109"/>
      <c r="Z308" s="109"/>
      <c r="AA308" s="109"/>
    </row>
    <row r="309" ht="14" spans="1:27">
      <c r="A309" s="10"/>
      <c r="B309" s="10"/>
      <c r="C309" s="10"/>
      <c r="D309" s="10"/>
      <c r="E309" s="10"/>
      <c r="F309" s="10"/>
      <c r="G309" s="61"/>
      <c r="H309" s="61"/>
      <c r="I309" s="40" t="s">
        <v>82</v>
      </c>
      <c r="J309" s="6"/>
      <c r="K309" s="8" t="s">
        <v>937</v>
      </c>
      <c r="L309" s="6" t="s">
        <v>938</v>
      </c>
      <c r="M309" s="10"/>
      <c r="N309" s="6"/>
      <c r="O309" s="109"/>
      <c r="P309" s="109"/>
      <c r="Q309" s="109"/>
      <c r="R309" s="109"/>
      <c r="S309" s="109"/>
      <c r="T309" s="109"/>
      <c r="U309" s="109"/>
      <c r="V309" s="109"/>
      <c r="W309" s="109"/>
      <c r="X309" s="109"/>
      <c r="Y309" s="109"/>
      <c r="Z309" s="109"/>
      <c r="AA309" s="109"/>
    </row>
    <row r="310" ht="14" spans="1:27">
      <c r="A310" s="10"/>
      <c r="B310" s="10"/>
      <c r="C310" s="10"/>
      <c r="D310" s="10"/>
      <c r="E310" s="10"/>
      <c r="F310" s="10"/>
      <c r="G310" s="61"/>
      <c r="H310" s="61"/>
      <c r="I310" s="40" t="s">
        <v>82</v>
      </c>
      <c r="J310" s="6"/>
      <c r="K310" s="8" t="s">
        <v>939</v>
      </c>
      <c r="L310" s="6" t="s">
        <v>940</v>
      </c>
      <c r="M310" s="10"/>
      <c r="N310" s="6"/>
      <c r="O310" s="109"/>
      <c r="P310" s="109"/>
      <c r="Q310" s="109"/>
      <c r="R310" s="109"/>
      <c r="S310" s="109"/>
      <c r="T310" s="109"/>
      <c r="U310" s="109"/>
      <c r="V310" s="109"/>
      <c r="W310" s="109"/>
      <c r="X310" s="109"/>
      <c r="Y310" s="109"/>
      <c r="Z310" s="109"/>
      <c r="AA310" s="109"/>
    </row>
    <row r="311" ht="14" spans="1:27">
      <c r="A311" s="10"/>
      <c r="B311" s="10"/>
      <c r="C311" s="10"/>
      <c r="D311" s="10"/>
      <c r="E311" s="10"/>
      <c r="F311" s="10"/>
      <c r="G311" s="61"/>
      <c r="H311" s="61"/>
      <c r="I311" s="40" t="s">
        <v>82</v>
      </c>
      <c r="J311" s="6"/>
      <c r="K311" s="8" t="s">
        <v>941</v>
      </c>
      <c r="L311" s="6" t="s">
        <v>942</v>
      </c>
      <c r="M311" s="10"/>
      <c r="N311" s="6"/>
      <c r="O311" s="109"/>
      <c r="P311" s="109"/>
      <c r="Q311" s="109"/>
      <c r="R311" s="109"/>
      <c r="S311" s="109"/>
      <c r="T311" s="109"/>
      <c r="U311" s="109"/>
      <c r="V311" s="109"/>
      <c r="W311" s="109"/>
      <c r="X311" s="109"/>
      <c r="Y311" s="109"/>
      <c r="Z311" s="109"/>
      <c r="AA311" s="109"/>
    </row>
    <row r="312" ht="14" spans="1:27">
      <c r="A312" s="10"/>
      <c r="B312" s="10"/>
      <c r="C312" s="10"/>
      <c r="D312" s="10"/>
      <c r="E312" s="10"/>
      <c r="F312" s="10"/>
      <c r="G312" s="61"/>
      <c r="H312" s="61"/>
      <c r="I312" s="40" t="s">
        <v>82</v>
      </c>
      <c r="J312" s="6"/>
      <c r="K312" s="8" t="s">
        <v>943</v>
      </c>
      <c r="L312" s="6" t="s">
        <v>944</v>
      </c>
      <c r="M312" s="10"/>
      <c r="N312" s="6"/>
      <c r="O312" s="109"/>
      <c r="P312" s="109"/>
      <c r="Q312" s="109"/>
      <c r="R312" s="109"/>
      <c r="S312" s="109"/>
      <c r="T312" s="109"/>
      <c r="U312" s="109"/>
      <c r="V312" s="109"/>
      <c r="W312" s="109"/>
      <c r="X312" s="109"/>
      <c r="Y312" s="109"/>
      <c r="Z312" s="109"/>
      <c r="AA312" s="109"/>
    </row>
    <row r="313" ht="14" spans="1:27">
      <c r="A313" s="10"/>
      <c r="B313" s="10"/>
      <c r="C313" s="10"/>
      <c r="D313" s="10"/>
      <c r="E313" s="10"/>
      <c r="F313" s="10"/>
      <c r="G313" s="61"/>
      <c r="H313" s="61"/>
      <c r="I313" s="40" t="s">
        <v>82</v>
      </c>
      <c r="J313" s="6"/>
      <c r="K313" s="8" t="s">
        <v>945</v>
      </c>
      <c r="L313" s="6" t="s">
        <v>946</v>
      </c>
      <c r="M313" s="10"/>
      <c r="N313" s="6"/>
      <c r="O313" s="109"/>
      <c r="P313" s="109"/>
      <c r="Q313" s="109"/>
      <c r="R313" s="109"/>
      <c r="S313" s="109"/>
      <c r="T313" s="109"/>
      <c r="U313" s="109"/>
      <c r="V313" s="109"/>
      <c r="W313" s="109"/>
      <c r="X313" s="109"/>
      <c r="Y313" s="109"/>
      <c r="Z313" s="109"/>
      <c r="AA313" s="109"/>
    </row>
    <row r="314" ht="14" spans="1:27">
      <c r="A314" s="10"/>
      <c r="B314" s="10"/>
      <c r="C314" s="10"/>
      <c r="D314" s="10"/>
      <c r="E314" s="10"/>
      <c r="F314" s="10"/>
      <c r="G314" s="61"/>
      <c r="H314" s="61"/>
      <c r="I314" s="40" t="s">
        <v>82</v>
      </c>
      <c r="J314" s="6"/>
      <c r="K314" s="8" t="s">
        <v>945</v>
      </c>
      <c r="L314" s="6" t="s">
        <v>946</v>
      </c>
      <c r="M314" s="10"/>
      <c r="N314" s="6"/>
      <c r="O314" s="109"/>
      <c r="P314" s="109"/>
      <c r="Q314" s="109"/>
      <c r="R314" s="109"/>
      <c r="S314" s="109"/>
      <c r="T314" s="109"/>
      <c r="U314" s="109"/>
      <c r="V314" s="109"/>
      <c r="W314" s="109"/>
      <c r="X314" s="109"/>
      <c r="Y314" s="109"/>
      <c r="Z314" s="109"/>
      <c r="AA314" s="109"/>
    </row>
    <row r="315" ht="14" spans="1:27">
      <c r="A315" s="10"/>
      <c r="B315" s="10"/>
      <c r="C315" s="10"/>
      <c r="D315" s="10"/>
      <c r="E315" s="10"/>
      <c r="F315" s="10"/>
      <c r="G315" s="61"/>
      <c r="H315" s="61"/>
      <c r="I315" s="40" t="s">
        <v>82</v>
      </c>
      <c r="J315" s="6"/>
      <c r="K315" s="8" t="s">
        <v>947</v>
      </c>
      <c r="L315" s="6" t="s">
        <v>948</v>
      </c>
      <c r="M315" s="10"/>
      <c r="N315" s="6"/>
      <c r="O315" s="109"/>
      <c r="P315" s="109"/>
      <c r="Q315" s="109"/>
      <c r="R315" s="109"/>
      <c r="S315" s="109"/>
      <c r="T315" s="109"/>
      <c r="U315" s="109"/>
      <c r="V315" s="109"/>
      <c r="W315" s="109"/>
      <c r="X315" s="109"/>
      <c r="Y315" s="109"/>
      <c r="Z315" s="109"/>
      <c r="AA315" s="109"/>
    </row>
    <row r="316" ht="14" spans="1:27">
      <c r="A316" s="40" t="s">
        <v>142</v>
      </c>
      <c r="B316" s="7">
        <v>46168</v>
      </c>
      <c r="C316" s="6" t="str">
        <f>YEAR(B316)&amp;"年"&amp;MONTH(B316)&amp;"月"</f>
        <v>2026年5月</v>
      </c>
      <c r="D316" s="6" t="s">
        <v>10</v>
      </c>
      <c r="E316" s="40" t="s">
        <v>40</v>
      </c>
      <c r="F316" s="141" t="s">
        <v>949</v>
      </c>
      <c r="G316" s="61"/>
      <c r="H316" s="61"/>
      <c r="I316" s="40" t="s">
        <v>82</v>
      </c>
      <c r="J316" s="6"/>
      <c r="K316" s="8" t="s">
        <v>950</v>
      </c>
      <c r="L316" s="6" t="s">
        <v>951</v>
      </c>
      <c r="M316" s="92" t="s">
        <v>105</v>
      </c>
      <c r="N316" s="6"/>
      <c r="O316" s="109"/>
      <c r="P316" s="109"/>
      <c r="Q316" s="109"/>
      <c r="R316" s="109"/>
      <c r="S316" s="109"/>
      <c r="T316" s="109"/>
      <c r="U316" s="109"/>
      <c r="V316" s="109"/>
      <c r="W316" s="109"/>
      <c r="X316" s="109"/>
      <c r="Y316" s="109"/>
      <c r="Z316" s="109"/>
      <c r="AA316" s="109"/>
    </row>
    <row r="317" ht="14" spans="1:27">
      <c r="A317" s="40" t="s">
        <v>872</v>
      </c>
      <c r="B317" s="7">
        <v>46169</v>
      </c>
      <c r="C317" s="6" t="str">
        <f>YEAR(B317)&amp;"年"&amp;MONTH(B317)&amp;"月"</f>
        <v>2026年5月</v>
      </c>
      <c r="D317" s="6" t="s">
        <v>11</v>
      </c>
      <c r="E317" s="40" t="s">
        <v>47</v>
      </c>
      <c r="F317" s="141" t="s">
        <v>952</v>
      </c>
      <c r="G317" s="61"/>
      <c r="H317" s="61"/>
      <c r="I317" s="40" t="s">
        <v>82</v>
      </c>
      <c r="J317" s="6"/>
      <c r="K317" s="8" t="s">
        <v>953</v>
      </c>
      <c r="L317" s="6" t="s">
        <v>954</v>
      </c>
      <c r="M317" s="92" t="s">
        <v>105</v>
      </c>
      <c r="N317" s="6"/>
      <c r="O317" s="109"/>
      <c r="P317" s="109"/>
      <c r="Q317" s="109"/>
      <c r="R317" s="109"/>
      <c r="S317" s="109"/>
      <c r="T317" s="109"/>
      <c r="U317" s="109"/>
      <c r="V317" s="109"/>
      <c r="W317" s="109"/>
      <c r="X317" s="109"/>
      <c r="Y317" s="109"/>
      <c r="Z317" s="109"/>
      <c r="AA317" s="109"/>
    </row>
    <row r="318" ht="14" spans="1:27">
      <c r="A318" s="40" t="s">
        <v>872</v>
      </c>
      <c r="B318" s="7">
        <v>46170</v>
      </c>
      <c r="C318" s="6" t="str">
        <f>YEAR(B318)&amp;"年"&amp;MONTH(B318)&amp;"月"</f>
        <v>2026年5月</v>
      </c>
      <c r="D318" s="6" t="s">
        <v>10</v>
      </c>
      <c r="E318" s="40" t="s">
        <v>40</v>
      </c>
      <c r="F318" s="141" t="s">
        <v>955</v>
      </c>
      <c r="G318" s="61"/>
      <c r="H318" s="61"/>
      <c r="I318" s="40" t="s">
        <v>82</v>
      </c>
      <c r="J318" s="6"/>
      <c r="K318" s="8" t="s">
        <v>956</v>
      </c>
      <c r="L318" s="6" t="s">
        <v>957</v>
      </c>
      <c r="M318" s="92" t="s">
        <v>105</v>
      </c>
      <c r="N318" s="6"/>
      <c r="O318" s="109"/>
      <c r="P318" s="109"/>
      <c r="Q318" s="109"/>
      <c r="R318" s="109"/>
      <c r="S318" s="109"/>
      <c r="T318" s="109"/>
      <c r="U318" s="109"/>
      <c r="V318" s="109"/>
      <c r="W318" s="109"/>
      <c r="X318" s="109"/>
      <c r="Y318" s="109"/>
      <c r="Z318" s="109"/>
      <c r="AA318" s="109"/>
    </row>
    <row r="319" ht="14" spans="1:27">
      <c r="A319" s="40" t="s">
        <v>872</v>
      </c>
      <c r="B319" s="7">
        <v>46170</v>
      </c>
      <c r="C319" s="6" t="str">
        <f>YEAR(B319)&amp;"年"&amp;MONTH(B319)&amp;"月"</f>
        <v>2026年5月</v>
      </c>
      <c r="D319" s="6" t="s">
        <v>10</v>
      </c>
      <c r="E319" s="40" t="s">
        <v>53</v>
      </c>
      <c r="F319" s="245" t="s">
        <v>958</v>
      </c>
      <c r="G319" s="61"/>
      <c r="H319" s="61"/>
      <c r="I319" s="40" t="s">
        <v>82</v>
      </c>
      <c r="J319" s="6">
        <v>8922500004</v>
      </c>
      <c r="K319" s="8" t="s">
        <v>959</v>
      </c>
      <c r="L319" s="6" t="s">
        <v>960</v>
      </c>
      <c r="M319" s="92" t="s">
        <v>105</v>
      </c>
      <c r="N319" s="6"/>
      <c r="O319" s="109" t="s">
        <v>129</v>
      </c>
      <c r="P319" s="109" t="s">
        <v>961</v>
      </c>
      <c r="Q319" s="109"/>
      <c r="R319" s="109"/>
      <c r="S319" s="109"/>
      <c r="T319" s="109"/>
      <c r="U319" s="109"/>
      <c r="V319" s="109"/>
      <c r="W319" s="109"/>
      <c r="X319" s="109"/>
      <c r="Y319" s="109"/>
      <c r="Z319" s="109"/>
      <c r="AA319" s="109"/>
    </row>
    <row r="320" ht="14" spans="1:27">
      <c r="A320" s="10"/>
      <c r="B320" s="10"/>
      <c r="C320" s="10"/>
      <c r="D320" s="10"/>
      <c r="E320" s="10"/>
      <c r="F320" s="10"/>
      <c r="G320" s="61"/>
      <c r="H320" s="61"/>
      <c r="I320" s="40" t="s">
        <v>82</v>
      </c>
      <c r="J320" s="6">
        <v>8922507004</v>
      </c>
      <c r="K320" s="8" t="s">
        <v>962</v>
      </c>
      <c r="L320" s="6" t="s">
        <v>963</v>
      </c>
      <c r="M320" s="10"/>
      <c r="N320" s="6"/>
      <c r="O320" s="109" t="s">
        <v>817</v>
      </c>
      <c r="P320" s="109"/>
      <c r="Q320" s="249">
        <v>46178</v>
      </c>
      <c r="R320" s="249">
        <v>46181</v>
      </c>
      <c r="S320" s="109"/>
      <c r="T320" s="109"/>
      <c r="U320" s="109"/>
      <c r="V320" s="109"/>
      <c r="W320" s="109"/>
      <c r="X320" s="109"/>
      <c r="Y320" s="109"/>
      <c r="Z320" s="109"/>
      <c r="AA320" s="109"/>
    </row>
    <row r="321" ht="14" spans="1:27">
      <c r="A321" s="40" t="s">
        <v>872</v>
      </c>
      <c r="B321" s="7">
        <v>46171</v>
      </c>
      <c r="C321" s="6" t="str">
        <f>YEAR(B321)&amp;"年"&amp;MONTH(B321)&amp;"月"</f>
        <v>2026年5月</v>
      </c>
      <c r="D321" s="6" t="s">
        <v>10</v>
      </c>
      <c r="E321" s="40" t="s">
        <v>39</v>
      </c>
      <c r="F321" s="141" t="s">
        <v>964</v>
      </c>
      <c r="G321" s="61"/>
      <c r="H321" s="61"/>
      <c r="I321" s="40" t="s">
        <v>82</v>
      </c>
      <c r="J321" s="6"/>
      <c r="K321" s="8" t="s">
        <v>965</v>
      </c>
      <c r="L321" s="6" t="s">
        <v>966</v>
      </c>
      <c r="M321" s="92" t="s">
        <v>105</v>
      </c>
      <c r="N321" s="6"/>
      <c r="O321" s="109" t="s">
        <v>967</v>
      </c>
      <c r="P321" s="109"/>
      <c r="Q321" s="109"/>
      <c r="R321" s="109"/>
      <c r="S321" s="109"/>
      <c r="T321" s="109"/>
      <c r="U321" s="109"/>
      <c r="V321" s="109"/>
      <c r="W321" s="109"/>
      <c r="X321" s="109"/>
      <c r="Y321" s="109"/>
      <c r="Z321" s="109"/>
      <c r="AA321" s="109"/>
    </row>
    <row r="322" ht="14" spans="1:27">
      <c r="A322" s="40" t="s">
        <v>872</v>
      </c>
      <c r="B322" s="7">
        <v>46176</v>
      </c>
      <c r="C322" s="6" t="str">
        <f>YEAR(B322)&amp;"年"&amp;MONTH(B322)&amp;"月"</f>
        <v>2026年6月</v>
      </c>
      <c r="D322" s="6" t="s">
        <v>10</v>
      </c>
      <c r="E322" s="40" t="s">
        <v>39</v>
      </c>
      <c r="F322" s="141" t="s">
        <v>968</v>
      </c>
      <c r="G322" s="61"/>
      <c r="H322" s="61"/>
      <c r="I322" s="40" t="s">
        <v>82</v>
      </c>
      <c r="J322" s="6"/>
      <c r="K322" s="8" t="s">
        <v>969</v>
      </c>
      <c r="L322" s="6" t="s">
        <v>970</v>
      </c>
      <c r="M322" s="92" t="s">
        <v>105</v>
      </c>
      <c r="N322" s="6"/>
      <c r="O322" s="109" t="s">
        <v>817</v>
      </c>
      <c r="P322" s="109"/>
      <c r="Q322" s="109"/>
      <c r="R322" s="109"/>
      <c r="S322" s="109"/>
      <c r="T322" s="109"/>
      <c r="U322" s="109"/>
      <c r="V322" s="109"/>
      <c r="W322" s="109"/>
      <c r="X322" s="109"/>
      <c r="Y322" s="109"/>
      <c r="Z322" s="109"/>
      <c r="AA322" s="109"/>
    </row>
    <row r="323" ht="25.5" customHeight="1" spans="1:27">
      <c r="A323" s="40" t="s">
        <v>872</v>
      </c>
      <c r="B323" s="7">
        <v>46178</v>
      </c>
      <c r="C323" s="6" t="str">
        <f>YEAR(B323)&amp;"年"&amp;MONTH(B323)&amp;"月"</f>
        <v>2026年6月</v>
      </c>
      <c r="D323" s="11" t="s">
        <v>10</v>
      </c>
      <c r="E323" s="40" t="s">
        <v>39</v>
      </c>
      <c r="F323" s="77" t="s">
        <v>971</v>
      </c>
      <c r="G323" s="61"/>
      <c r="H323" s="61"/>
      <c r="I323" s="117" t="s">
        <v>82</v>
      </c>
      <c r="J323" s="6">
        <v>799001466</v>
      </c>
      <c r="K323" s="8" t="s">
        <v>972</v>
      </c>
      <c r="L323" s="6" t="s">
        <v>973</v>
      </c>
      <c r="M323" s="250" t="s">
        <v>105</v>
      </c>
      <c r="N323" s="6"/>
      <c r="O323" s="109"/>
      <c r="P323" s="109"/>
      <c r="Q323" s="109"/>
      <c r="R323" s="109"/>
      <c r="S323" s="109"/>
      <c r="T323" s="109"/>
      <c r="U323" s="109"/>
      <c r="V323" s="109"/>
      <c r="W323" s="109"/>
      <c r="X323" s="109"/>
      <c r="Y323" s="109"/>
      <c r="Z323" s="109"/>
      <c r="AA323" s="109"/>
    </row>
    <row r="324" ht="14" spans="1:27">
      <c r="A324" s="10"/>
      <c r="B324" s="10"/>
      <c r="C324" s="10"/>
      <c r="D324" s="12"/>
      <c r="E324" s="10"/>
      <c r="F324" s="10"/>
      <c r="G324" s="61"/>
      <c r="H324" s="61"/>
      <c r="I324" s="12"/>
      <c r="J324" s="6">
        <v>7990017489</v>
      </c>
      <c r="K324" s="8" t="s">
        <v>974</v>
      </c>
      <c r="L324" s="6" t="s">
        <v>975</v>
      </c>
      <c r="M324" s="12"/>
      <c r="N324" s="6"/>
      <c r="O324" s="109"/>
      <c r="P324" s="109"/>
      <c r="Q324" s="109"/>
      <c r="R324" s="109"/>
      <c r="S324" s="109"/>
      <c r="T324" s="109"/>
      <c r="U324" s="109"/>
      <c r="V324" s="109"/>
      <c r="W324" s="109"/>
      <c r="X324" s="109"/>
      <c r="Y324" s="109"/>
      <c r="Z324" s="109"/>
      <c r="AA324" s="109"/>
    </row>
    <row r="325" ht="14" spans="1:27">
      <c r="A325" s="10"/>
      <c r="B325" s="10"/>
      <c r="C325" s="10"/>
      <c r="D325" s="12"/>
      <c r="E325" s="10"/>
      <c r="F325" s="10"/>
      <c r="G325" s="61"/>
      <c r="H325" s="61"/>
      <c r="I325" s="12"/>
      <c r="J325" s="6">
        <v>7990017435</v>
      </c>
      <c r="K325" s="8" t="s">
        <v>976</v>
      </c>
      <c r="L325" s="6" t="s">
        <v>977</v>
      </c>
      <c r="M325" s="12"/>
      <c r="N325" s="6"/>
      <c r="O325" s="109"/>
      <c r="P325" s="109"/>
      <c r="Q325" s="109"/>
      <c r="R325" s="109"/>
      <c r="S325" s="109"/>
      <c r="T325" s="109"/>
      <c r="U325" s="109"/>
      <c r="V325" s="109"/>
      <c r="W325" s="109"/>
      <c r="X325" s="109"/>
      <c r="Y325" s="109"/>
      <c r="Z325" s="109"/>
      <c r="AA325" s="109"/>
    </row>
    <row r="326" ht="14" spans="1:27">
      <c r="A326" s="10"/>
      <c r="B326" s="10"/>
      <c r="C326" s="10"/>
      <c r="D326" s="12"/>
      <c r="E326" s="10"/>
      <c r="F326" s="10"/>
      <c r="G326" s="61"/>
      <c r="H326" s="61"/>
      <c r="I326" s="12"/>
      <c r="J326" s="6">
        <v>7990017480</v>
      </c>
      <c r="K326" s="8" t="s">
        <v>978</v>
      </c>
      <c r="L326" s="6" t="s">
        <v>979</v>
      </c>
      <c r="M326" s="12"/>
      <c r="N326" s="6"/>
      <c r="O326" s="109"/>
      <c r="P326" s="109"/>
      <c r="Q326" s="109"/>
      <c r="R326" s="109"/>
      <c r="S326" s="109"/>
      <c r="T326" s="109"/>
      <c r="U326" s="109"/>
      <c r="V326" s="109"/>
      <c r="W326" s="109"/>
      <c r="X326" s="109"/>
      <c r="Y326" s="109"/>
      <c r="Z326" s="109"/>
      <c r="AA326" s="109"/>
    </row>
    <row r="327" ht="14" spans="1:27">
      <c r="A327" s="10"/>
      <c r="B327" s="10"/>
      <c r="C327" s="10"/>
      <c r="D327" s="12"/>
      <c r="E327" s="10"/>
      <c r="F327" s="10"/>
      <c r="G327" s="61"/>
      <c r="H327" s="61"/>
      <c r="I327" s="12"/>
      <c r="J327" s="6">
        <v>7990017503</v>
      </c>
      <c r="K327" s="8" t="s">
        <v>980</v>
      </c>
      <c r="L327" s="41" t="s">
        <v>981</v>
      </c>
      <c r="M327" s="12"/>
      <c r="N327" s="6"/>
      <c r="O327" s="109"/>
      <c r="P327" s="109"/>
      <c r="Q327" s="109"/>
      <c r="R327" s="109"/>
      <c r="S327" s="109"/>
      <c r="T327" s="109"/>
      <c r="U327" s="109"/>
      <c r="V327" s="109"/>
      <c r="W327" s="109"/>
      <c r="X327" s="109"/>
      <c r="Y327" s="109"/>
      <c r="Z327" s="109"/>
      <c r="AA327" s="109"/>
    </row>
    <row r="328" ht="14" spans="1:27">
      <c r="A328" s="10"/>
      <c r="B328" s="10"/>
      <c r="C328" s="10"/>
      <c r="D328" s="12"/>
      <c r="E328" s="10"/>
      <c r="F328" s="10"/>
      <c r="G328" s="61"/>
      <c r="H328" s="61"/>
      <c r="I328" s="12"/>
      <c r="J328" s="6">
        <v>7990017502</v>
      </c>
      <c r="K328" s="8" t="s">
        <v>982</v>
      </c>
      <c r="L328" s="6" t="s">
        <v>983</v>
      </c>
      <c r="M328" s="12"/>
      <c r="N328" s="6"/>
      <c r="O328" s="109"/>
      <c r="P328" s="109"/>
      <c r="Q328" s="109"/>
      <c r="R328" s="109"/>
      <c r="S328" s="109"/>
      <c r="T328" s="109"/>
      <c r="U328" s="109"/>
      <c r="V328" s="109"/>
      <c r="W328" s="109"/>
      <c r="X328" s="109"/>
      <c r="Y328" s="109"/>
      <c r="Z328" s="109"/>
      <c r="AA328" s="109"/>
    </row>
    <row r="329" ht="14" spans="1:27">
      <c r="A329" s="10"/>
      <c r="B329" s="10"/>
      <c r="C329" s="10"/>
      <c r="D329" s="12"/>
      <c r="E329" s="10"/>
      <c r="F329" s="10"/>
      <c r="G329" s="61"/>
      <c r="H329" s="61"/>
      <c r="I329" s="12"/>
      <c r="J329" s="6">
        <v>7990017501</v>
      </c>
      <c r="K329" s="8" t="s">
        <v>984</v>
      </c>
      <c r="L329" s="6" t="s">
        <v>985</v>
      </c>
      <c r="M329" s="12"/>
      <c r="N329" s="6"/>
      <c r="O329" s="109"/>
      <c r="P329" s="109"/>
      <c r="Q329" s="109"/>
      <c r="R329" s="109"/>
      <c r="S329" s="109"/>
      <c r="T329" s="109"/>
      <c r="U329" s="109"/>
      <c r="V329" s="109"/>
      <c r="W329" s="109"/>
      <c r="X329" s="109"/>
      <c r="Y329" s="109"/>
      <c r="Z329" s="109"/>
      <c r="AA329" s="109"/>
    </row>
    <row r="330" ht="14" spans="1:27">
      <c r="A330" s="10"/>
      <c r="B330" s="10"/>
      <c r="C330" s="10"/>
      <c r="D330" s="12"/>
      <c r="E330" s="10"/>
      <c r="F330" s="10"/>
      <c r="G330" s="61"/>
      <c r="H330" s="61"/>
      <c r="I330" s="12"/>
      <c r="J330" s="6">
        <v>7990017504</v>
      </c>
      <c r="K330" s="8" t="s">
        <v>986</v>
      </c>
      <c r="L330" s="6" t="s">
        <v>987</v>
      </c>
      <c r="M330" s="12"/>
      <c r="N330" s="6"/>
      <c r="O330" s="109"/>
      <c r="P330" s="109"/>
      <c r="Q330" s="109"/>
      <c r="R330" s="109"/>
      <c r="S330" s="109"/>
      <c r="T330" s="109"/>
      <c r="U330" s="109"/>
      <c r="V330" s="109"/>
      <c r="W330" s="109"/>
      <c r="X330" s="109"/>
      <c r="Y330" s="109"/>
      <c r="Z330" s="109"/>
      <c r="AA330" s="109"/>
    </row>
    <row r="331" ht="14" spans="1:27">
      <c r="A331" s="10"/>
      <c r="B331" s="10"/>
      <c r="C331" s="10"/>
      <c r="D331" s="12"/>
      <c r="E331" s="10"/>
      <c r="F331" s="10"/>
      <c r="G331" s="61"/>
      <c r="H331" s="61"/>
      <c r="I331" s="12"/>
      <c r="J331" s="6">
        <v>7990017500</v>
      </c>
      <c r="K331" s="8" t="s">
        <v>988</v>
      </c>
      <c r="L331" s="6" t="s">
        <v>989</v>
      </c>
      <c r="M331" s="12"/>
      <c r="N331" s="6"/>
      <c r="O331" s="109"/>
      <c r="P331" s="109"/>
      <c r="Q331" s="109"/>
      <c r="R331" s="109"/>
      <c r="S331" s="109"/>
      <c r="T331" s="109"/>
      <c r="U331" s="109"/>
      <c r="V331" s="109"/>
      <c r="W331" s="109"/>
      <c r="X331" s="109"/>
      <c r="Y331" s="109"/>
      <c r="Z331" s="109"/>
      <c r="AA331" s="109"/>
    </row>
    <row r="332" ht="14" spans="1:27">
      <c r="A332" s="10"/>
      <c r="B332" s="10"/>
      <c r="C332" s="10"/>
      <c r="D332" s="13"/>
      <c r="E332" s="10"/>
      <c r="F332" s="10"/>
      <c r="G332" s="61"/>
      <c r="H332" s="61"/>
      <c r="I332" s="13"/>
      <c r="J332" s="6">
        <v>7990017498</v>
      </c>
      <c r="K332" s="8" t="s">
        <v>990</v>
      </c>
      <c r="L332" s="6" t="s">
        <v>991</v>
      </c>
      <c r="M332" s="13"/>
      <c r="N332" s="6"/>
      <c r="O332" s="109"/>
      <c r="P332" s="109"/>
      <c r="Q332" s="109"/>
      <c r="R332" s="109"/>
      <c r="S332" s="109"/>
      <c r="T332" s="109"/>
      <c r="U332" s="109"/>
      <c r="V332" s="109"/>
      <c r="W332" s="109"/>
      <c r="X332" s="109"/>
      <c r="Y332" s="109"/>
      <c r="Z332" s="109"/>
      <c r="AA332" s="109"/>
    </row>
    <row r="333" ht="14" spans="1:27">
      <c r="A333" s="40" t="s">
        <v>872</v>
      </c>
      <c r="B333" s="7">
        <v>46179</v>
      </c>
      <c r="C333" s="6" t="str">
        <f>YEAR(B333)&amp;"年"&amp;MONTH(B333)&amp;"月"</f>
        <v>2026年6月</v>
      </c>
      <c r="D333" s="6" t="s">
        <v>10</v>
      </c>
      <c r="E333" s="40" t="s">
        <v>39</v>
      </c>
      <c r="F333" s="141" t="s">
        <v>992</v>
      </c>
      <c r="G333" s="61"/>
      <c r="H333" s="61"/>
      <c r="I333" s="40" t="s">
        <v>82</v>
      </c>
      <c r="J333" s="6">
        <v>7990017062</v>
      </c>
      <c r="K333" s="8" t="s">
        <v>993</v>
      </c>
      <c r="L333" s="6" t="s">
        <v>994</v>
      </c>
      <c r="M333" s="92" t="s">
        <v>105</v>
      </c>
      <c r="N333" s="6"/>
      <c r="O333" s="109" t="s">
        <v>136</v>
      </c>
      <c r="P333" s="109" t="s">
        <v>995</v>
      </c>
      <c r="Q333" s="109"/>
      <c r="R333" s="109"/>
      <c r="S333" s="109"/>
      <c r="T333" s="109"/>
      <c r="U333" s="109"/>
      <c r="V333" s="109"/>
      <c r="W333" s="109"/>
      <c r="X333" s="109"/>
      <c r="Y333" s="109"/>
      <c r="Z333" s="109"/>
      <c r="AA333" s="109"/>
    </row>
    <row r="334" ht="14" spans="1:27">
      <c r="A334" s="40" t="s">
        <v>872</v>
      </c>
      <c r="B334" s="7">
        <v>46191</v>
      </c>
      <c r="C334" s="6" t="str">
        <f>YEAR(B334)&amp;"年"&amp;MONTH(B334)&amp;"月"</f>
        <v>2026年6月</v>
      </c>
      <c r="D334" s="6" t="s">
        <v>10</v>
      </c>
      <c r="E334" s="40" t="s">
        <v>39</v>
      </c>
      <c r="F334" s="141" t="s">
        <v>996</v>
      </c>
      <c r="G334" s="61"/>
      <c r="H334" s="61"/>
      <c r="I334" s="40" t="s">
        <v>82</v>
      </c>
      <c r="J334" s="6">
        <v>7990011252</v>
      </c>
      <c r="K334" s="90" t="s">
        <v>582</v>
      </c>
      <c r="L334" s="6" t="s">
        <v>583</v>
      </c>
      <c r="M334" s="92" t="s">
        <v>105</v>
      </c>
      <c r="N334" s="6"/>
      <c r="O334" s="109" t="s">
        <v>927</v>
      </c>
      <c r="P334" s="109"/>
      <c r="Q334" s="109"/>
      <c r="R334" s="109"/>
      <c r="S334" s="109"/>
      <c r="T334" s="109"/>
      <c r="U334" s="109"/>
      <c r="V334" s="109"/>
      <c r="W334" s="109"/>
      <c r="X334" s="109"/>
      <c r="Y334" s="109"/>
      <c r="Z334" s="109"/>
      <c r="AA334" s="109"/>
    </row>
    <row r="335" ht="14" spans="1:27">
      <c r="A335" s="40"/>
      <c r="B335" s="7"/>
      <c r="C335" s="6"/>
      <c r="D335" s="6"/>
      <c r="E335" s="40"/>
      <c r="F335" s="141"/>
      <c r="G335" s="61"/>
      <c r="H335" s="61"/>
      <c r="I335" s="40"/>
      <c r="J335" s="6"/>
      <c r="K335" s="8"/>
      <c r="L335" s="6"/>
      <c r="M335" s="6"/>
      <c r="N335" s="6"/>
      <c r="O335" s="109"/>
      <c r="P335" s="109"/>
      <c r="Q335" s="109"/>
      <c r="R335" s="109"/>
      <c r="S335" s="109"/>
      <c r="T335" s="109"/>
      <c r="U335" s="109"/>
      <c r="V335" s="109"/>
      <c r="W335" s="109"/>
      <c r="X335" s="109"/>
      <c r="Y335" s="109"/>
      <c r="Z335" s="109"/>
      <c r="AA335" s="109"/>
    </row>
    <row r="336" ht="14" spans="1:27">
      <c r="A336" s="40"/>
      <c r="B336" s="7"/>
      <c r="C336" s="6"/>
      <c r="D336" s="6"/>
      <c r="E336" s="40"/>
      <c r="F336" s="141"/>
      <c r="G336" s="61"/>
      <c r="H336" s="61"/>
      <c r="I336" s="40"/>
      <c r="J336" s="6"/>
      <c r="K336" s="8"/>
      <c r="L336" s="6"/>
      <c r="M336" s="6"/>
      <c r="N336" s="6"/>
      <c r="O336" s="109"/>
      <c r="P336" s="109"/>
      <c r="Q336" s="109"/>
      <c r="R336" s="109"/>
      <c r="S336" s="109"/>
      <c r="T336" s="109"/>
      <c r="U336" s="109"/>
      <c r="V336" s="109"/>
      <c r="W336" s="109"/>
      <c r="X336" s="109"/>
      <c r="Y336" s="109"/>
      <c r="Z336" s="109"/>
      <c r="AA336" s="109"/>
    </row>
    <row r="337" ht="14" spans="1:27">
      <c r="A337" s="40"/>
      <c r="B337" s="7"/>
      <c r="C337" s="6"/>
      <c r="D337" s="6"/>
      <c r="E337" s="40"/>
      <c r="F337" s="141"/>
      <c r="G337" s="61"/>
      <c r="H337" s="61"/>
      <c r="I337" s="40"/>
      <c r="J337" s="6"/>
      <c r="K337" s="8"/>
      <c r="L337" s="6"/>
      <c r="M337" s="6"/>
      <c r="N337" s="6"/>
      <c r="O337" s="109"/>
      <c r="P337" s="109"/>
      <c r="Q337" s="109"/>
      <c r="R337" s="109"/>
      <c r="S337" s="109"/>
      <c r="T337" s="109"/>
      <c r="U337" s="109"/>
      <c r="V337" s="109"/>
      <c r="W337" s="109"/>
      <c r="X337" s="109"/>
      <c r="Y337" s="109"/>
      <c r="Z337" s="109"/>
      <c r="AA337" s="109"/>
    </row>
    <row r="338" ht="14" spans="1:27">
      <c r="A338" s="40"/>
      <c r="B338" s="7"/>
      <c r="C338" s="6"/>
      <c r="D338" s="6"/>
      <c r="E338" s="40"/>
      <c r="F338" s="141"/>
      <c r="G338" s="61"/>
      <c r="H338" s="61"/>
      <c r="I338" s="40"/>
      <c r="J338" s="6"/>
      <c r="K338" s="8"/>
      <c r="L338" s="6"/>
      <c r="M338" s="6"/>
      <c r="N338" s="6"/>
      <c r="O338" s="109"/>
      <c r="P338" s="109"/>
      <c r="Q338" s="109"/>
      <c r="R338" s="109"/>
      <c r="S338" s="109"/>
      <c r="T338" s="109"/>
      <c r="U338" s="109"/>
      <c r="V338" s="109"/>
      <c r="W338" s="109"/>
      <c r="X338" s="109"/>
      <c r="Y338" s="109"/>
      <c r="Z338" s="109"/>
      <c r="AA338" s="109"/>
    </row>
    <row r="339" ht="14" spans="1:27">
      <c r="A339" s="40"/>
      <c r="B339" s="7"/>
      <c r="C339" s="6"/>
      <c r="D339" s="6"/>
      <c r="E339" s="40"/>
      <c r="F339" s="141"/>
      <c r="G339" s="61"/>
      <c r="H339" s="61"/>
      <c r="I339" s="40"/>
      <c r="J339" s="6"/>
      <c r="K339" s="8"/>
      <c r="L339" s="6"/>
      <c r="M339" s="6"/>
      <c r="N339" s="6"/>
      <c r="O339" s="109"/>
      <c r="P339" s="109"/>
      <c r="Q339" s="109"/>
      <c r="R339" s="109"/>
      <c r="S339" s="109"/>
      <c r="T339" s="109"/>
      <c r="U339" s="109"/>
      <c r="V339" s="109"/>
      <c r="W339" s="109"/>
      <c r="X339" s="109"/>
      <c r="Y339" s="109"/>
      <c r="Z339" s="109"/>
      <c r="AA339" s="109"/>
    </row>
    <row r="340" ht="14" spans="1:27">
      <c r="A340" s="40"/>
      <c r="B340" s="7"/>
      <c r="C340" s="6"/>
      <c r="D340" s="6"/>
      <c r="E340" s="40"/>
      <c r="F340" s="141"/>
      <c r="G340" s="61"/>
      <c r="H340" s="61"/>
      <c r="I340" s="40"/>
      <c r="J340" s="6"/>
      <c r="K340" s="8"/>
      <c r="L340" s="6"/>
      <c r="M340" s="6"/>
      <c r="N340" s="6"/>
      <c r="O340" s="109"/>
      <c r="P340" s="109"/>
      <c r="Q340" s="109"/>
      <c r="R340" s="109"/>
      <c r="S340" s="109"/>
      <c r="T340" s="109"/>
      <c r="U340" s="109"/>
      <c r="V340" s="109"/>
      <c r="W340" s="109"/>
      <c r="X340" s="109"/>
      <c r="Y340" s="109"/>
      <c r="Z340" s="109"/>
      <c r="AA340" s="109"/>
    </row>
    <row r="341" ht="14" spans="1:27">
      <c r="A341" s="40"/>
      <c r="B341" s="7"/>
      <c r="C341" s="6"/>
      <c r="D341" s="6"/>
      <c r="E341" s="40"/>
      <c r="F341" s="141"/>
      <c r="G341" s="61"/>
      <c r="H341" s="61"/>
      <c r="I341" s="40"/>
      <c r="J341" s="6"/>
      <c r="K341" s="8"/>
      <c r="L341" s="6"/>
      <c r="M341" s="6"/>
      <c r="N341" s="6"/>
      <c r="O341" s="109"/>
      <c r="P341" s="109"/>
      <c r="Q341" s="109"/>
      <c r="R341" s="109"/>
      <c r="S341" s="109"/>
      <c r="T341" s="109"/>
      <c r="U341" s="109"/>
      <c r="V341" s="109"/>
      <c r="W341" s="109"/>
      <c r="X341" s="109"/>
      <c r="Y341" s="109"/>
      <c r="Z341" s="109"/>
      <c r="AA341" s="109"/>
    </row>
    <row r="342" ht="14" spans="1:27">
      <c r="A342" s="40"/>
      <c r="B342" s="7"/>
      <c r="C342" s="6"/>
      <c r="D342" s="6"/>
      <c r="E342" s="40"/>
      <c r="F342" s="141"/>
      <c r="G342" s="61"/>
      <c r="H342" s="61"/>
      <c r="I342" s="40"/>
      <c r="J342" s="6"/>
      <c r="K342" s="8"/>
      <c r="L342" s="6"/>
      <c r="M342" s="6"/>
      <c r="N342" s="6"/>
      <c r="O342" s="109"/>
      <c r="P342" s="109"/>
      <c r="Q342" s="109"/>
      <c r="R342" s="109"/>
      <c r="S342" s="109"/>
      <c r="T342" s="109"/>
      <c r="U342" s="109"/>
      <c r="V342" s="109"/>
      <c r="W342" s="109"/>
      <c r="X342" s="109"/>
      <c r="Y342" s="109"/>
      <c r="Z342" s="109"/>
      <c r="AA342" s="109"/>
    </row>
    <row r="343" ht="14" spans="1:27">
      <c r="A343" s="40"/>
      <c r="B343" s="7"/>
      <c r="C343" s="6"/>
      <c r="D343" s="6"/>
      <c r="E343" s="40"/>
      <c r="F343" s="141"/>
      <c r="G343" s="61"/>
      <c r="H343" s="61"/>
      <c r="I343" s="40"/>
      <c r="J343" s="6"/>
      <c r="K343" s="8"/>
      <c r="L343" s="6"/>
      <c r="M343" s="6"/>
      <c r="N343" s="6"/>
      <c r="O343" s="109"/>
      <c r="P343" s="109"/>
      <c r="Q343" s="109"/>
      <c r="R343" s="109"/>
      <c r="S343" s="109"/>
      <c r="T343" s="109"/>
      <c r="U343" s="109"/>
      <c r="V343" s="109"/>
      <c r="W343" s="109"/>
      <c r="X343" s="109"/>
      <c r="Y343" s="109"/>
      <c r="Z343" s="109"/>
      <c r="AA343" s="109"/>
    </row>
    <row r="344" ht="14" spans="1:27">
      <c r="A344" s="40"/>
      <c r="B344" s="7"/>
      <c r="C344" s="6"/>
      <c r="D344" s="6"/>
      <c r="E344" s="40"/>
      <c r="F344" s="141"/>
      <c r="G344" s="61"/>
      <c r="H344" s="61"/>
      <c r="I344" s="40"/>
      <c r="J344" s="6"/>
      <c r="K344" s="8"/>
      <c r="L344" s="6"/>
      <c r="M344" s="6"/>
      <c r="N344" s="6"/>
      <c r="O344" s="109"/>
      <c r="P344" s="109"/>
      <c r="Q344" s="109"/>
      <c r="R344" s="109"/>
      <c r="S344" s="109"/>
      <c r="T344" s="109"/>
      <c r="U344" s="109"/>
      <c r="V344" s="109"/>
      <c r="W344" s="109"/>
      <c r="X344" s="109"/>
      <c r="Y344" s="109"/>
      <c r="Z344" s="109"/>
      <c r="AA344" s="109"/>
    </row>
    <row r="345" ht="14" spans="1:27">
      <c r="A345" s="40"/>
      <c r="B345" s="7"/>
      <c r="C345" s="6"/>
      <c r="D345" s="6"/>
      <c r="E345" s="40"/>
      <c r="F345" s="141"/>
      <c r="G345" s="61"/>
      <c r="H345" s="61"/>
      <c r="I345" s="40"/>
      <c r="J345" s="6"/>
      <c r="K345" s="8"/>
      <c r="L345" s="6"/>
      <c r="M345" s="6"/>
      <c r="N345" s="6"/>
      <c r="O345" s="109"/>
      <c r="P345" s="109"/>
      <c r="Q345" s="109"/>
      <c r="R345" s="109"/>
      <c r="S345" s="109"/>
      <c r="T345" s="109"/>
      <c r="U345" s="109"/>
      <c r="V345" s="109"/>
      <c r="W345" s="109"/>
      <c r="X345" s="109"/>
      <c r="Y345" s="109"/>
      <c r="Z345" s="109"/>
      <c r="AA345" s="109"/>
    </row>
    <row r="346" ht="14" spans="1:27">
      <c r="A346" s="40"/>
      <c r="B346" s="7"/>
      <c r="C346" s="6"/>
      <c r="D346" s="6"/>
      <c r="E346" s="40"/>
      <c r="F346" s="141"/>
      <c r="G346" s="61"/>
      <c r="H346" s="61"/>
      <c r="I346" s="40"/>
      <c r="J346" s="6"/>
      <c r="K346" s="8"/>
      <c r="L346" s="6"/>
      <c r="M346" s="6"/>
      <c r="N346" s="6"/>
      <c r="O346" s="109"/>
      <c r="P346" s="109"/>
      <c r="Q346" s="109"/>
      <c r="R346" s="109"/>
      <c r="S346" s="109"/>
      <c r="T346" s="109"/>
      <c r="U346" s="109"/>
      <c r="V346" s="109"/>
      <c r="W346" s="109"/>
      <c r="X346" s="109"/>
      <c r="Y346" s="109"/>
      <c r="Z346" s="109"/>
      <c r="AA346" s="109"/>
    </row>
    <row r="347" ht="14" spans="1:27">
      <c r="A347" s="40"/>
      <c r="B347" s="7"/>
      <c r="C347" s="6"/>
      <c r="D347" s="6"/>
      <c r="E347" s="40"/>
      <c r="F347" s="141"/>
      <c r="G347" s="61"/>
      <c r="H347" s="61"/>
      <c r="I347" s="40"/>
      <c r="J347" s="6"/>
      <c r="K347" s="8"/>
      <c r="L347" s="6"/>
      <c r="M347" s="6"/>
      <c r="N347" s="6"/>
      <c r="O347" s="109"/>
      <c r="P347" s="109"/>
      <c r="Q347" s="109"/>
      <c r="R347" s="109"/>
      <c r="S347" s="109"/>
      <c r="T347" s="109"/>
      <c r="U347" s="109"/>
      <c r="V347" s="109"/>
      <c r="W347" s="109"/>
      <c r="X347" s="109"/>
      <c r="Y347" s="109"/>
      <c r="Z347" s="109"/>
      <c r="AA347" s="109"/>
    </row>
    <row r="348" ht="14" spans="1:27">
      <c r="A348" s="40"/>
      <c r="B348" s="7"/>
      <c r="C348" s="6"/>
      <c r="D348" s="6"/>
      <c r="E348" s="40"/>
      <c r="F348" s="141"/>
      <c r="G348" s="61"/>
      <c r="H348" s="61"/>
      <c r="I348" s="40"/>
      <c r="J348" s="6"/>
      <c r="K348" s="8"/>
      <c r="L348" s="6"/>
      <c r="M348" s="6"/>
      <c r="N348" s="6"/>
      <c r="O348" s="109"/>
      <c r="P348" s="109"/>
      <c r="Q348" s="109"/>
      <c r="R348" s="109"/>
      <c r="S348" s="109"/>
      <c r="T348" s="109"/>
      <c r="U348" s="109"/>
      <c r="V348" s="109"/>
      <c r="W348" s="109"/>
      <c r="X348" s="109"/>
      <c r="Y348" s="109"/>
      <c r="Z348" s="109"/>
      <c r="AA348" s="109"/>
    </row>
    <row r="349" ht="14" spans="1:27">
      <c r="A349" s="40"/>
      <c r="B349" s="7"/>
      <c r="C349" s="6"/>
      <c r="D349" s="6"/>
      <c r="E349" s="40"/>
      <c r="F349" s="141"/>
      <c r="G349" s="61"/>
      <c r="H349" s="61"/>
      <c r="I349" s="40"/>
      <c r="J349" s="6"/>
      <c r="K349" s="8"/>
      <c r="L349" s="6"/>
      <c r="M349" s="6"/>
      <c r="N349" s="6"/>
      <c r="O349" s="109"/>
      <c r="P349" s="109"/>
      <c r="Q349" s="109"/>
      <c r="R349" s="109"/>
      <c r="S349" s="109"/>
      <c r="T349" s="109"/>
      <c r="U349" s="109"/>
      <c r="V349" s="109"/>
      <c r="W349" s="109"/>
      <c r="X349" s="109"/>
      <c r="Y349" s="109"/>
      <c r="Z349" s="109"/>
      <c r="AA349" s="109"/>
    </row>
    <row r="350" ht="14" spans="1:27">
      <c r="A350" s="40"/>
      <c r="B350" s="7"/>
      <c r="C350" s="6"/>
      <c r="D350" s="6"/>
      <c r="E350" s="40"/>
      <c r="F350" s="141"/>
      <c r="G350" s="61"/>
      <c r="H350" s="61"/>
      <c r="I350" s="40"/>
      <c r="J350" s="6"/>
      <c r="K350" s="8"/>
      <c r="L350" s="6"/>
      <c r="M350" s="6"/>
      <c r="N350" s="6"/>
      <c r="O350" s="109"/>
      <c r="P350" s="109"/>
      <c r="Q350" s="109"/>
      <c r="R350" s="109"/>
      <c r="S350" s="109"/>
      <c r="T350" s="109"/>
      <c r="U350" s="109"/>
      <c r="V350" s="109"/>
      <c r="W350" s="109"/>
      <c r="X350" s="109"/>
      <c r="Y350" s="109"/>
      <c r="Z350" s="109"/>
      <c r="AA350" s="109"/>
    </row>
    <row r="351" ht="14" spans="1:27">
      <c r="A351" s="40"/>
      <c r="B351" s="7"/>
      <c r="C351" s="6"/>
      <c r="D351" s="6"/>
      <c r="E351" s="40"/>
      <c r="F351" s="141"/>
      <c r="G351" s="61"/>
      <c r="H351" s="61"/>
      <c r="I351" s="40"/>
      <c r="J351" s="6"/>
      <c r="K351" s="8"/>
      <c r="L351" s="6"/>
      <c r="M351" s="6"/>
      <c r="N351" s="6"/>
      <c r="O351" s="109"/>
      <c r="P351" s="109"/>
      <c r="Q351" s="109"/>
      <c r="R351" s="109"/>
      <c r="S351" s="109"/>
      <c r="T351" s="109"/>
      <c r="U351" s="109"/>
      <c r="V351" s="109"/>
      <c r="W351" s="109"/>
      <c r="X351" s="109"/>
      <c r="Y351" s="109"/>
      <c r="Z351" s="109"/>
      <c r="AA351" s="109"/>
    </row>
    <row r="352" ht="14" spans="1:27">
      <c r="A352" s="40"/>
      <c r="B352" s="7"/>
      <c r="C352" s="6"/>
      <c r="D352" s="6"/>
      <c r="E352" s="40"/>
      <c r="F352" s="141"/>
      <c r="G352" s="61"/>
      <c r="H352" s="61"/>
      <c r="I352" s="40"/>
      <c r="J352" s="6"/>
      <c r="K352" s="8"/>
      <c r="L352" s="6"/>
      <c r="M352" s="6"/>
      <c r="N352" s="6"/>
      <c r="O352" s="109"/>
      <c r="P352" s="109"/>
      <c r="Q352" s="109"/>
      <c r="R352" s="109"/>
      <c r="S352" s="109"/>
      <c r="T352" s="109"/>
      <c r="U352" s="109"/>
      <c r="V352" s="109"/>
      <c r="W352" s="109"/>
      <c r="X352" s="109"/>
      <c r="Y352" s="109"/>
      <c r="Z352" s="109"/>
      <c r="AA352" s="109"/>
    </row>
    <row r="353" ht="14" spans="1:27">
      <c r="A353" s="40"/>
      <c r="B353" s="7"/>
      <c r="C353" s="6"/>
      <c r="D353" s="6"/>
      <c r="E353" s="40"/>
      <c r="F353" s="141"/>
      <c r="G353" s="61"/>
      <c r="H353" s="61"/>
      <c r="I353" s="40"/>
      <c r="J353" s="6"/>
      <c r="K353" s="8"/>
      <c r="L353" s="6"/>
      <c r="M353" s="6"/>
      <c r="N353" s="6"/>
      <c r="O353" s="109"/>
      <c r="P353" s="109"/>
      <c r="Q353" s="109"/>
      <c r="R353" s="109"/>
      <c r="S353" s="109"/>
      <c r="T353" s="109"/>
      <c r="U353" s="109"/>
      <c r="V353" s="109"/>
      <c r="W353" s="109"/>
      <c r="X353" s="109"/>
      <c r="Y353" s="109"/>
      <c r="Z353" s="109"/>
      <c r="AA353" s="109"/>
    </row>
    <row r="354" ht="14" spans="1:27">
      <c r="A354" s="40"/>
      <c r="B354" s="7"/>
      <c r="C354" s="6"/>
      <c r="D354" s="6"/>
      <c r="E354" s="40"/>
      <c r="F354" s="141"/>
      <c r="G354" s="61"/>
      <c r="H354" s="61"/>
      <c r="I354" s="40"/>
      <c r="J354" s="6"/>
      <c r="K354" s="8"/>
      <c r="L354" s="6"/>
      <c r="M354" s="6"/>
      <c r="N354" s="6"/>
      <c r="O354" s="109"/>
      <c r="P354" s="109"/>
      <c r="Q354" s="109"/>
      <c r="R354" s="109"/>
      <c r="S354" s="109"/>
      <c r="T354" s="109"/>
      <c r="U354" s="109"/>
      <c r="V354" s="109"/>
      <c r="W354" s="109"/>
      <c r="X354" s="109"/>
      <c r="Y354" s="109"/>
      <c r="Z354" s="109"/>
      <c r="AA354" s="109"/>
    </row>
    <row r="355" ht="14" spans="1:27">
      <c r="A355" s="40"/>
      <c r="B355" s="7"/>
      <c r="C355" s="6"/>
      <c r="D355" s="6"/>
      <c r="E355" s="40"/>
      <c r="F355" s="141"/>
      <c r="G355" s="61"/>
      <c r="H355" s="61"/>
      <c r="I355" s="40"/>
      <c r="J355" s="6"/>
      <c r="K355" s="8"/>
      <c r="L355" s="6"/>
      <c r="M355" s="6"/>
      <c r="N355" s="6"/>
      <c r="O355" s="109"/>
      <c r="P355" s="109"/>
      <c r="Q355" s="109"/>
      <c r="R355" s="109"/>
      <c r="S355" s="109"/>
      <c r="T355" s="109"/>
      <c r="U355" s="109"/>
      <c r="V355" s="109"/>
      <c r="W355" s="109"/>
      <c r="X355" s="109"/>
      <c r="Y355" s="109"/>
      <c r="Z355" s="109"/>
      <c r="AA355" s="109"/>
    </row>
    <row r="356" ht="14" spans="1:27">
      <c r="A356" s="40"/>
      <c r="B356" s="7"/>
      <c r="C356" s="6"/>
      <c r="D356" s="6"/>
      <c r="E356" s="40"/>
      <c r="F356" s="141"/>
      <c r="G356" s="61"/>
      <c r="H356" s="61"/>
      <c r="I356" s="40"/>
      <c r="J356" s="6"/>
      <c r="K356" s="8"/>
      <c r="L356" s="6"/>
      <c r="M356" s="6"/>
      <c r="N356" s="6"/>
      <c r="O356" s="109"/>
      <c r="P356" s="109"/>
      <c r="Q356" s="109"/>
      <c r="R356" s="109"/>
      <c r="S356" s="109"/>
      <c r="T356" s="109"/>
      <c r="U356" s="109"/>
      <c r="V356" s="109"/>
      <c r="W356" s="109"/>
      <c r="X356" s="109"/>
      <c r="Y356" s="109"/>
      <c r="Z356" s="109"/>
      <c r="AA356" s="109"/>
    </row>
    <row r="357" ht="14" spans="1:27">
      <c r="A357" s="40"/>
      <c r="B357" s="7"/>
      <c r="C357" s="6"/>
      <c r="D357" s="6"/>
      <c r="E357" s="40"/>
      <c r="F357" s="141"/>
      <c r="G357" s="61"/>
      <c r="H357" s="61"/>
      <c r="I357" s="40"/>
      <c r="J357" s="6"/>
      <c r="K357" s="8"/>
      <c r="L357" s="6"/>
      <c r="M357" s="6"/>
      <c r="N357" s="6"/>
      <c r="O357" s="109"/>
      <c r="P357" s="109"/>
      <c r="Q357" s="109"/>
      <c r="R357" s="109"/>
      <c r="S357" s="109"/>
      <c r="T357" s="109"/>
      <c r="U357" s="109"/>
      <c r="V357" s="109"/>
      <c r="W357" s="109"/>
      <c r="X357" s="109"/>
      <c r="Y357" s="109"/>
      <c r="Z357" s="109"/>
      <c r="AA357" s="109"/>
    </row>
    <row r="358" ht="14" spans="1:27">
      <c r="A358" s="40"/>
      <c r="B358" s="7"/>
      <c r="C358" s="6"/>
      <c r="D358" s="6"/>
      <c r="E358" s="40"/>
      <c r="F358" s="141"/>
      <c r="G358" s="61"/>
      <c r="H358" s="61"/>
      <c r="I358" s="40"/>
      <c r="J358" s="6"/>
      <c r="K358" s="8"/>
      <c r="L358" s="6"/>
      <c r="M358" s="6"/>
      <c r="N358" s="6"/>
      <c r="O358" s="109"/>
      <c r="P358" s="109"/>
      <c r="Q358" s="109"/>
      <c r="R358" s="109"/>
      <c r="S358" s="109"/>
      <c r="T358" s="109"/>
      <c r="U358" s="109"/>
      <c r="V358" s="109"/>
      <c r="W358" s="109"/>
      <c r="X358" s="109"/>
      <c r="Y358" s="109"/>
      <c r="Z358" s="109"/>
      <c r="AA358" s="109"/>
    </row>
    <row r="359" ht="14" spans="1:27">
      <c r="A359" s="40"/>
      <c r="B359" s="7"/>
      <c r="C359" s="6"/>
      <c r="D359" s="6"/>
      <c r="E359" s="40"/>
      <c r="F359" s="141"/>
      <c r="G359" s="61"/>
      <c r="H359" s="61"/>
      <c r="I359" s="40"/>
      <c r="J359" s="6"/>
      <c r="K359" s="8"/>
      <c r="L359" s="6"/>
      <c r="M359" s="6"/>
      <c r="N359" s="6"/>
      <c r="O359" s="109"/>
      <c r="P359" s="109"/>
      <c r="Q359" s="109"/>
      <c r="R359" s="109"/>
      <c r="S359" s="109"/>
      <c r="T359" s="109"/>
      <c r="U359" s="109"/>
      <c r="V359" s="109"/>
      <c r="W359" s="109"/>
      <c r="X359" s="109"/>
      <c r="Y359" s="109"/>
      <c r="Z359" s="109"/>
      <c r="AA359" s="109"/>
    </row>
    <row r="360" ht="14" spans="1:27">
      <c r="A360" s="40"/>
      <c r="B360" s="7"/>
      <c r="C360" s="6"/>
      <c r="D360" s="6"/>
      <c r="E360" s="40"/>
      <c r="F360" s="141"/>
      <c r="G360" s="61"/>
      <c r="H360" s="61"/>
      <c r="I360" s="40"/>
      <c r="J360" s="6"/>
      <c r="K360" s="8"/>
      <c r="L360" s="6"/>
      <c r="M360" s="6"/>
      <c r="N360" s="6"/>
      <c r="O360" s="109"/>
      <c r="P360" s="109"/>
      <c r="Q360" s="109"/>
      <c r="R360" s="109"/>
      <c r="S360" s="109"/>
      <c r="T360" s="109"/>
      <c r="U360" s="109"/>
      <c r="V360" s="109"/>
      <c r="W360" s="109"/>
      <c r="X360" s="109"/>
      <c r="Y360" s="109"/>
      <c r="Z360" s="109"/>
      <c r="AA360" s="109"/>
    </row>
    <row r="361" ht="14" spans="1:27">
      <c r="A361" s="40"/>
      <c r="B361" s="7"/>
      <c r="C361" s="6"/>
      <c r="D361" s="6"/>
      <c r="E361" s="40"/>
      <c r="F361" s="141"/>
      <c r="G361" s="61"/>
      <c r="H361" s="61"/>
      <c r="I361" s="40"/>
      <c r="J361" s="6"/>
      <c r="K361" s="8"/>
      <c r="L361" s="6"/>
      <c r="M361" s="6"/>
      <c r="N361" s="6"/>
      <c r="O361" s="109"/>
      <c r="P361" s="109"/>
      <c r="Q361" s="109"/>
      <c r="R361" s="109"/>
      <c r="S361" s="109"/>
      <c r="T361" s="109"/>
      <c r="U361" s="109"/>
      <c r="V361" s="109"/>
      <c r="W361" s="109"/>
      <c r="X361" s="109"/>
      <c r="Y361" s="109"/>
      <c r="Z361" s="109"/>
      <c r="AA361" s="109"/>
    </row>
    <row r="362" ht="14" spans="1:27">
      <c r="A362" s="40"/>
      <c r="B362" s="7"/>
      <c r="C362" s="6"/>
      <c r="D362" s="6"/>
      <c r="E362" s="40"/>
      <c r="F362" s="141"/>
      <c r="G362" s="61"/>
      <c r="H362" s="61"/>
      <c r="I362" s="40"/>
      <c r="J362" s="6"/>
      <c r="K362" s="8"/>
      <c r="L362" s="6"/>
      <c r="M362" s="6"/>
      <c r="N362" s="6"/>
      <c r="O362" s="109"/>
      <c r="P362" s="109"/>
      <c r="Q362" s="109"/>
      <c r="R362" s="109"/>
      <c r="S362" s="109"/>
      <c r="T362" s="109"/>
      <c r="U362" s="109"/>
      <c r="V362" s="109"/>
      <c r="W362" s="109"/>
      <c r="X362" s="109"/>
      <c r="Y362" s="109"/>
      <c r="Z362" s="109"/>
      <c r="AA362" s="109"/>
    </row>
    <row r="363" ht="14" spans="1:27">
      <c r="A363" s="40"/>
      <c r="B363" s="7"/>
      <c r="C363" s="6"/>
      <c r="D363" s="6"/>
      <c r="E363" s="40"/>
      <c r="F363" s="141"/>
      <c r="G363" s="61"/>
      <c r="H363" s="61"/>
      <c r="I363" s="40"/>
      <c r="J363" s="6"/>
      <c r="K363" s="8"/>
      <c r="L363" s="6"/>
      <c r="M363" s="6"/>
      <c r="N363" s="6"/>
      <c r="O363" s="109"/>
      <c r="P363" s="109"/>
      <c r="Q363" s="109"/>
      <c r="R363" s="109"/>
      <c r="S363" s="109"/>
      <c r="T363" s="109"/>
      <c r="U363" s="109"/>
      <c r="V363" s="109"/>
      <c r="W363" s="109"/>
      <c r="X363" s="109"/>
      <c r="Y363" s="109"/>
      <c r="Z363" s="109"/>
      <c r="AA363" s="109"/>
    </row>
    <row r="364" ht="14" spans="1:27">
      <c r="A364" s="40"/>
      <c r="B364" s="7"/>
      <c r="C364" s="6"/>
      <c r="D364" s="6"/>
      <c r="E364" s="40"/>
      <c r="F364" s="141"/>
      <c r="G364" s="61"/>
      <c r="H364" s="61"/>
      <c r="I364" s="40"/>
      <c r="J364" s="6"/>
      <c r="K364" s="8"/>
      <c r="L364" s="6"/>
      <c r="M364" s="6"/>
      <c r="N364" s="6"/>
      <c r="O364" s="109"/>
      <c r="P364" s="109"/>
      <c r="Q364" s="109"/>
      <c r="R364" s="109"/>
      <c r="S364" s="109"/>
      <c r="T364" s="109"/>
      <c r="U364" s="109"/>
      <c r="V364" s="109"/>
      <c r="W364" s="109"/>
      <c r="X364" s="109"/>
      <c r="Y364" s="109"/>
      <c r="Z364" s="109"/>
      <c r="AA364" s="109"/>
    </row>
    <row r="365" ht="14" spans="1:27">
      <c r="A365" s="40"/>
      <c r="B365" s="7"/>
      <c r="C365" s="6"/>
      <c r="D365" s="6"/>
      <c r="E365" s="40"/>
      <c r="F365" s="141"/>
      <c r="G365" s="61"/>
      <c r="H365" s="61"/>
      <c r="I365" s="40"/>
      <c r="J365" s="6"/>
      <c r="K365" s="8"/>
      <c r="L365" s="6"/>
      <c r="M365" s="6"/>
      <c r="N365" s="6"/>
      <c r="O365" s="109"/>
      <c r="P365" s="109"/>
      <c r="Q365" s="109"/>
      <c r="R365" s="109"/>
      <c r="S365" s="109"/>
      <c r="T365" s="109"/>
      <c r="U365" s="109"/>
      <c r="V365" s="109"/>
      <c r="W365" s="109"/>
      <c r="X365" s="109"/>
      <c r="Y365" s="109"/>
      <c r="Z365" s="109"/>
      <c r="AA365" s="109"/>
    </row>
    <row r="366" ht="14" spans="1:27">
      <c r="A366" s="40"/>
      <c r="B366" s="7"/>
      <c r="C366" s="6"/>
      <c r="D366" s="6"/>
      <c r="E366" s="40"/>
      <c r="F366" s="141"/>
      <c r="G366" s="61"/>
      <c r="H366" s="61"/>
      <c r="I366" s="40"/>
      <c r="J366" s="6"/>
      <c r="K366" s="8"/>
      <c r="L366" s="6"/>
      <c r="M366" s="6"/>
      <c r="N366" s="6"/>
      <c r="O366" s="109"/>
      <c r="P366" s="109"/>
      <c r="Q366" s="109"/>
      <c r="R366" s="109"/>
      <c r="S366" s="109"/>
      <c r="T366" s="109"/>
      <c r="U366" s="109"/>
      <c r="V366" s="109"/>
      <c r="W366" s="109"/>
      <c r="X366" s="109"/>
      <c r="Y366" s="109"/>
      <c r="Z366" s="109"/>
      <c r="AA366" s="109"/>
    </row>
    <row r="367" ht="14" spans="1:27">
      <c r="A367" s="40"/>
      <c r="B367" s="7"/>
      <c r="C367" s="6"/>
      <c r="D367" s="6"/>
      <c r="E367" s="40"/>
      <c r="F367" s="141"/>
      <c r="G367" s="61"/>
      <c r="H367" s="61"/>
      <c r="I367" s="40"/>
      <c r="J367" s="6"/>
      <c r="K367" s="8"/>
      <c r="L367" s="6"/>
      <c r="M367" s="6"/>
      <c r="N367" s="6"/>
      <c r="O367" s="109"/>
      <c r="P367" s="109"/>
      <c r="Q367" s="109"/>
      <c r="R367" s="109"/>
      <c r="S367" s="109"/>
      <c r="T367" s="109"/>
      <c r="U367" s="109"/>
      <c r="V367" s="109"/>
      <c r="W367" s="109"/>
      <c r="X367" s="109"/>
      <c r="Y367" s="109"/>
      <c r="Z367" s="109"/>
      <c r="AA367" s="109"/>
    </row>
    <row r="368" ht="14" spans="1:27">
      <c r="A368" s="40"/>
      <c r="B368" s="7"/>
      <c r="C368" s="6"/>
      <c r="D368" s="6"/>
      <c r="E368" s="40"/>
      <c r="F368" s="141"/>
      <c r="G368" s="61"/>
      <c r="H368" s="61"/>
      <c r="I368" s="40"/>
      <c r="J368" s="6"/>
      <c r="K368" s="8"/>
      <c r="L368" s="6"/>
      <c r="M368" s="6"/>
      <c r="N368" s="6"/>
      <c r="O368" s="109"/>
      <c r="P368" s="109"/>
      <c r="Q368" s="109"/>
      <c r="R368" s="109"/>
      <c r="S368" s="109"/>
      <c r="T368" s="109"/>
      <c r="U368" s="109"/>
      <c r="V368" s="109"/>
      <c r="W368" s="109"/>
      <c r="X368" s="109"/>
      <c r="Y368" s="109"/>
      <c r="Z368" s="109"/>
      <c r="AA368" s="109"/>
    </row>
    <row r="369" ht="14" spans="1:27">
      <c r="A369" s="40"/>
      <c r="B369" s="7"/>
      <c r="C369" s="6"/>
      <c r="D369" s="6"/>
      <c r="E369" s="40"/>
      <c r="F369" s="141"/>
      <c r="G369" s="61"/>
      <c r="H369" s="61"/>
      <c r="I369" s="40"/>
      <c r="J369" s="6"/>
      <c r="K369" s="8"/>
      <c r="L369" s="6"/>
      <c r="M369" s="6"/>
      <c r="N369" s="6"/>
      <c r="O369" s="109"/>
      <c r="P369" s="109"/>
      <c r="Q369" s="109"/>
      <c r="R369" s="109"/>
      <c r="S369" s="109"/>
      <c r="T369" s="109"/>
      <c r="U369" s="109"/>
      <c r="V369" s="109"/>
      <c r="W369" s="109"/>
      <c r="X369" s="109"/>
      <c r="Y369" s="109"/>
      <c r="Z369" s="109"/>
      <c r="AA369" s="109"/>
    </row>
    <row r="370" ht="14" spans="1:27">
      <c r="A370" s="40"/>
      <c r="B370" s="7"/>
      <c r="C370" s="6"/>
      <c r="D370" s="6"/>
      <c r="E370" s="40"/>
      <c r="F370" s="141"/>
      <c r="G370" s="61"/>
      <c r="H370" s="61"/>
      <c r="I370" s="40"/>
      <c r="J370" s="6"/>
      <c r="K370" s="8"/>
      <c r="L370" s="6"/>
      <c r="M370" s="6"/>
      <c r="N370" s="6"/>
      <c r="O370" s="109"/>
      <c r="P370" s="109"/>
      <c r="Q370" s="109"/>
      <c r="R370" s="109"/>
      <c r="S370" s="109"/>
      <c r="T370" s="109"/>
      <c r="U370" s="109"/>
      <c r="V370" s="109"/>
      <c r="W370" s="109"/>
      <c r="X370" s="109"/>
      <c r="Y370" s="109"/>
      <c r="Z370" s="109"/>
      <c r="AA370" s="109"/>
    </row>
    <row r="371" ht="14" spans="1:27">
      <c r="A371" s="40"/>
      <c r="B371" s="7"/>
      <c r="C371" s="6"/>
      <c r="D371" s="6"/>
      <c r="E371" s="40"/>
      <c r="F371" s="141"/>
      <c r="G371" s="61"/>
      <c r="H371" s="61"/>
      <c r="I371" s="40"/>
      <c r="J371" s="6"/>
      <c r="K371" s="8"/>
      <c r="L371" s="6"/>
      <c r="M371" s="6"/>
      <c r="N371" s="6"/>
      <c r="O371" s="109"/>
      <c r="P371" s="109"/>
      <c r="Q371" s="109"/>
      <c r="R371" s="109"/>
      <c r="S371" s="109"/>
      <c r="T371" s="109"/>
      <c r="U371" s="109"/>
      <c r="V371" s="109"/>
      <c r="W371" s="109"/>
      <c r="X371" s="109"/>
      <c r="Y371" s="109"/>
      <c r="Z371" s="109"/>
      <c r="AA371" s="109"/>
    </row>
    <row r="372" ht="14" spans="1:27">
      <c r="A372" s="40"/>
      <c r="B372" s="7"/>
      <c r="C372" s="6"/>
      <c r="D372" s="6"/>
      <c r="E372" s="40"/>
      <c r="F372" s="141"/>
      <c r="G372" s="61"/>
      <c r="H372" s="61"/>
      <c r="I372" s="40"/>
      <c r="J372" s="6"/>
      <c r="K372" s="8"/>
      <c r="L372" s="6"/>
      <c r="M372" s="6"/>
      <c r="N372" s="6"/>
      <c r="O372" s="109"/>
      <c r="P372" s="109"/>
      <c r="Q372" s="109"/>
      <c r="R372" s="109"/>
      <c r="S372" s="109"/>
      <c r="T372" s="109"/>
      <c r="U372" s="109"/>
      <c r="V372" s="109"/>
      <c r="W372" s="109"/>
      <c r="X372" s="109"/>
      <c r="Y372" s="109"/>
      <c r="Z372" s="109"/>
      <c r="AA372" s="109"/>
    </row>
    <row r="373" ht="14" spans="1:27">
      <c r="A373" s="40"/>
      <c r="B373" s="7"/>
      <c r="C373" s="6"/>
      <c r="D373" s="6"/>
      <c r="E373" s="40"/>
      <c r="F373" s="141"/>
      <c r="G373" s="61"/>
      <c r="H373" s="61"/>
      <c r="I373" s="40"/>
      <c r="J373" s="6"/>
      <c r="K373" s="8"/>
      <c r="L373" s="6"/>
      <c r="M373" s="6"/>
      <c r="N373" s="6"/>
      <c r="O373" s="109"/>
      <c r="P373" s="109"/>
      <c r="Q373" s="109"/>
      <c r="R373" s="109"/>
      <c r="S373" s="109"/>
      <c r="T373" s="109"/>
      <c r="U373" s="109"/>
      <c r="V373" s="109"/>
      <c r="W373" s="109"/>
      <c r="X373" s="109"/>
      <c r="Y373" s="109"/>
      <c r="Z373" s="109"/>
      <c r="AA373" s="109"/>
    </row>
    <row r="374" ht="14" spans="1:27">
      <c r="A374" s="40"/>
      <c r="B374" s="7"/>
      <c r="C374" s="6"/>
      <c r="D374" s="6"/>
      <c r="E374" s="40"/>
      <c r="F374" s="141"/>
      <c r="G374" s="61"/>
      <c r="H374" s="61"/>
      <c r="I374" s="40"/>
      <c r="J374" s="6"/>
      <c r="K374" s="8"/>
      <c r="L374" s="6"/>
      <c r="M374" s="6"/>
      <c r="N374" s="6"/>
      <c r="O374" s="109"/>
      <c r="P374" s="109"/>
      <c r="Q374" s="109"/>
      <c r="R374" s="109"/>
      <c r="S374" s="109"/>
      <c r="T374" s="109"/>
      <c r="U374" s="109"/>
      <c r="V374" s="109"/>
      <c r="W374" s="109"/>
      <c r="X374" s="109"/>
      <c r="Y374" s="109"/>
      <c r="Z374" s="109"/>
      <c r="AA374" s="109"/>
    </row>
    <row r="375" ht="14" spans="1:27">
      <c r="A375" s="40"/>
      <c r="B375" s="7"/>
      <c r="C375" s="6"/>
      <c r="D375" s="6"/>
      <c r="E375" s="40"/>
      <c r="F375" s="141"/>
      <c r="G375" s="61"/>
      <c r="H375" s="61"/>
      <c r="I375" s="40"/>
      <c r="J375" s="6"/>
      <c r="K375" s="8"/>
      <c r="L375" s="6"/>
      <c r="M375" s="6"/>
      <c r="N375" s="6"/>
      <c r="O375" s="109"/>
      <c r="P375" s="109"/>
      <c r="Q375" s="109"/>
      <c r="R375" s="109"/>
      <c r="S375" s="109"/>
      <c r="T375" s="109"/>
      <c r="U375" s="109"/>
      <c r="V375" s="109"/>
      <c r="W375" s="109"/>
      <c r="X375" s="109"/>
      <c r="Y375" s="109"/>
      <c r="Z375" s="109"/>
      <c r="AA375" s="109"/>
    </row>
    <row r="376" ht="14" spans="1:27">
      <c r="A376" s="40"/>
      <c r="B376" s="7"/>
      <c r="C376" s="6"/>
      <c r="D376" s="6"/>
      <c r="E376" s="40"/>
      <c r="F376" s="141"/>
      <c r="G376" s="61"/>
      <c r="H376" s="61"/>
      <c r="I376" s="40"/>
      <c r="J376" s="6"/>
      <c r="K376" s="8"/>
      <c r="L376" s="6"/>
      <c r="M376" s="6"/>
      <c r="N376" s="6"/>
      <c r="O376" s="109"/>
      <c r="P376" s="109"/>
      <c r="Q376" s="109"/>
      <c r="R376" s="109"/>
      <c r="S376" s="109"/>
      <c r="T376" s="109"/>
      <c r="U376" s="109"/>
      <c r="V376" s="109"/>
      <c r="W376" s="109"/>
      <c r="X376" s="109"/>
      <c r="Y376" s="109"/>
      <c r="Z376" s="109"/>
      <c r="AA376" s="109"/>
    </row>
    <row r="377" ht="14" spans="1:27">
      <c r="A377" s="40"/>
      <c r="B377" s="7"/>
      <c r="C377" s="6"/>
      <c r="D377" s="6"/>
      <c r="E377" s="40"/>
      <c r="F377" s="141"/>
      <c r="G377" s="61"/>
      <c r="H377" s="61"/>
      <c r="I377" s="40"/>
      <c r="J377" s="6"/>
      <c r="K377" s="8"/>
      <c r="L377" s="6"/>
      <c r="M377" s="6"/>
      <c r="N377" s="6"/>
      <c r="O377" s="109"/>
      <c r="P377" s="109"/>
      <c r="Q377" s="109"/>
      <c r="R377" s="109"/>
      <c r="S377" s="109"/>
      <c r="T377" s="109"/>
      <c r="U377" s="109"/>
      <c r="V377" s="109"/>
      <c r="W377" s="109"/>
      <c r="X377" s="109"/>
      <c r="Y377" s="109"/>
      <c r="Z377" s="109"/>
      <c r="AA377" s="109"/>
    </row>
    <row r="378" ht="14" spans="1:27">
      <c r="A378" s="40"/>
      <c r="B378" s="7"/>
      <c r="C378" s="6"/>
      <c r="D378" s="6"/>
      <c r="E378" s="40"/>
      <c r="F378" s="141"/>
      <c r="G378" s="61"/>
      <c r="H378" s="61"/>
      <c r="I378" s="40"/>
      <c r="J378" s="6"/>
      <c r="K378" s="8"/>
      <c r="L378" s="6"/>
      <c r="M378" s="6"/>
      <c r="N378" s="6"/>
      <c r="O378" s="109"/>
      <c r="P378" s="109"/>
      <c r="Q378" s="109"/>
      <c r="R378" s="109"/>
      <c r="S378" s="109"/>
      <c r="T378" s="109"/>
      <c r="U378" s="109"/>
      <c r="V378" s="109"/>
      <c r="W378" s="109"/>
      <c r="X378" s="109"/>
      <c r="Y378" s="109"/>
      <c r="Z378" s="109"/>
      <c r="AA378" s="109"/>
    </row>
    <row r="379" ht="14" spans="1:27">
      <c r="A379" s="40"/>
      <c r="B379" s="7"/>
      <c r="C379" s="6"/>
      <c r="D379" s="6"/>
      <c r="E379" s="40"/>
      <c r="F379" s="141"/>
      <c r="G379" s="61"/>
      <c r="H379" s="61"/>
      <c r="I379" s="40"/>
      <c r="J379" s="6"/>
      <c r="K379" s="8"/>
      <c r="L379" s="6"/>
      <c r="M379" s="6"/>
      <c r="N379" s="6"/>
      <c r="O379" s="109"/>
      <c r="P379" s="109"/>
      <c r="Q379" s="109"/>
      <c r="R379" s="109"/>
      <c r="S379" s="109"/>
      <c r="T379" s="109"/>
      <c r="U379" s="109"/>
      <c r="V379" s="109"/>
      <c r="W379" s="109"/>
      <c r="X379" s="109"/>
      <c r="Y379" s="109"/>
      <c r="Z379" s="109"/>
      <c r="AA379" s="109"/>
    </row>
    <row r="380" ht="14" spans="1:27">
      <c r="A380" s="40"/>
      <c r="B380" s="7"/>
      <c r="C380" s="6"/>
      <c r="D380" s="6"/>
      <c r="E380" s="40"/>
      <c r="F380" s="141"/>
      <c r="G380" s="61"/>
      <c r="H380" s="61"/>
      <c r="I380" s="40"/>
      <c r="J380" s="6"/>
      <c r="K380" s="8"/>
      <c r="L380" s="6"/>
      <c r="M380" s="6"/>
      <c r="N380" s="6"/>
      <c r="O380" s="109"/>
      <c r="P380" s="109"/>
      <c r="Q380" s="109"/>
      <c r="R380" s="109"/>
      <c r="S380" s="109"/>
      <c r="T380" s="109"/>
      <c r="U380" s="109"/>
      <c r="V380" s="109"/>
      <c r="W380" s="109"/>
      <c r="X380" s="109"/>
      <c r="Y380" s="109"/>
      <c r="Z380" s="109"/>
      <c r="AA380" s="109"/>
    </row>
    <row r="381" ht="14" spans="1:27">
      <c r="A381" s="40"/>
      <c r="B381" s="7"/>
      <c r="C381" s="6"/>
      <c r="D381" s="6"/>
      <c r="E381" s="40"/>
      <c r="F381" s="141"/>
      <c r="G381" s="61"/>
      <c r="H381" s="61"/>
      <c r="I381" s="40"/>
      <c r="J381" s="6"/>
      <c r="K381" s="8"/>
      <c r="L381" s="6"/>
      <c r="M381" s="6"/>
      <c r="N381" s="6"/>
      <c r="O381" s="109"/>
      <c r="P381" s="109"/>
      <c r="Q381" s="109"/>
      <c r="R381" s="109"/>
      <c r="S381" s="109"/>
      <c r="T381" s="109"/>
      <c r="U381" s="109"/>
      <c r="V381" s="109"/>
      <c r="W381" s="109"/>
      <c r="X381" s="109"/>
      <c r="Y381" s="109"/>
      <c r="Z381" s="109"/>
      <c r="AA381" s="109"/>
    </row>
    <row r="382" ht="14" spans="1:27">
      <c r="A382" s="40"/>
      <c r="B382" s="7"/>
      <c r="C382" s="6"/>
      <c r="D382" s="6"/>
      <c r="E382" s="40"/>
      <c r="F382" s="141"/>
      <c r="G382" s="61"/>
      <c r="H382" s="61"/>
      <c r="I382" s="40"/>
      <c r="J382" s="6"/>
      <c r="K382" s="8"/>
      <c r="L382" s="6"/>
      <c r="M382" s="6"/>
      <c r="N382" s="6"/>
      <c r="O382" s="109"/>
      <c r="P382" s="109"/>
      <c r="Q382" s="109"/>
      <c r="R382" s="109"/>
      <c r="S382" s="109"/>
      <c r="T382" s="109"/>
      <c r="U382" s="109"/>
      <c r="V382" s="109"/>
      <c r="W382" s="109"/>
      <c r="X382" s="109"/>
      <c r="Y382" s="109"/>
      <c r="Z382" s="109"/>
      <c r="AA382" s="109"/>
    </row>
    <row r="383" ht="14" spans="1:27">
      <c r="A383" s="40"/>
      <c r="B383" s="7"/>
      <c r="C383" s="6"/>
      <c r="D383" s="6"/>
      <c r="E383" s="40"/>
      <c r="F383" s="141"/>
      <c r="G383" s="61"/>
      <c r="H383" s="61"/>
      <c r="I383" s="40"/>
      <c r="J383" s="6"/>
      <c r="K383" s="8"/>
      <c r="L383" s="6"/>
      <c r="M383" s="6"/>
      <c r="N383" s="6"/>
      <c r="O383" s="109"/>
      <c r="P383" s="109"/>
      <c r="Q383" s="109"/>
      <c r="R383" s="109"/>
      <c r="S383" s="109"/>
      <c r="T383" s="109"/>
      <c r="U383" s="109"/>
      <c r="V383" s="109"/>
      <c r="W383" s="109"/>
      <c r="X383" s="109"/>
      <c r="Y383" s="109"/>
      <c r="Z383" s="109"/>
      <c r="AA383" s="109"/>
    </row>
    <row r="384" ht="14" spans="1:27">
      <c r="A384" s="40"/>
      <c r="B384" s="7"/>
      <c r="C384" s="6"/>
      <c r="D384" s="6"/>
      <c r="E384" s="40"/>
      <c r="F384" s="141"/>
      <c r="G384" s="61"/>
      <c r="H384" s="61"/>
      <c r="I384" s="40"/>
      <c r="J384" s="6"/>
      <c r="K384" s="8"/>
      <c r="L384" s="6"/>
      <c r="M384" s="6"/>
      <c r="N384" s="6"/>
      <c r="O384" s="109"/>
      <c r="P384" s="109"/>
      <c r="Q384" s="109"/>
      <c r="R384" s="109"/>
      <c r="S384" s="109"/>
      <c r="T384" s="109"/>
      <c r="U384" s="109"/>
      <c r="V384" s="109"/>
      <c r="W384" s="109"/>
      <c r="X384" s="109"/>
      <c r="Y384" s="109"/>
      <c r="Z384" s="109"/>
      <c r="AA384" s="109"/>
    </row>
    <row r="385" ht="14" spans="1:27">
      <c r="A385" s="40"/>
      <c r="B385" s="7"/>
      <c r="C385" s="6"/>
      <c r="D385" s="6"/>
      <c r="E385" s="40"/>
      <c r="F385" s="141"/>
      <c r="G385" s="61"/>
      <c r="H385" s="61"/>
      <c r="I385" s="40"/>
      <c r="J385" s="6"/>
      <c r="K385" s="8"/>
      <c r="L385" s="6"/>
      <c r="M385" s="6"/>
      <c r="N385" s="6"/>
      <c r="O385" s="109"/>
      <c r="P385" s="109"/>
      <c r="Q385" s="109"/>
      <c r="R385" s="109"/>
      <c r="S385" s="109"/>
      <c r="T385" s="109"/>
      <c r="U385" s="109"/>
      <c r="V385" s="109"/>
      <c r="W385" s="109"/>
      <c r="X385" s="109"/>
      <c r="Y385" s="109"/>
      <c r="Z385" s="109"/>
      <c r="AA385" s="109"/>
    </row>
    <row r="386" ht="14" spans="1:27">
      <c r="A386" s="40"/>
      <c r="B386" s="7"/>
      <c r="C386" s="6"/>
      <c r="D386" s="6"/>
      <c r="E386" s="40"/>
      <c r="F386" s="141"/>
      <c r="G386" s="61"/>
      <c r="H386" s="61"/>
      <c r="I386" s="40"/>
      <c r="J386" s="6"/>
      <c r="K386" s="8"/>
      <c r="L386" s="6"/>
      <c r="M386" s="6"/>
      <c r="N386" s="6"/>
      <c r="O386" s="109"/>
      <c r="P386" s="109"/>
      <c r="Q386" s="109"/>
      <c r="R386" s="109"/>
      <c r="S386" s="109"/>
      <c r="T386" s="109"/>
      <c r="U386" s="109"/>
      <c r="V386" s="109"/>
      <c r="W386" s="109"/>
      <c r="X386" s="109"/>
      <c r="Y386" s="109"/>
      <c r="Z386" s="109"/>
      <c r="AA386" s="109"/>
    </row>
    <row r="387" ht="14" spans="1:27">
      <c r="A387" s="40"/>
      <c r="B387" s="7"/>
      <c r="C387" s="6"/>
      <c r="D387" s="6"/>
      <c r="E387" s="40"/>
      <c r="F387" s="141"/>
      <c r="G387" s="61"/>
      <c r="H387" s="61"/>
      <c r="I387" s="40"/>
      <c r="J387" s="6"/>
      <c r="K387" s="8"/>
      <c r="L387" s="6"/>
      <c r="M387" s="6"/>
      <c r="N387" s="6"/>
      <c r="O387" s="109"/>
      <c r="P387" s="109"/>
      <c r="Q387" s="109"/>
      <c r="R387" s="109"/>
      <c r="S387" s="109"/>
      <c r="T387" s="109"/>
      <c r="U387" s="109"/>
      <c r="V387" s="109"/>
      <c r="W387" s="109"/>
      <c r="X387" s="109"/>
      <c r="Y387" s="109"/>
      <c r="Z387" s="109"/>
      <c r="AA387" s="109"/>
    </row>
    <row r="388" ht="14" spans="1:27">
      <c r="A388" s="40"/>
      <c r="B388" s="7"/>
      <c r="C388" s="6"/>
      <c r="D388" s="6"/>
      <c r="E388" s="40"/>
      <c r="F388" s="141"/>
      <c r="G388" s="61"/>
      <c r="H388" s="61"/>
      <c r="I388" s="40"/>
      <c r="J388" s="6"/>
      <c r="K388" s="8"/>
      <c r="L388" s="6"/>
      <c r="M388" s="6"/>
      <c r="N388" s="6"/>
      <c r="O388" s="109"/>
      <c r="P388" s="109"/>
      <c r="Q388" s="109"/>
      <c r="R388" s="109"/>
      <c r="S388" s="109"/>
      <c r="T388" s="109"/>
      <c r="U388" s="109"/>
      <c r="V388" s="109"/>
      <c r="W388" s="109"/>
      <c r="X388" s="109"/>
      <c r="Y388" s="109"/>
      <c r="Z388" s="109"/>
      <c r="AA388" s="109"/>
    </row>
    <row r="389" ht="14" spans="1:27">
      <c r="A389" s="40"/>
      <c r="B389" s="7"/>
      <c r="C389" s="6"/>
      <c r="D389" s="6"/>
      <c r="E389" s="40"/>
      <c r="F389" s="141"/>
      <c r="G389" s="61"/>
      <c r="H389" s="61"/>
      <c r="I389" s="40"/>
      <c r="J389" s="6"/>
      <c r="K389" s="8"/>
      <c r="L389" s="6"/>
      <c r="M389" s="6"/>
      <c r="N389" s="6"/>
      <c r="O389" s="109"/>
      <c r="P389" s="109"/>
      <c r="Q389" s="109"/>
      <c r="R389" s="109"/>
      <c r="S389" s="109"/>
      <c r="T389" s="109"/>
      <c r="U389" s="109"/>
      <c r="V389" s="109"/>
      <c r="W389" s="109"/>
      <c r="X389" s="109"/>
      <c r="Y389" s="109"/>
      <c r="Z389" s="109"/>
      <c r="AA389" s="109"/>
    </row>
    <row r="390" ht="14" spans="1:27">
      <c r="A390" s="40"/>
      <c r="B390" s="7"/>
      <c r="C390" s="6"/>
      <c r="D390" s="6"/>
      <c r="E390" s="40"/>
      <c r="F390" s="141"/>
      <c r="G390" s="61"/>
      <c r="H390" s="61"/>
      <c r="I390" s="40"/>
      <c r="J390" s="6"/>
      <c r="K390" s="8"/>
      <c r="L390" s="6"/>
      <c r="M390" s="6"/>
      <c r="N390" s="6"/>
      <c r="O390" s="109"/>
      <c r="P390" s="109"/>
      <c r="Q390" s="109"/>
      <c r="R390" s="109"/>
      <c r="S390" s="109"/>
      <c r="T390" s="109"/>
      <c r="U390" s="109"/>
      <c r="V390" s="109"/>
      <c r="W390" s="109"/>
      <c r="X390" s="109"/>
      <c r="Y390" s="109"/>
      <c r="Z390" s="109"/>
      <c r="AA390" s="109"/>
    </row>
    <row r="391" ht="14" spans="1:27">
      <c r="A391" s="40"/>
      <c r="B391" s="7"/>
      <c r="C391" s="6"/>
      <c r="D391" s="6"/>
      <c r="E391" s="40"/>
      <c r="F391" s="141"/>
      <c r="G391" s="61"/>
      <c r="H391" s="61"/>
      <c r="I391" s="40"/>
      <c r="J391" s="6"/>
      <c r="K391" s="8"/>
      <c r="L391" s="6"/>
      <c r="M391" s="6"/>
      <c r="N391" s="6"/>
      <c r="O391" s="109"/>
      <c r="P391" s="109"/>
      <c r="Q391" s="109"/>
      <c r="R391" s="109"/>
      <c r="S391" s="109"/>
      <c r="T391" s="109"/>
      <c r="U391" s="109"/>
      <c r="V391" s="109"/>
      <c r="W391" s="109"/>
      <c r="X391" s="109"/>
      <c r="Y391" s="109"/>
      <c r="Z391" s="109"/>
      <c r="AA391" s="109"/>
    </row>
    <row r="392" ht="14" spans="1:27">
      <c r="A392" s="40"/>
      <c r="B392" s="7"/>
      <c r="C392" s="6"/>
      <c r="D392" s="6"/>
      <c r="E392" s="40"/>
      <c r="F392" s="141"/>
      <c r="G392" s="61"/>
      <c r="H392" s="61"/>
      <c r="I392" s="40"/>
      <c r="J392" s="6"/>
      <c r="K392" s="8"/>
      <c r="L392" s="6"/>
      <c r="M392" s="6"/>
      <c r="N392" s="6"/>
      <c r="O392" s="109"/>
      <c r="P392" s="109"/>
      <c r="Q392" s="109"/>
      <c r="R392" s="109"/>
      <c r="S392" s="109"/>
      <c r="T392" s="109"/>
      <c r="U392" s="109"/>
      <c r="V392" s="109"/>
      <c r="W392" s="109"/>
      <c r="X392" s="109"/>
      <c r="Y392" s="109"/>
      <c r="Z392" s="109"/>
      <c r="AA392" s="109"/>
    </row>
    <row r="393" ht="14" spans="1:27">
      <c r="A393" s="40"/>
      <c r="B393" s="7"/>
      <c r="C393" s="6"/>
      <c r="D393" s="6"/>
      <c r="E393" s="40"/>
      <c r="F393" s="141"/>
      <c r="G393" s="61"/>
      <c r="H393" s="61"/>
      <c r="I393" s="40"/>
      <c r="J393" s="6"/>
      <c r="K393" s="8"/>
      <c r="L393" s="6"/>
      <c r="M393" s="6"/>
      <c r="N393" s="6"/>
      <c r="O393" s="109"/>
      <c r="P393" s="109"/>
      <c r="Q393" s="109"/>
      <c r="R393" s="109"/>
      <c r="S393" s="109"/>
      <c r="T393" s="109"/>
      <c r="U393" s="109"/>
      <c r="V393" s="109"/>
      <c r="W393" s="109"/>
      <c r="X393" s="109"/>
      <c r="Y393" s="109"/>
      <c r="Z393" s="109"/>
      <c r="AA393" s="109"/>
    </row>
    <row r="394" ht="14" spans="1:27">
      <c r="A394" s="40"/>
      <c r="B394" s="7"/>
      <c r="C394" s="6"/>
      <c r="D394" s="6"/>
      <c r="E394" s="40"/>
      <c r="F394" s="141"/>
      <c r="G394" s="61"/>
      <c r="H394" s="61"/>
      <c r="I394" s="40"/>
      <c r="J394" s="6"/>
      <c r="K394" s="8"/>
      <c r="L394" s="6"/>
      <c r="M394" s="6"/>
      <c r="N394" s="6"/>
      <c r="O394" s="109"/>
      <c r="P394" s="109"/>
      <c r="Q394" s="109"/>
      <c r="R394" s="109"/>
      <c r="S394" s="109"/>
      <c r="T394" s="109"/>
      <c r="U394" s="109"/>
      <c r="V394" s="109"/>
      <c r="W394" s="109"/>
      <c r="X394" s="109"/>
      <c r="Y394" s="109"/>
      <c r="Z394" s="109"/>
      <c r="AA394" s="109"/>
    </row>
    <row r="395" ht="14" spans="1:27">
      <c r="A395" s="40"/>
      <c r="B395" s="7"/>
      <c r="C395" s="6"/>
      <c r="D395" s="6"/>
      <c r="E395" s="40"/>
      <c r="F395" s="141"/>
      <c r="G395" s="61"/>
      <c r="H395" s="61"/>
      <c r="I395" s="40"/>
      <c r="J395" s="6"/>
      <c r="K395" s="8"/>
      <c r="L395" s="6"/>
      <c r="M395" s="6"/>
      <c r="N395" s="6"/>
      <c r="O395" s="109"/>
      <c r="P395" s="109"/>
      <c r="Q395" s="109"/>
      <c r="R395" s="109"/>
      <c r="S395" s="109"/>
      <c r="T395" s="109"/>
      <c r="U395" s="109"/>
      <c r="V395" s="109"/>
      <c r="W395" s="109"/>
      <c r="X395" s="109"/>
      <c r="Y395" s="109"/>
      <c r="Z395" s="109"/>
      <c r="AA395" s="109"/>
    </row>
    <row r="396" ht="14" spans="1:27">
      <c r="A396" s="40"/>
      <c r="B396" s="7"/>
      <c r="C396" s="6"/>
      <c r="D396" s="6"/>
      <c r="E396" s="40"/>
      <c r="F396" s="141"/>
      <c r="G396" s="61"/>
      <c r="H396" s="61"/>
      <c r="I396" s="40"/>
      <c r="J396" s="6"/>
      <c r="K396" s="8"/>
      <c r="L396" s="6"/>
      <c r="M396" s="6"/>
      <c r="N396" s="6"/>
      <c r="O396" s="109"/>
      <c r="P396" s="109"/>
      <c r="Q396" s="109"/>
      <c r="R396" s="109"/>
      <c r="S396" s="109"/>
      <c r="T396" s="109"/>
      <c r="U396" s="109"/>
      <c r="V396" s="109"/>
      <c r="W396" s="109"/>
      <c r="X396" s="109"/>
      <c r="Y396" s="109"/>
      <c r="Z396" s="109"/>
      <c r="AA396" s="109"/>
    </row>
    <row r="397" ht="14" spans="1:27">
      <c r="A397" s="40"/>
      <c r="B397" s="7"/>
      <c r="C397" s="6"/>
      <c r="D397" s="6"/>
      <c r="E397" s="40"/>
      <c r="F397" s="141"/>
      <c r="G397" s="61"/>
      <c r="H397" s="61"/>
      <c r="I397" s="40"/>
      <c r="J397" s="6"/>
      <c r="K397" s="8"/>
      <c r="L397" s="6"/>
      <c r="M397" s="6"/>
      <c r="N397" s="6"/>
      <c r="O397" s="109"/>
      <c r="P397" s="109"/>
      <c r="Q397" s="109"/>
      <c r="R397" s="109"/>
      <c r="S397" s="109"/>
      <c r="T397" s="109"/>
      <c r="U397" s="109"/>
      <c r="V397" s="109"/>
      <c r="W397" s="109"/>
      <c r="X397" s="109"/>
      <c r="Y397" s="109"/>
      <c r="Z397" s="109"/>
      <c r="AA397" s="109"/>
    </row>
    <row r="398" ht="14" spans="1:27">
      <c r="A398" s="40"/>
      <c r="B398" s="7"/>
      <c r="C398" s="6"/>
      <c r="D398" s="6"/>
      <c r="E398" s="40"/>
      <c r="F398" s="141"/>
      <c r="G398" s="61"/>
      <c r="H398" s="61"/>
      <c r="I398" s="40"/>
      <c r="J398" s="6"/>
      <c r="K398" s="8"/>
      <c r="L398" s="6"/>
      <c r="M398" s="6"/>
      <c r="N398" s="6"/>
      <c r="O398" s="109"/>
      <c r="P398" s="109"/>
      <c r="Q398" s="109"/>
      <c r="R398" s="109"/>
      <c r="S398" s="109"/>
      <c r="T398" s="109"/>
      <c r="U398" s="109"/>
      <c r="V398" s="109"/>
      <c r="W398" s="109"/>
      <c r="X398" s="109"/>
      <c r="Y398" s="109"/>
      <c r="Z398" s="109"/>
      <c r="AA398" s="109"/>
    </row>
    <row r="399" ht="14" spans="1:27">
      <c r="A399" s="40"/>
      <c r="B399" s="7"/>
      <c r="C399" s="6"/>
      <c r="D399" s="6"/>
      <c r="E399" s="40"/>
      <c r="F399" s="141"/>
      <c r="G399" s="61"/>
      <c r="H399" s="61"/>
      <c r="I399" s="40"/>
      <c r="J399" s="6"/>
      <c r="K399" s="8"/>
      <c r="L399" s="6"/>
      <c r="M399" s="6"/>
      <c r="N399" s="6"/>
      <c r="O399" s="109"/>
      <c r="P399" s="109"/>
      <c r="Q399" s="109"/>
      <c r="R399" s="109"/>
      <c r="S399" s="109"/>
      <c r="T399" s="109"/>
      <c r="U399" s="109"/>
      <c r="V399" s="109"/>
      <c r="W399" s="109"/>
      <c r="X399" s="109"/>
      <c r="Y399" s="109"/>
      <c r="Z399" s="109"/>
      <c r="AA399" s="109"/>
    </row>
    <row r="400" ht="14" spans="1:27">
      <c r="A400" s="40"/>
      <c r="B400" s="7"/>
      <c r="C400" s="6"/>
      <c r="D400" s="6"/>
      <c r="E400" s="40"/>
      <c r="F400" s="141"/>
      <c r="G400" s="61"/>
      <c r="H400" s="61"/>
      <c r="I400" s="40"/>
      <c r="J400" s="6"/>
      <c r="K400" s="8"/>
      <c r="L400" s="6"/>
      <c r="M400" s="6"/>
      <c r="N400" s="6"/>
      <c r="O400" s="109"/>
      <c r="P400" s="109"/>
      <c r="Q400" s="109"/>
      <c r="R400" s="109"/>
      <c r="S400" s="109"/>
      <c r="T400" s="109"/>
      <c r="U400" s="109"/>
      <c r="V400" s="109"/>
      <c r="W400" s="109"/>
      <c r="X400" s="109"/>
      <c r="Y400" s="109"/>
      <c r="Z400" s="109"/>
      <c r="AA400" s="109"/>
    </row>
    <row r="401" ht="14" spans="1:27">
      <c r="A401" s="40"/>
      <c r="B401" s="7"/>
      <c r="C401" s="6"/>
      <c r="D401" s="6"/>
      <c r="E401" s="40"/>
      <c r="F401" s="141"/>
      <c r="G401" s="61"/>
      <c r="H401" s="61"/>
      <c r="I401" s="40"/>
      <c r="J401" s="6"/>
      <c r="K401" s="8"/>
      <c r="L401" s="6"/>
      <c r="M401" s="6"/>
      <c r="N401" s="6"/>
      <c r="O401" s="109"/>
      <c r="P401" s="109"/>
      <c r="Q401" s="109"/>
      <c r="R401" s="109"/>
      <c r="S401" s="109"/>
      <c r="T401" s="109"/>
      <c r="U401" s="109"/>
      <c r="V401" s="109"/>
      <c r="W401" s="109"/>
      <c r="X401" s="109"/>
      <c r="Y401" s="109"/>
      <c r="Z401" s="109"/>
      <c r="AA401" s="109"/>
    </row>
    <row r="402" ht="14" spans="1:27">
      <c r="A402" s="40"/>
      <c r="B402" s="7"/>
      <c r="C402" s="6"/>
      <c r="D402" s="6"/>
      <c r="E402" s="40"/>
      <c r="F402" s="141"/>
      <c r="G402" s="61"/>
      <c r="H402" s="61"/>
      <c r="I402" s="40"/>
      <c r="J402" s="6"/>
      <c r="K402" s="8"/>
      <c r="L402" s="6"/>
      <c r="M402" s="6"/>
      <c r="N402" s="6"/>
      <c r="O402" s="109"/>
      <c r="P402" s="109"/>
      <c r="Q402" s="109"/>
      <c r="R402" s="109"/>
      <c r="S402" s="109"/>
      <c r="T402" s="109"/>
      <c r="U402" s="109"/>
      <c r="V402" s="109"/>
      <c r="W402" s="109"/>
      <c r="X402" s="109"/>
      <c r="Y402" s="109"/>
      <c r="Z402" s="109"/>
      <c r="AA402" s="109"/>
    </row>
    <row r="403" ht="14" spans="1:27">
      <c r="A403" s="40"/>
      <c r="B403" s="7"/>
      <c r="C403" s="6"/>
      <c r="D403" s="6"/>
      <c r="E403" s="40"/>
      <c r="F403" s="141"/>
      <c r="G403" s="61"/>
      <c r="H403" s="61"/>
      <c r="I403" s="40"/>
      <c r="J403" s="6"/>
      <c r="K403" s="8"/>
      <c r="L403" s="6"/>
      <c r="M403" s="6"/>
      <c r="N403" s="6"/>
      <c r="O403" s="109"/>
      <c r="P403" s="109"/>
      <c r="Q403" s="109"/>
      <c r="R403" s="109"/>
      <c r="S403" s="109"/>
      <c r="T403" s="109"/>
      <c r="U403" s="109"/>
      <c r="V403" s="109"/>
      <c r="W403" s="109"/>
      <c r="X403" s="109"/>
      <c r="Y403" s="109"/>
      <c r="Z403" s="109"/>
      <c r="AA403" s="109"/>
    </row>
  </sheetData>
  <mergeCells count="62">
    <mergeCell ref="A71:A75"/>
    <mergeCell ref="A110:A117"/>
    <mergeCell ref="A186:A187"/>
    <mergeCell ref="A216:A221"/>
    <mergeCell ref="A298:A315"/>
    <mergeCell ref="A319:A320"/>
    <mergeCell ref="A323:A332"/>
    <mergeCell ref="B2:B6"/>
    <mergeCell ref="B7:B9"/>
    <mergeCell ref="B71:B75"/>
    <mergeCell ref="B110:B117"/>
    <mergeCell ref="B186:B187"/>
    <mergeCell ref="B216:B221"/>
    <mergeCell ref="B298:B315"/>
    <mergeCell ref="B319:B320"/>
    <mergeCell ref="B323:B332"/>
    <mergeCell ref="C2:C6"/>
    <mergeCell ref="C7:C9"/>
    <mergeCell ref="C71:C75"/>
    <mergeCell ref="C110:C117"/>
    <mergeCell ref="C186:C187"/>
    <mergeCell ref="C216:C221"/>
    <mergeCell ref="C298:C315"/>
    <mergeCell ref="C319:C320"/>
    <mergeCell ref="C323:C332"/>
    <mergeCell ref="D71:D75"/>
    <mergeCell ref="D110:D117"/>
    <mergeCell ref="D186:D187"/>
    <mergeCell ref="D216:D221"/>
    <mergeCell ref="D298:D315"/>
    <mergeCell ref="D319:D320"/>
    <mergeCell ref="D323:D332"/>
    <mergeCell ref="E71:E75"/>
    <mergeCell ref="E110:E117"/>
    <mergeCell ref="E186:E187"/>
    <mergeCell ref="E216:E221"/>
    <mergeCell ref="E298:E315"/>
    <mergeCell ref="E319:E320"/>
    <mergeCell ref="E323:E332"/>
    <mergeCell ref="F2:F6"/>
    <mergeCell ref="F7:F9"/>
    <mergeCell ref="F71:F75"/>
    <mergeCell ref="F110:F117"/>
    <mergeCell ref="F186:F187"/>
    <mergeCell ref="F216:F221"/>
    <mergeCell ref="F298:F315"/>
    <mergeCell ref="F319:F320"/>
    <mergeCell ref="F323:F332"/>
    <mergeCell ref="G216:G221"/>
    <mergeCell ref="H216:H221"/>
    <mergeCell ref="I110:I117"/>
    <mergeCell ref="I186:I187"/>
    <mergeCell ref="I216:I221"/>
    <mergeCell ref="I323:I332"/>
    <mergeCell ref="J216:J221"/>
    <mergeCell ref="M110:M117"/>
    <mergeCell ref="M186:M187"/>
    <mergeCell ref="M216:M221"/>
    <mergeCell ref="M298:M315"/>
    <mergeCell ref="M319:M320"/>
    <mergeCell ref="M323:M332"/>
    <mergeCell ref="P110:P117"/>
  </mergeCells>
  <conditionalFormatting sqref="K1:K403">
    <cfRule type="duplicateValues" dxfId="0" priority="2"/>
  </conditionalFormatting>
  <dataValidations count="8">
    <dataValidation type="date" operator="between" showInputMessage="1" showErrorMessage="1" sqref="B2 B7 Q65 Q185:T185 Q189 Q204 Q212:R212 Q241:R241 B10:B71 B76:B110 B118:B186 B188:B216 B222:B253 Q2:Q37"/>
    <dataValidation type="list" allowBlank="1" showInputMessage="1" showErrorMessage="1" sqref="A$1:A$1048576">
      <formula1>"李凯,戈燕,李源,陈一涵,蔡丽娜,孙兆鹏,赵文奇,王伊丽,"</formula1>
    </dataValidation>
    <dataValidation type="list" allowBlank="1" showInputMessage="1" showErrorMessage="1" sqref="C$1:C$1048576">
      <formula1>"B2B,电商,服贸,汇兑,机构客户,KYC,"</formula1>
    </dataValidation>
    <dataValidation type="list" allowBlank="1" showInputMessage="1" showErrorMessage="1" sqref="D$1:D$1048576">
      <formula1>"B2B,电商,服贸汇兑,"</formula1>
    </dataValidation>
    <dataValidation type="list" allowBlank="1" showInputMessage="1" showErrorMessage="1" sqref="E$1:E$1048576">
      <formula1>"平安银行,Banking Circle,DBS,Thunes,CC,Pyvio,PING PONG,M-DAQ,QBC,GME,TransferMate,IBC,Sentbe,Nium,"</formula1>
    </dataValidation>
    <dataValidation type="list" allowBlank="1" showInputMessage="1" showErrorMessage="1" sqref="I$1:I$1048576 J24:J25">
      <formula1>"目前状态,已经回复,待BD回复,无需处理,客户要求取消,GEP风控拒绝,"</formula1>
    </dataValidation>
    <dataValidation type="list" allowBlank="1" showInputMessage="1" showErrorMessage="1" sqref="M$1:M$1048576">
      <formula1>"Personal Information,Retrieval Request,"</formula1>
    </dataValidation>
    <dataValidation type="list" allowBlank="1" showInputMessage="1" showErrorMessage="1" sqref="N$1:N$1048576">
      <formula1>"高风险行业,高风险国家,交易行为异常-高频/大额/整数倍,贸易合理性,疑似命中制裁,其他,"</formula1>
    </dataValidation>
  </dataValidations>
  <hyperlinks>
    <hyperlink ref="P23" r:id="rId1" display="https://www.yicai.com/news/100896844.html"/>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单笔交易">
    <tabColor rgb="FFFFFFFF"/>
  </sheetPr>
  <dimension ref="A1:AD639"/>
  <sheetViews>
    <sheetView topLeftCell="I1" workbookViewId="0">
      <pane ySplit="1" topLeftCell="A2" activePane="bottomLeft" state="frozen"/>
      <selection/>
      <selection pane="bottomLeft" activeCell="A1" sqref="A1"/>
    </sheetView>
  </sheetViews>
  <sheetFormatPr defaultColWidth="9.81818181818182" defaultRowHeight="16.5"/>
  <cols>
    <col min="1" max="1" width="15.7818181818182" style="160" customWidth="1"/>
    <col min="2" max="2" width="13.3545454545455" style="160" customWidth="1"/>
    <col min="3" max="3" width="19.5545454545455" style="186" customWidth="1"/>
    <col min="4" max="4" width="13.2090909090909" style="160" customWidth="1"/>
    <col min="5" max="5" width="25.0818181818182" style="104" customWidth="1"/>
    <col min="6" max="6" width="13.2090909090909" style="160" customWidth="1"/>
    <col min="7" max="7" width="14.7" style="104" customWidth="1"/>
    <col min="8" max="8" width="16.8636363636364" style="104" customWidth="1"/>
    <col min="9" max="9" width="85.1090909090909" style="155" customWidth="1"/>
    <col min="10" max="10" width="16.1818181818182" style="104" customWidth="1"/>
    <col min="11" max="11" width="20.4181818181818" style="160" customWidth="1"/>
    <col min="12" max="12" width="22.1090909090909" style="160" customWidth="1"/>
    <col min="13" max="13" width="46.2636363636364" style="160" customWidth="1"/>
    <col min="14" max="14" width="36.2818181818182" style="160" customWidth="1"/>
    <col min="15" max="15" width="14.2909090909091" style="187" customWidth="1"/>
    <col min="16" max="16" width="18.5818181818182" style="160" customWidth="1"/>
    <col min="17" max="17" width="30.8909090909091" style="160" customWidth="1"/>
    <col min="18" max="18" width="26.0272727272727" style="162" customWidth="1"/>
    <col min="19" max="19" width="37.9" style="162" customWidth="1"/>
    <col min="20" max="20" width="17.2636363636364" style="160" customWidth="1"/>
    <col min="21" max="21" width="21.8545454545455" style="160" customWidth="1"/>
    <col min="22" max="22" width="17.2636363636364" style="160" customWidth="1"/>
    <col min="23" max="23" width="21.8545454545455" style="160" customWidth="1"/>
    <col min="24" max="24" width="17.2636363636364" style="160" customWidth="1"/>
    <col min="25" max="26" width="13.6181818181818" style="160" customWidth="1"/>
    <col min="27" max="30" width="13.6727272727273" style="160"/>
  </cols>
  <sheetData>
    <row r="1" ht="30" spans="1:30">
      <c r="A1" s="188" t="s">
        <v>56</v>
      </c>
      <c r="B1" s="188" t="s">
        <v>57</v>
      </c>
      <c r="C1" s="189" t="s">
        <v>58</v>
      </c>
      <c r="D1" s="189" t="s">
        <v>59</v>
      </c>
      <c r="E1" s="189" t="s">
        <v>997</v>
      </c>
      <c r="F1" s="189" t="s">
        <v>998</v>
      </c>
      <c r="G1" s="189" t="s">
        <v>999</v>
      </c>
      <c r="H1" s="189" t="s">
        <v>60</v>
      </c>
      <c r="I1" s="189" t="s">
        <v>61</v>
      </c>
      <c r="J1" s="2" t="s">
        <v>64</v>
      </c>
      <c r="K1" s="2" t="s">
        <v>1000</v>
      </c>
      <c r="L1" s="190" t="s">
        <v>66</v>
      </c>
      <c r="M1" s="191" t="s">
        <v>1001</v>
      </c>
      <c r="N1" s="191" t="s">
        <v>1002</v>
      </c>
      <c r="O1" s="192" t="s">
        <v>1003</v>
      </c>
      <c r="P1" s="57" t="s">
        <v>62</v>
      </c>
      <c r="Q1" s="190" t="s">
        <v>68</v>
      </c>
      <c r="R1" s="193" t="s">
        <v>70</v>
      </c>
      <c r="S1" s="193" t="s">
        <v>1004</v>
      </c>
      <c r="T1" s="191" t="s">
        <v>72</v>
      </c>
      <c r="U1" s="191" t="s">
        <v>73</v>
      </c>
      <c r="V1" s="191" t="s">
        <v>74</v>
      </c>
      <c r="W1" s="191" t="s">
        <v>75</v>
      </c>
      <c r="X1" s="191" t="s">
        <v>76</v>
      </c>
      <c r="Y1" s="191" t="s">
        <v>77</v>
      </c>
      <c r="Z1" s="191"/>
      <c r="AA1" s="191"/>
      <c r="AB1" s="191"/>
      <c r="AC1" s="191"/>
      <c r="AD1" s="191"/>
    </row>
    <row r="2" ht="21" customHeight="1" spans="1:30">
      <c r="A2" s="6" t="s">
        <v>78</v>
      </c>
      <c r="B2" s="158">
        <v>45604</v>
      </c>
      <c r="C2" s="104" t="str">
        <f t="shared" ref="C2:C65" si="0">YEAR(B2)&amp;"年"&amp;MONTH(B2)&amp;"月"</f>
        <v>2024年11月</v>
      </c>
      <c r="D2" s="104" t="s">
        <v>10</v>
      </c>
      <c r="E2" s="194" t="s">
        <v>1005</v>
      </c>
      <c r="F2" s="104" t="s">
        <v>1006</v>
      </c>
      <c r="G2" s="195" t="s">
        <v>1007</v>
      </c>
      <c r="H2" s="40" t="s">
        <v>40</v>
      </c>
      <c r="I2" s="153" t="s">
        <v>1008</v>
      </c>
      <c r="J2" s="109" t="s">
        <v>82</v>
      </c>
      <c r="K2" s="194"/>
      <c r="L2" s="196"/>
      <c r="M2" s="104" t="s">
        <v>1009</v>
      </c>
      <c r="N2" s="104" t="s">
        <v>1010</v>
      </c>
      <c r="O2" s="197">
        <v>200</v>
      </c>
      <c r="P2" s="104" t="s">
        <v>149</v>
      </c>
      <c r="Q2" s="104" t="s">
        <v>7</v>
      </c>
      <c r="R2" s="198" t="s">
        <v>94</v>
      </c>
      <c r="S2" s="198"/>
      <c r="T2" s="158"/>
      <c r="U2" s="199"/>
      <c r="V2" s="199"/>
      <c r="W2" s="199"/>
      <c r="X2" s="104"/>
      <c r="Y2" s="104"/>
      <c r="Z2" s="104"/>
      <c r="AA2" s="104"/>
      <c r="AB2" s="104"/>
      <c r="AC2" s="104"/>
      <c r="AD2" s="104"/>
    </row>
    <row r="3" ht="21" customHeight="1" spans="1:30">
      <c r="A3" s="6" t="s">
        <v>78</v>
      </c>
      <c r="B3" s="158">
        <v>45608</v>
      </c>
      <c r="C3" s="104" t="str">
        <f t="shared" si="0"/>
        <v>2024年11月</v>
      </c>
      <c r="D3" s="104" t="s">
        <v>10</v>
      </c>
      <c r="E3" s="194" t="s">
        <v>1005</v>
      </c>
      <c r="F3" s="104" t="s">
        <v>1006</v>
      </c>
      <c r="G3" s="195" t="s">
        <v>1011</v>
      </c>
      <c r="H3" s="40" t="s">
        <v>40</v>
      </c>
      <c r="I3" s="153" t="s">
        <v>1012</v>
      </c>
      <c r="J3" s="109" t="s">
        <v>82</v>
      </c>
      <c r="K3" s="194"/>
      <c r="L3" s="196"/>
      <c r="M3" s="104"/>
      <c r="N3" s="104"/>
      <c r="O3" s="197">
        <v>2.8</v>
      </c>
      <c r="P3" s="104" t="s">
        <v>149</v>
      </c>
      <c r="Q3" s="104" t="s">
        <v>7</v>
      </c>
      <c r="R3" s="198" t="s">
        <v>94</v>
      </c>
      <c r="S3" s="198"/>
      <c r="T3" s="158"/>
      <c r="U3" s="199"/>
      <c r="V3" s="199"/>
      <c r="W3" s="199"/>
      <c r="X3" s="104"/>
      <c r="Y3" s="104"/>
      <c r="Z3" s="104"/>
      <c r="AA3" s="104"/>
      <c r="AB3" s="104"/>
      <c r="AC3" s="104"/>
      <c r="AD3" s="104"/>
    </row>
    <row r="4" ht="21" customHeight="1" spans="1:30">
      <c r="A4" s="6" t="s">
        <v>78</v>
      </c>
      <c r="B4" s="158">
        <v>45609</v>
      </c>
      <c r="C4" s="104" t="str">
        <f t="shared" si="0"/>
        <v>2024年11月</v>
      </c>
      <c r="D4" s="104" t="s">
        <v>10</v>
      </c>
      <c r="E4" s="194" t="s">
        <v>1005</v>
      </c>
      <c r="F4" s="104" t="s">
        <v>1006</v>
      </c>
      <c r="G4" s="195" t="s">
        <v>1007</v>
      </c>
      <c r="H4" s="40" t="s">
        <v>40</v>
      </c>
      <c r="I4" s="153" t="s">
        <v>1013</v>
      </c>
      <c r="J4" s="109" t="s">
        <v>82</v>
      </c>
      <c r="K4" s="194"/>
      <c r="L4" s="196"/>
      <c r="M4" s="104"/>
      <c r="N4" s="104"/>
      <c r="O4" s="197">
        <v>160</v>
      </c>
      <c r="P4" s="104" t="s">
        <v>139</v>
      </c>
      <c r="Q4" s="104" t="s">
        <v>7</v>
      </c>
      <c r="R4" s="198" t="s">
        <v>94</v>
      </c>
      <c r="S4" s="198"/>
      <c r="T4" s="158"/>
      <c r="U4" s="199"/>
      <c r="V4" s="199"/>
      <c r="W4" s="199"/>
      <c r="X4" s="104"/>
      <c r="Y4" s="104"/>
      <c r="Z4" s="104"/>
      <c r="AA4" s="104"/>
      <c r="AB4" s="104"/>
      <c r="AC4" s="104"/>
      <c r="AD4" s="104"/>
    </row>
    <row r="5" ht="21" customHeight="1" spans="1:30">
      <c r="A5" s="6" t="s">
        <v>78</v>
      </c>
      <c r="B5" s="158">
        <v>45609</v>
      </c>
      <c r="C5" s="104" t="str">
        <f t="shared" si="0"/>
        <v>2024年11月</v>
      </c>
      <c r="D5" s="104" t="s">
        <v>10</v>
      </c>
      <c r="E5" s="194" t="s">
        <v>1014</v>
      </c>
      <c r="F5" s="104" t="s">
        <v>1006</v>
      </c>
      <c r="G5" s="195" t="s">
        <v>1007</v>
      </c>
      <c r="H5" s="40" t="s">
        <v>40</v>
      </c>
      <c r="I5" s="153" t="s">
        <v>1015</v>
      </c>
      <c r="J5" s="109" t="s">
        <v>82</v>
      </c>
      <c r="K5" s="194"/>
      <c r="L5" s="196"/>
      <c r="M5" s="104" t="s">
        <v>1016</v>
      </c>
      <c r="N5" s="104"/>
      <c r="O5" s="197">
        <v>70</v>
      </c>
      <c r="P5" s="104" t="s">
        <v>149</v>
      </c>
      <c r="Q5" s="104" t="s">
        <v>7</v>
      </c>
      <c r="R5" s="198" t="s">
        <v>94</v>
      </c>
      <c r="S5" s="198"/>
      <c r="T5" s="158"/>
      <c r="U5" s="199"/>
      <c r="V5" s="199"/>
      <c r="W5" s="199"/>
      <c r="X5" s="104"/>
      <c r="Y5" s="104"/>
      <c r="Z5" s="104"/>
      <c r="AA5" s="104"/>
      <c r="AB5" s="104"/>
      <c r="AC5" s="104"/>
      <c r="AD5" s="104"/>
    </row>
    <row r="6" ht="21" customHeight="1" spans="1:30">
      <c r="A6" s="6" t="s">
        <v>78</v>
      </c>
      <c r="B6" s="158">
        <v>45615</v>
      </c>
      <c r="C6" s="104" t="str">
        <f t="shared" si="0"/>
        <v>2024年11月</v>
      </c>
      <c r="D6" s="104" t="s">
        <v>10</v>
      </c>
      <c r="E6" s="194" t="s">
        <v>1005</v>
      </c>
      <c r="F6" s="104" t="s">
        <v>1006</v>
      </c>
      <c r="G6" s="195" t="s">
        <v>1007</v>
      </c>
      <c r="H6" s="40" t="s">
        <v>40</v>
      </c>
      <c r="I6" s="198" t="s">
        <v>1017</v>
      </c>
      <c r="J6" s="109" t="s">
        <v>82</v>
      </c>
      <c r="K6" s="194"/>
      <c r="L6" s="196"/>
      <c r="M6" s="104" t="s">
        <v>1018</v>
      </c>
      <c r="N6" s="104" t="s">
        <v>1019</v>
      </c>
      <c r="O6" s="197">
        <v>80</v>
      </c>
      <c r="P6" s="104" t="s">
        <v>139</v>
      </c>
      <c r="Q6" s="104" t="s">
        <v>7</v>
      </c>
      <c r="R6" s="198" t="s">
        <v>94</v>
      </c>
      <c r="S6" s="198"/>
      <c r="T6" s="158"/>
      <c r="U6" s="199"/>
      <c r="V6" s="199"/>
      <c r="W6" s="199"/>
      <c r="X6" s="104"/>
      <c r="Y6" s="104"/>
      <c r="Z6" s="104"/>
      <c r="AA6" s="104"/>
      <c r="AB6" s="104"/>
      <c r="AC6" s="104"/>
      <c r="AD6" s="104"/>
    </row>
    <row r="7" ht="21" customHeight="1" spans="1:30">
      <c r="A7" s="6" t="s">
        <v>78</v>
      </c>
      <c r="B7" s="158">
        <v>45616</v>
      </c>
      <c r="C7" s="104" t="str">
        <f t="shared" si="0"/>
        <v>2024年11月</v>
      </c>
      <c r="D7" s="104" t="s">
        <v>10</v>
      </c>
      <c r="E7" s="194" t="s">
        <v>1020</v>
      </c>
      <c r="F7" s="104" t="s">
        <v>1006</v>
      </c>
      <c r="G7" s="195" t="s">
        <v>1007</v>
      </c>
      <c r="H7" s="40" t="s">
        <v>40</v>
      </c>
      <c r="I7" s="153" t="s">
        <v>1021</v>
      </c>
      <c r="J7" s="109" t="s">
        <v>82</v>
      </c>
      <c r="K7" s="194"/>
      <c r="L7" s="196" t="s">
        <v>1022</v>
      </c>
      <c r="M7" s="104" t="s">
        <v>1023</v>
      </c>
      <c r="N7" s="104"/>
      <c r="O7" s="197">
        <v>74.01</v>
      </c>
      <c r="P7" s="104" t="s">
        <v>149</v>
      </c>
      <c r="Q7" s="104" t="s">
        <v>7</v>
      </c>
      <c r="R7" s="198" t="s">
        <v>194</v>
      </c>
      <c r="S7" s="198"/>
      <c r="T7" s="158"/>
      <c r="U7" s="199"/>
      <c r="V7" s="199"/>
      <c r="W7" s="199"/>
      <c r="X7" s="104"/>
      <c r="Y7" s="104"/>
      <c r="Z7" s="104"/>
      <c r="AA7" s="104"/>
      <c r="AB7" s="104"/>
      <c r="AC7" s="104"/>
      <c r="AD7" s="104"/>
    </row>
    <row r="8" ht="21" customHeight="1" spans="1:30">
      <c r="A8" s="6" t="s">
        <v>78</v>
      </c>
      <c r="B8" s="158">
        <v>45621</v>
      </c>
      <c r="C8" s="104" t="str">
        <f t="shared" si="0"/>
        <v>2024年11月</v>
      </c>
      <c r="D8" s="104" t="s">
        <v>10</v>
      </c>
      <c r="E8" s="194" t="s">
        <v>1024</v>
      </c>
      <c r="F8" s="104" t="s">
        <v>1006</v>
      </c>
      <c r="G8" s="195" t="s">
        <v>1007</v>
      </c>
      <c r="H8" s="40" t="s">
        <v>40</v>
      </c>
      <c r="I8" s="104" t="s">
        <v>1025</v>
      </c>
      <c r="J8" s="109" t="s">
        <v>82</v>
      </c>
      <c r="K8" s="194"/>
      <c r="L8" s="200" t="s">
        <v>1026</v>
      </c>
      <c r="M8" s="104" t="s">
        <v>1027</v>
      </c>
      <c r="N8" s="104"/>
      <c r="O8" s="197">
        <v>315.38</v>
      </c>
      <c r="P8" s="104" t="s">
        <v>80</v>
      </c>
      <c r="Q8" s="104" t="s">
        <v>7</v>
      </c>
      <c r="R8" s="198" t="s">
        <v>194</v>
      </c>
      <c r="S8" s="198"/>
      <c r="T8" s="158"/>
      <c r="U8" s="199"/>
      <c r="V8" s="199"/>
      <c r="W8" s="199"/>
      <c r="X8" s="104"/>
      <c r="Y8" s="104"/>
      <c r="Z8" s="104"/>
      <c r="AA8" s="104"/>
      <c r="AB8" s="104"/>
      <c r="AC8" s="104"/>
      <c r="AD8" s="104"/>
    </row>
    <row r="9" ht="21" customHeight="1" spans="1:30">
      <c r="A9" s="6" t="s">
        <v>142</v>
      </c>
      <c r="B9" s="158">
        <v>45631</v>
      </c>
      <c r="C9" s="104" t="str">
        <f t="shared" si="0"/>
        <v>2024年12月</v>
      </c>
      <c r="D9" s="104" t="s">
        <v>12</v>
      </c>
      <c r="E9" s="194" t="s">
        <v>1028</v>
      </c>
      <c r="F9" s="104" t="s">
        <v>1029</v>
      </c>
      <c r="G9" s="195" t="s">
        <v>1011</v>
      </c>
      <c r="H9" s="40" t="s">
        <v>46</v>
      </c>
      <c r="I9" s="153" t="s">
        <v>1030</v>
      </c>
      <c r="J9" s="109" t="s">
        <v>82</v>
      </c>
      <c r="K9" s="194">
        <v>45635.7083333333</v>
      </c>
      <c r="L9" s="196" t="s">
        <v>1031</v>
      </c>
      <c r="M9" s="104" t="s">
        <v>1032</v>
      </c>
      <c r="N9" s="104" t="s">
        <v>1033</v>
      </c>
      <c r="O9" s="197">
        <v>1569213.59</v>
      </c>
      <c r="P9" s="104" t="s">
        <v>149</v>
      </c>
      <c r="Q9" s="104" t="s">
        <v>7</v>
      </c>
      <c r="R9" s="198" t="s">
        <v>146</v>
      </c>
      <c r="S9" s="198" t="s">
        <v>1034</v>
      </c>
      <c r="T9" s="158"/>
      <c r="U9" s="199"/>
      <c r="V9" s="199"/>
      <c r="W9" s="199"/>
      <c r="X9" s="104"/>
      <c r="Y9" s="104"/>
      <c r="Z9" s="104"/>
      <c r="AA9" s="104"/>
      <c r="AB9" s="104"/>
      <c r="AC9" s="104"/>
      <c r="AD9" s="104"/>
    </row>
    <row r="10" ht="21" customHeight="1" spans="1:30">
      <c r="A10" s="6" t="s">
        <v>142</v>
      </c>
      <c r="B10" s="158">
        <v>45635</v>
      </c>
      <c r="C10" s="104" t="str">
        <f t="shared" si="0"/>
        <v>2024年12月</v>
      </c>
      <c r="D10" s="104" t="s">
        <v>12</v>
      </c>
      <c r="E10" s="194" t="s">
        <v>1035</v>
      </c>
      <c r="F10" s="104" t="s">
        <v>1029</v>
      </c>
      <c r="G10" s="195" t="s">
        <v>1007</v>
      </c>
      <c r="H10" s="40" t="s">
        <v>44</v>
      </c>
      <c r="I10" s="153">
        <v>2581730</v>
      </c>
      <c r="J10" s="109" t="s">
        <v>82</v>
      </c>
      <c r="K10" s="194">
        <v>45637.7083333333</v>
      </c>
      <c r="L10" s="196" t="s">
        <v>870</v>
      </c>
      <c r="M10" s="104" t="s">
        <v>871</v>
      </c>
      <c r="N10" s="104" t="s">
        <v>1036</v>
      </c>
      <c r="O10" s="197">
        <v>3813347</v>
      </c>
      <c r="P10" s="104" t="s">
        <v>1037</v>
      </c>
      <c r="Q10" s="104" t="s">
        <v>7</v>
      </c>
      <c r="R10" s="198" t="s">
        <v>97</v>
      </c>
      <c r="S10" s="198" t="s">
        <v>1038</v>
      </c>
      <c r="T10" s="158"/>
      <c r="U10" s="199"/>
      <c r="V10" s="199"/>
      <c r="W10" s="199"/>
      <c r="X10" s="104"/>
      <c r="Y10" s="104"/>
      <c r="Z10" s="104"/>
      <c r="AA10" s="104"/>
      <c r="AB10" s="104"/>
      <c r="AC10" s="104"/>
      <c r="AD10" s="104"/>
    </row>
    <row r="11" ht="21" customHeight="1" spans="1:30">
      <c r="A11" s="6" t="s">
        <v>142</v>
      </c>
      <c r="B11" s="158">
        <v>45636</v>
      </c>
      <c r="C11" s="104" t="str">
        <f t="shared" si="0"/>
        <v>2024年12月</v>
      </c>
      <c r="D11" s="104" t="s">
        <v>12</v>
      </c>
      <c r="E11" s="194" t="s">
        <v>1028</v>
      </c>
      <c r="F11" s="104" t="s">
        <v>1029</v>
      </c>
      <c r="G11" s="195" t="s">
        <v>1007</v>
      </c>
      <c r="H11" s="40" t="s">
        <v>46</v>
      </c>
      <c r="I11" s="153" t="s">
        <v>1039</v>
      </c>
      <c r="J11" s="109" t="s">
        <v>82</v>
      </c>
      <c r="K11" s="194">
        <v>45641.7083333333</v>
      </c>
      <c r="L11" s="196" t="s">
        <v>1031</v>
      </c>
      <c r="M11" s="104" t="s">
        <v>1032</v>
      </c>
      <c r="N11" s="104" t="s">
        <v>1033</v>
      </c>
      <c r="O11" s="197">
        <v>1193281.04</v>
      </c>
      <c r="P11" s="104" t="s">
        <v>149</v>
      </c>
      <c r="Q11" s="104" t="s">
        <v>7</v>
      </c>
      <c r="R11" s="198" t="s">
        <v>146</v>
      </c>
      <c r="S11" s="198" t="s">
        <v>1034</v>
      </c>
      <c r="T11" s="158"/>
      <c r="U11" s="199"/>
      <c r="V11" s="199"/>
      <c r="W11" s="199"/>
      <c r="X11" s="104"/>
      <c r="Y11" s="104"/>
      <c r="Z11" s="104"/>
      <c r="AA11" s="104"/>
      <c r="AB11" s="104"/>
      <c r="AC11" s="104"/>
      <c r="AD11" s="104"/>
    </row>
    <row r="12" ht="14" spans="1:30">
      <c r="A12" s="6" t="s">
        <v>142</v>
      </c>
      <c r="B12" s="158">
        <v>45636</v>
      </c>
      <c r="C12" s="104" t="str">
        <f t="shared" si="0"/>
        <v>2024年12月</v>
      </c>
      <c r="D12" s="104" t="s">
        <v>10</v>
      </c>
      <c r="E12" s="194" t="s">
        <v>1040</v>
      </c>
      <c r="F12" s="104" t="s">
        <v>1029</v>
      </c>
      <c r="G12" s="195" t="s">
        <v>1007</v>
      </c>
      <c r="H12" s="40" t="s">
        <v>44</v>
      </c>
      <c r="I12" s="153">
        <v>2582799</v>
      </c>
      <c r="J12" s="109" t="s">
        <v>82</v>
      </c>
      <c r="K12" s="194">
        <v>45638.7083333333</v>
      </c>
      <c r="L12" s="196" t="s">
        <v>1041</v>
      </c>
      <c r="M12" s="104" t="s">
        <v>1042</v>
      </c>
      <c r="N12" s="104" t="s">
        <v>1043</v>
      </c>
      <c r="O12" s="197">
        <v>7876.24</v>
      </c>
      <c r="P12" s="104" t="s">
        <v>173</v>
      </c>
      <c r="Q12" s="104" t="s">
        <v>7</v>
      </c>
      <c r="R12" s="198" t="s">
        <v>85</v>
      </c>
      <c r="S12" s="198" t="s">
        <v>1044</v>
      </c>
      <c r="T12" s="158"/>
      <c r="U12" s="199"/>
      <c r="V12" s="199"/>
      <c r="W12" s="199"/>
      <c r="X12" s="104"/>
      <c r="Y12" s="104"/>
      <c r="Z12" s="104"/>
      <c r="AA12" s="104"/>
      <c r="AB12" s="104"/>
      <c r="AC12" s="104"/>
      <c r="AD12" s="104"/>
    </row>
    <row r="13" ht="14" spans="1:30">
      <c r="A13" s="6" t="s">
        <v>142</v>
      </c>
      <c r="B13" s="158">
        <v>45642</v>
      </c>
      <c r="C13" s="104" t="str">
        <f t="shared" si="0"/>
        <v>2024年12月</v>
      </c>
      <c r="D13" s="104" t="s">
        <v>12</v>
      </c>
      <c r="E13" s="194" t="s">
        <v>1045</v>
      </c>
      <c r="F13" s="104" t="s">
        <v>1006</v>
      </c>
      <c r="G13" s="195" t="s">
        <v>1007</v>
      </c>
      <c r="H13" s="40" t="s">
        <v>39</v>
      </c>
      <c r="I13" s="153" t="s">
        <v>1046</v>
      </c>
      <c r="J13" s="109" t="s">
        <v>82</v>
      </c>
      <c r="K13" s="194">
        <v>45643.7083333333</v>
      </c>
      <c r="L13" s="196" t="s">
        <v>1047</v>
      </c>
      <c r="M13" s="104" t="s">
        <v>1048</v>
      </c>
      <c r="N13" s="104" t="s">
        <v>1049</v>
      </c>
      <c r="O13" s="197">
        <v>8430</v>
      </c>
      <c r="P13" s="104" t="s">
        <v>173</v>
      </c>
      <c r="Q13" s="104" t="s">
        <v>7</v>
      </c>
      <c r="R13" s="198" t="s">
        <v>146</v>
      </c>
      <c r="S13" s="198" t="s">
        <v>1050</v>
      </c>
      <c r="T13" s="158"/>
      <c r="U13" s="199"/>
      <c r="V13" s="199"/>
      <c r="W13" s="199"/>
      <c r="X13" s="104"/>
      <c r="Y13" s="104"/>
      <c r="Z13" s="104"/>
      <c r="AA13" s="104"/>
      <c r="AB13" s="104"/>
      <c r="AC13" s="104"/>
      <c r="AD13" s="104"/>
    </row>
    <row r="14" ht="14" spans="1:30">
      <c r="A14" s="6" t="s">
        <v>78</v>
      </c>
      <c r="B14" s="158">
        <v>45645</v>
      </c>
      <c r="C14" s="104" t="str">
        <f t="shared" si="0"/>
        <v>2024年12月</v>
      </c>
      <c r="D14" s="104" t="s">
        <v>10</v>
      </c>
      <c r="E14" s="194" t="s">
        <v>1005</v>
      </c>
      <c r="F14" s="104" t="s">
        <v>1006</v>
      </c>
      <c r="G14" s="195" t="s">
        <v>1007</v>
      </c>
      <c r="H14" s="40" t="s">
        <v>40</v>
      </c>
      <c r="I14" s="153" t="s">
        <v>1051</v>
      </c>
      <c r="J14" s="109" t="s">
        <v>82</v>
      </c>
      <c r="K14" s="194"/>
      <c r="L14" s="200" t="s">
        <v>1052</v>
      </c>
      <c r="M14" s="104" t="s">
        <v>1053</v>
      </c>
      <c r="N14" s="104" t="s">
        <v>1054</v>
      </c>
      <c r="O14" s="197">
        <v>108</v>
      </c>
      <c r="P14" s="104" t="s">
        <v>139</v>
      </c>
      <c r="Q14" s="104" t="s">
        <v>7</v>
      </c>
      <c r="R14" s="198" t="s">
        <v>85</v>
      </c>
      <c r="S14" s="198"/>
      <c r="T14" s="158"/>
      <c r="U14" s="199"/>
      <c r="V14" s="199"/>
      <c r="W14" s="199"/>
      <c r="X14" s="104"/>
      <c r="Y14" s="104"/>
      <c r="Z14" s="104"/>
      <c r="AA14" s="104"/>
      <c r="AB14" s="104"/>
      <c r="AC14" s="104"/>
      <c r="AD14" s="104"/>
    </row>
    <row r="15" ht="21" customHeight="1" spans="1:30">
      <c r="A15" s="6" t="s">
        <v>142</v>
      </c>
      <c r="B15" s="158">
        <v>45649</v>
      </c>
      <c r="C15" s="104" t="str">
        <f t="shared" si="0"/>
        <v>2024年12月</v>
      </c>
      <c r="D15" s="104" t="s">
        <v>12</v>
      </c>
      <c r="E15" s="194" t="s">
        <v>1035</v>
      </c>
      <c r="F15" s="104" t="s">
        <v>1029</v>
      </c>
      <c r="G15" s="195" t="s">
        <v>1007</v>
      </c>
      <c r="H15" s="40" t="s">
        <v>44</v>
      </c>
      <c r="I15" s="152">
        <v>2601789</v>
      </c>
      <c r="J15" s="109" t="s">
        <v>82</v>
      </c>
      <c r="K15" s="194">
        <v>45651.7083333333</v>
      </c>
      <c r="L15" s="196" t="s">
        <v>870</v>
      </c>
      <c r="M15" s="104" t="s">
        <v>871</v>
      </c>
      <c r="N15" s="104" t="s">
        <v>1055</v>
      </c>
      <c r="O15" s="197">
        <v>2200504</v>
      </c>
      <c r="P15" s="104" t="s">
        <v>1037</v>
      </c>
      <c r="Q15" s="104" t="s">
        <v>7</v>
      </c>
      <c r="R15" s="198" t="s">
        <v>97</v>
      </c>
      <c r="S15" s="198" t="s">
        <v>1038</v>
      </c>
      <c r="T15" s="158"/>
      <c r="U15" s="199"/>
      <c r="V15" s="199"/>
      <c r="W15" s="199"/>
      <c r="X15" s="104"/>
      <c r="Y15" s="104"/>
      <c r="Z15" s="104"/>
      <c r="AA15" s="104"/>
      <c r="AB15" s="104"/>
      <c r="AC15" s="104"/>
      <c r="AD15" s="104"/>
    </row>
    <row r="16" ht="21" customHeight="1" spans="1:30">
      <c r="A16" s="6"/>
      <c r="B16" s="158">
        <v>45659</v>
      </c>
      <c r="C16" s="104" t="str">
        <f t="shared" si="0"/>
        <v>2025年1月</v>
      </c>
      <c r="D16" s="104" t="s">
        <v>11</v>
      </c>
      <c r="E16" s="194" t="s">
        <v>1056</v>
      </c>
      <c r="F16" s="104" t="s">
        <v>1006</v>
      </c>
      <c r="G16" s="195"/>
      <c r="H16" s="40" t="s">
        <v>39</v>
      </c>
      <c r="I16" s="152" t="s">
        <v>1057</v>
      </c>
      <c r="J16" s="109" t="s">
        <v>1058</v>
      </c>
      <c r="K16" s="201">
        <v>45665.7083333333</v>
      </c>
      <c r="L16" s="159" t="s">
        <v>1059</v>
      </c>
      <c r="M16" s="104" t="s">
        <v>1060</v>
      </c>
      <c r="N16" s="104" t="s">
        <v>1061</v>
      </c>
      <c r="O16" s="197">
        <v>400000</v>
      </c>
      <c r="P16" s="104" t="s">
        <v>1062</v>
      </c>
      <c r="Q16" s="104" t="s">
        <v>7</v>
      </c>
      <c r="R16" s="198" t="s">
        <v>111</v>
      </c>
      <c r="S16" s="198" t="s">
        <v>1063</v>
      </c>
      <c r="T16" s="158"/>
      <c r="U16" s="199"/>
      <c r="V16" s="199"/>
      <c r="W16" s="199"/>
      <c r="X16" s="104"/>
      <c r="Y16" s="104"/>
      <c r="Z16" s="104"/>
      <c r="AA16" s="104"/>
      <c r="AB16" s="104"/>
      <c r="AC16" s="104"/>
      <c r="AD16" s="104"/>
    </row>
    <row r="17" ht="21" customHeight="1" spans="1:30">
      <c r="A17" s="6"/>
      <c r="B17" s="158">
        <v>45663</v>
      </c>
      <c r="C17" s="104" t="str">
        <f t="shared" si="0"/>
        <v>2025年1月</v>
      </c>
      <c r="D17" s="104" t="s">
        <v>11</v>
      </c>
      <c r="E17" s="194" t="s">
        <v>1064</v>
      </c>
      <c r="F17" s="104" t="s">
        <v>1006</v>
      </c>
      <c r="G17" s="195" t="s">
        <v>1007</v>
      </c>
      <c r="H17" s="40" t="s">
        <v>39</v>
      </c>
      <c r="I17" s="152" t="s">
        <v>1065</v>
      </c>
      <c r="J17" s="109" t="s">
        <v>1058</v>
      </c>
      <c r="K17" s="199"/>
      <c r="L17" s="159" t="s">
        <v>1066</v>
      </c>
      <c r="M17" s="104" t="s">
        <v>1067</v>
      </c>
      <c r="N17" s="104" t="s">
        <v>1068</v>
      </c>
      <c r="O17" s="197">
        <v>7550</v>
      </c>
      <c r="P17" s="104" t="s">
        <v>173</v>
      </c>
      <c r="Q17" s="104" t="s">
        <v>7</v>
      </c>
      <c r="R17" s="198" t="s">
        <v>146</v>
      </c>
      <c r="S17" s="198" t="s">
        <v>1069</v>
      </c>
      <c r="T17" s="158"/>
      <c r="U17" s="199"/>
      <c r="V17" s="199"/>
      <c r="W17" s="199"/>
      <c r="X17" s="104"/>
      <c r="Y17" s="104"/>
      <c r="Z17" s="104"/>
      <c r="AA17" s="104"/>
      <c r="AB17" s="104"/>
      <c r="AC17" s="104"/>
      <c r="AD17" s="104"/>
    </row>
    <row r="18" ht="21" customHeight="1" spans="1:30">
      <c r="A18" s="6" t="s">
        <v>142</v>
      </c>
      <c r="B18" s="158">
        <v>45664</v>
      </c>
      <c r="C18" s="104" t="str">
        <f t="shared" si="0"/>
        <v>2025年1月</v>
      </c>
      <c r="D18" s="104" t="s">
        <v>12</v>
      </c>
      <c r="E18" s="194" t="s">
        <v>1028</v>
      </c>
      <c r="F18" s="104" t="s">
        <v>1029</v>
      </c>
      <c r="G18" s="195" t="s">
        <v>1011</v>
      </c>
      <c r="H18" s="40" t="s">
        <v>39</v>
      </c>
      <c r="I18" s="152" t="s">
        <v>1070</v>
      </c>
      <c r="J18" s="109" t="s">
        <v>422</v>
      </c>
      <c r="K18" s="194">
        <v>45678.7083333333</v>
      </c>
      <c r="L18" s="159" t="s">
        <v>1071</v>
      </c>
      <c r="M18" s="160" t="s">
        <v>1072</v>
      </c>
      <c r="N18" s="104" t="s">
        <v>1073</v>
      </c>
      <c r="O18" s="197">
        <v>51316</v>
      </c>
      <c r="P18" s="104" t="s">
        <v>173</v>
      </c>
      <c r="Q18" s="104" t="s">
        <v>7</v>
      </c>
      <c r="R18" s="198" t="s">
        <v>146</v>
      </c>
      <c r="S18" s="198" t="s">
        <v>1074</v>
      </c>
      <c r="T18" s="158"/>
      <c r="U18" s="199"/>
      <c r="V18" s="199"/>
      <c r="W18" s="199"/>
      <c r="X18" s="104"/>
      <c r="Y18" s="104"/>
      <c r="Z18" s="104"/>
      <c r="AA18" s="104"/>
      <c r="AB18" s="104"/>
      <c r="AC18" s="104"/>
      <c r="AD18" s="104"/>
    </row>
    <row r="19" ht="52.5" customHeight="1" spans="1:30">
      <c r="A19" s="6" t="s">
        <v>142</v>
      </c>
      <c r="B19" s="158">
        <v>45666</v>
      </c>
      <c r="C19" s="104" t="str">
        <f t="shared" si="0"/>
        <v>2025年1月</v>
      </c>
      <c r="D19" s="104" t="s">
        <v>12</v>
      </c>
      <c r="E19" s="194" t="s">
        <v>1045</v>
      </c>
      <c r="F19" s="104" t="s">
        <v>1029</v>
      </c>
      <c r="G19" s="195" t="s">
        <v>1007</v>
      </c>
      <c r="H19" s="40" t="s">
        <v>44</v>
      </c>
      <c r="I19" s="152">
        <v>2613762</v>
      </c>
      <c r="J19" s="109" t="s">
        <v>422</v>
      </c>
      <c r="K19" s="194">
        <v>45668.4166666667</v>
      </c>
      <c r="L19" s="159" t="s">
        <v>1075</v>
      </c>
      <c r="M19" s="104" t="s">
        <v>1076</v>
      </c>
      <c r="N19" s="104" t="s">
        <v>1077</v>
      </c>
      <c r="O19" s="197">
        <v>5831.31</v>
      </c>
      <c r="P19" s="104" t="s">
        <v>173</v>
      </c>
      <c r="Q19" s="104" t="s">
        <v>7</v>
      </c>
      <c r="R19" s="198" t="s">
        <v>194</v>
      </c>
      <c r="S19" s="198" t="s">
        <v>1078</v>
      </c>
      <c r="T19" s="158"/>
      <c r="U19" s="199"/>
      <c r="V19" s="199"/>
      <c r="W19" s="199"/>
      <c r="X19" s="104"/>
      <c r="Y19" s="104"/>
      <c r="Z19" s="104"/>
      <c r="AA19" s="104"/>
      <c r="AB19" s="104"/>
      <c r="AC19" s="104"/>
      <c r="AD19" s="104"/>
    </row>
    <row r="20" ht="21" customHeight="1" spans="1:30">
      <c r="A20" s="6" t="s">
        <v>142</v>
      </c>
      <c r="B20" s="158">
        <v>45670</v>
      </c>
      <c r="C20" s="104" t="str">
        <f t="shared" si="0"/>
        <v>2025年1月</v>
      </c>
      <c r="D20" s="104" t="s">
        <v>11</v>
      </c>
      <c r="E20" s="194" t="s">
        <v>1064</v>
      </c>
      <c r="F20" s="104" t="s">
        <v>1006</v>
      </c>
      <c r="G20" s="195" t="s">
        <v>1007</v>
      </c>
      <c r="H20" s="40" t="s">
        <v>47</v>
      </c>
      <c r="I20" s="196" t="s">
        <v>1079</v>
      </c>
      <c r="J20" s="109" t="s">
        <v>82</v>
      </c>
      <c r="K20" s="104"/>
      <c r="L20" s="159" t="s">
        <v>1080</v>
      </c>
      <c r="M20" s="160" t="s">
        <v>1081</v>
      </c>
      <c r="N20" s="104" t="s">
        <v>1082</v>
      </c>
      <c r="O20" s="197">
        <v>23604</v>
      </c>
      <c r="P20" s="104" t="s">
        <v>173</v>
      </c>
      <c r="Q20" s="104" t="s">
        <v>7</v>
      </c>
      <c r="R20" s="198" t="s">
        <v>270</v>
      </c>
      <c r="S20" s="198" t="s">
        <v>1083</v>
      </c>
      <c r="T20" s="158"/>
      <c r="U20" s="199"/>
      <c r="V20" s="199"/>
      <c r="W20" s="199"/>
      <c r="X20" s="104"/>
      <c r="Y20" s="104"/>
      <c r="Z20" s="104"/>
      <c r="AA20" s="104"/>
      <c r="AB20" s="104"/>
      <c r="AC20" s="104"/>
      <c r="AD20" s="104"/>
    </row>
    <row r="21" ht="21" customHeight="1" spans="1:30">
      <c r="A21" s="6" t="s">
        <v>142</v>
      </c>
      <c r="B21" s="158">
        <v>45670</v>
      </c>
      <c r="C21" s="104" t="str">
        <f t="shared" si="0"/>
        <v>2025年1月</v>
      </c>
      <c r="D21" s="104" t="s">
        <v>11</v>
      </c>
      <c r="E21" s="194" t="s">
        <v>1084</v>
      </c>
      <c r="F21" s="104" t="s">
        <v>1006</v>
      </c>
      <c r="G21" s="195" t="s">
        <v>1007</v>
      </c>
      <c r="H21" s="40" t="s">
        <v>39</v>
      </c>
      <c r="I21" s="152" t="s">
        <v>1085</v>
      </c>
      <c r="J21" s="109" t="s">
        <v>82</v>
      </c>
      <c r="K21" s="104"/>
      <c r="L21" s="159" t="s">
        <v>1086</v>
      </c>
      <c r="M21" s="104" t="s">
        <v>1087</v>
      </c>
      <c r="N21" s="104" t="s">
        <v>1088</v>
      </c>
      <c r="O21" s="197">
        <v>800</v>
      </c>
      <c r="P21" s="104" t="s">
        <v>173</v>
      </c>
      <c r="Q21" s="104" t="s">
        <v>105</v>
      </c>
      <c r="R21" s="198" t="s">
        <v>111</v>
      </c>
      <c r="S21" s="198"/>
      <c r="T21" s="158"/>
      <c r="U21" s="199"/>
      <c r="V21" s="199"/>
      <c r="W21" s="199"/>
      <c r="X21" s="104"/>
      <c r="Y21" s="104"/>
      <c r="Z21" s="104"/>
      <c r="AA21" s="104"/>
      <c r="AB21" s="104"/>
      <c r="AC21" s="104"/>
      <c r="AD21" s="104"/>
    </row>
    <row r="22" ht="21" customHeight="1" spans="1:30">
      <c r="A22" s="6" t="s">
        <v>78</v>
      </c>
      <c r="B22" s="158">
        <v>45679</v>
      </c>
      <c r="C22" s="104" t="str">
        <f t="shared" si="0"/>
        <v>2025年1月</v>
      </c>
      <c r="D22" s="104" t="s">
        <v>10</v>
      </c>
      <c r="E22" s="194" t="s">
        <v>1089</v>
      </c>
      <c r="F22" s="104" t="s">
        <v>1006</v>
      </c>
      <c r="G22" s="195"/>
      <c r="H22" s="40" t="s">
        <v>40</v>
      </c>
      <c r="I22" s="152" t="s">
        <v>1090</v>
      </c>
      <c r="J22" s="109" t="s">
        <v>82</v>
      </c>
      <c r="K22" s="104"/>
      <c r="L22" s="159" t="s">
        <v>1091</v>
      </c>
      <c r="M22" s="104" t="s">
        <v>1016</v>
      </c>
      <c r="N22" s="104" t="s">
        <v>1092</v>
      </c>
      <c r="O22" s="197">
        <v>266.06</v>
      </c>
      <c r="P22" s="104" t="s">
        <v>80</v>
      </c>
      <c r="Q22" s="104" t="s">
        <v>7</v>
      </c>
      <c r="R22" s="198" t="s">
        <v>85</v>
      </c>
      <c r="S22" s="198"/>
      <c r="T22" s="158">
        <v>45699</v>
      </c>
      <c r="U22" s="104">
        <v>2.11</v>
      </c>
      <c r="V22" s="158">
        <v>45707</v>
      </c>
      <c r="W22" s="158">
        <v>45707</v>
      </c>
      <c r="X22" s="104"/>
      <c r="Y22" s="104"/>
      <c r="Z22" s="104"/>
      <c r="AA22" s="104"/>
      <c r="AB22" s="104"/>
      <c r="AC22" s="104"/>
      <c r="AD22" s="104"/>
    </row>
    <row r="23" ht="21" customHeight="1" spans="1:30">
      <c r="A23" s="6" t="s">
        <v>78</v>
      </c>
      <c r="B23" s="158">
        <v>45679</v>
      </c>
      <c r="C23" s="104" t="str">
        <f t="shared" si="0"/>
        <v>2025年1月</v>
      </c>
      <c r="D23" s="104" t="s">
        <v>10</v>
      </c>
      <c r="E23" s="194" t="s">
        <v>1089</v>
      </c>
      <c r="F23" s="104" t="s">
        <v>1006</v>
      </c>
      <c r="G23" s="195"/>
      <c r="H23" s="40" t="s">
        <v>40</v>
      </c>
      <c r="I23" s="152" t="s">
        <v>1093</v>
      </c>
      <c r="J23" s="109" t="s">
        <v>82</v>
      </c>
      <c r="K23" s="104"/>
      <c r="L23" s="159" t="s">
        <v>1094</v>
      </c>
      <c r="M23" s="104" t="s">
        <v>1016</v>
      </c>
      <c r="N23" s="104" t="s">
        <v>1095</v>
      </c>
      <c r="O23" s="197">
        <v>352.02</v>
      </c>
      <c r="P23" s="104" t="s">
        <v>80</v>
      </c>
      <c r="Q23" s="104" t="s">
        <v>7</v>
      </c>
      <c r="R23" s="198" t="s">
        <v>89</v>
      </c>
      <c r="S23" s="198" t="s">
        <v>1096</v>
      </c>
      <c r="T23" s="158">
        <v>45699</v>
      </c>
      <c r="U23" s="104">
        <v>2.11</v>
      </c>
      <c r="V23" s="199"/>
      <c r="W23" s="199"/>
      <c r="X23" s="104"/>
      <c r="Y23" s="104"/>
      <c r="Z23" s="104"/>
      <c r="AA23" s="104"/>
      <c r="AB23" s="104"/>
      <c r="AC23" s="104"/>
      <c r="AD23" s="104"/>
    </row>
    <row r="24" ht="21" customHeight="1" spans="1:30">
      <c r="A24" s="6" t="s">
        <v>142</v>
      </c>
      <c r="B24" s="158">
        <v>45681</v>
      </c>
      <c r="C24" s="104" t="str">
        <f t="shared" si="0"/>
        <v>2025年1月</v>
      </c>
      <c r="D24" s="104" t="s">
        <v>11</v>
      </c>
      <c r="E24" s="194" t="s">
        <v>1064</v>
      </c>
      <c r="F24" s="104" t="s">
        <v>1006</v>
      </c>
      <c r="G24" s="195" t="s">
        <v>1007</v>
      </c>
      <c r="H24" s="40" t="s">
        <v>39</v>
      </c>
      <c r="I24" s="152" t="s">
        <v>1097</v>
      </c>
      <c r="J24" s="109" t="s">
        <v>82</v>
      </c>
      <c r="K24" s="202">
        <v>45685.5833333333</v>
      </c>
      <c r="L24" s="159" t="s">
        <v>1098</v>
      </c>
      <c r="M24" s="104" t="s">
        <v>1099</v>
      </c>
      <c r="N24" s="104" t="s">
        <v>1100</v>
      </c>
      <c r="O24" s="197">
        <v>127467.87</v>
      </c>
      <c r="P24" s="104" t="s">
        <v>173</v>
      </c>
      <c r="Q24" s="104" t="s">
        <v>7</v>
      </c>
      <c r="R24" s="198" t="s">
        <v>129</v>
      </c>
      <c r="S24" s="198"/>
      <c r="T24" s="158"/>
      <c r="U24" s="199"/>
      <c r="V24" s="199"/>
      <c r="W24" s="199"/>
      <c r="X24" s="104"/>
      <c r="Y24" s="104"/>
      <c r="Z24" s="104"/>
      <c r="AA24" s="104"/>
      <c r="AB24" s="104"/>
      <c r="AC24" s="104"/>
      <c r="AD24" s="104"/>
    </row>
    <row r="25" ht="21" customHeight="1" spans="1:30">
      <c r="A25" s="6" t="s">
        <v>142</v>
      </c>
      <c r="B25" s="158">
        <v>45681</v>
      </c>
      <c r="C25" s="104" t="str">
        <f t="shared" si="0"/>
        <v>2025年1月</v>
      </c>
      <c r="D25" s="104" t="s">
        <v>12</v>
      </c>
      <c r="E25" s="194" t="s">
        <v>1101</v>
      </c>
      <c r="F25" s="104" t="s">
        <v>1029</v>
      </c>
      <c r="G25" s="195" t="s">
        <v>1007</v>
      </c>
      <c r="H25" s="40" t="s">
        <v>39</v>
      </c>
      <c r="I25" s="152" t="s">
        <v>1102</v>
      </c>
      <c r="J25" s="109" t="s">
        <v>82</v>
      </c>
      <c r="K25" s="202">
        <v>45690.5833333333</v>
      </c>
      <c r="L25" s="159" t="s">
        <v>1103</v>
      </c>
      <c r="M25" s="159" t="s">
        <v>1104</v>
      </c>
      <c r="N25" s="104" t="s">
        <v>1105</v>
      </c>
      <c r="O25" s="197">
        <v>1020</v>
      </c>
      <c r="P25" s="104" t="s">
        <v>139</v>
      </c>
      <c r="Q25" s="104" t="s">
        <v>7</v>
      </c>
      <c r="R25" s="198" t="s">
        <v>161</v>
      </c>
      <c r="S25" s="198"/>
      <c r="T25" s="158"/>
      <c r="U25" s="199"/>
      <c r="V25" s="199"/>
      <c r="W25" s="199"/>
      <c r="X25" s="104"/>
      <c r="Y25" s="104"/>
      <c r="Z25" s="104"/>
      <c r="AA25" s="104"/>
      <c r="AB25" s="104"/>
      <c r="AC25" s="104"/>
      <c r="AD25" s="104"/>
    </row>
    <row r="26" ht="21" customHeight="1" spans="1:30">
      <c r="A26" s="6" t="s">
        <v>1106</v>
      </c>
      <c r="B26" s="158">
        <v>45681</v>
      </c>
      <c r="C26" s="104" t="str">
        <f t="shared" si="0"/>
        <v>2025年1月</v>
      </c>
      <c r="D26" s="104" t="s">
        <v>10</v>
      </c>
      <c r="E26" s="194" t="s">
        <v>1089</v>
      </c>
      <c r="F26" s="104" t="s">
        <v>1006</v>
      </c>
      <c r="G26" s="195" t="s">
        <v>1007</v>
      </c>
      <c r="H26" s="40" t="s">
        <v>40</v>
      </c>
      <c r="I26" s="152" t="s">
        <v>1107</v>
      </c>
      <c r="J26" s="109" t="s">
        <v>82</v>
      </c>
      <c r="K26" s="202"/>
      <c r="L26" s="159" t="s">
        <v>1108</v>
      </c>
      <c r="M26" s="159" t="s">
        <v>1016</v>
      </c>
      <c r="N26" s="104" t="s">
        <v>1109</v>
      </c>
      <c r="O26" s="197">
        <v>331.09</v>
      </c>
      <c r="P26" s="104" t="s">
        <v>80</v>
      </c>
      <c r="Q26" s="104" t="s">
        <v>7</v>
      </c>
      <c r="R26" s="198" t="s">
        <v>261</v>
      </c>
      <c r="S26" s="198" t="s">
        <v>1110</v>
      </c>
      <c r="T26" s="158"/>
      <c r="U26" s="199"/>
      <c r="V26" s="199"/>
      <c r="W26" s="199"/>
      <c r="X26" s="104"/>
      <c r="Y26" s="104"/>
      <c r="Z26" s="104"/>
      <c r="AA26" s="104"/>
      <c r="AB26" s="104"/>
      <c r="AC26" s="104"/>
      <c r="AD26" s="104"/>
    </row>
    <row r="27" ht="21" customHeight="1" spans="1:30">
      <c r="A27" s="6"/>
      <c r="B27" s="158">
        <v>45686</v>
      </c>
      <c r="C27" s="104" t="str">
        <f t="shared" si="0"/>
        <v>2025年1月</v>
      </c>
      <c r="D27" s="104" t="s">
        <v>10</v>
      </c>
      <c r="E27" s="194" t="s">
        <v>1111</v>
      </c>
      <c r="F27" s="104" t="s">
        <v>1006</v>
      </c>
      <c r="G27" s="195" t="s">
        <v>1007</v>
      </c>
      <c r="H27" s="40" t="s">
        <v>40</v>
      </c>
      <c r="I27" s="152" t="s">
        <v>1112</v>
      </c>
      <c r="J27" s="109" t="s">
        <v>82</v>
      </c>
      <c r="K27" s="201">
        <v>45693.7083333333</v>
      </c>
      <c r="L27" s="159" t="s">
        <v>1113</v>
      </c>
      <c r="M27" s="104" t="s">
        <v>1114</v>
      </c>
      <c r="N27" s="104" t="s">
        <v>1115</v>
      </c>
      <c r="O27" s="197">
        <v>320</v>
      </c>
      <c r="P27" s="104" t="s">
        <v>149</v>
      </c>
      <c r="Q27" s="104" t="s">
        <v>7</v>
      </c>
      <c r="R27" s="198" t="s">
        <v>168</v>
      </c>
      <c r="S27" s="198"/>
      <c r="T27" s="158"/>
      <c r="U27" s="199"/>
      <c r="V27" s="199"/>
      <c r="W27" s="199"/>
      <c r="X27" s="104"/>
      <c r="Y27" s="104"/>
      <c r="Z27" s="104"/>
      <c r="AA27" s="104"/>
      <c r="AB27" s="104"/>
      <c r="AC27" s="104"/>
      <c r="AD27" s="104"/>
    </row>
    <row r="28" ht="21" customHeight="1" spans="1:30">
      <c r="A28" s="6" t="s">
        <v>142</v>
      </c>
      <c r="B28" s="158">
        <v>45684</v>
      </c>
      <c r="C28" s="104" t="str">
        <f t="shared" si="0"/>
        <v>2025年1月</v>
      </c>
      <c r="D28" s="104" t="s">
        <v>11</v>
      </c>
      <c r="E28" s="194" t="s">
        <v>1056</v>
      </c>
      <c r="F28" s="104" t="s">
        <v>1006</v>
      </c>
      <c r="G28" s="195" t="s">
        <v>1007</v>
      </c>
      <c r="H28" s="40" t="s">
        <v>40</v>
      </c>
      <c r="I28" s="152" t="s">
        <v>1116</v>
      </c>
      <c r="J28" s="109" t="s">
        <v>82</v>
      </c>
      <c r="K28" s="104"/>
      <c r="L28" s="159" t="s">
        <v>1117</v>
      </c>
      <c r="M28" s="104" t="s">
        <v>1118</v>
      </c>
      <c r="N28" s="104" t="s">
        <v>1119</v>
      </c>
      <c r="O28" s="197">
        <v>1000</v>
      </c>
      <c r="P28" s="104" t="s">
        <v>149</v>
      </c>
      <c r="Q28" s="104" t="s">
        <v>7</v>
      </c>
      <c r="R28" s="198" t="s">
        <v>111</v>
      </c>
      <c r="S28" s="198"/>
      <c r="T28" s="158"/>
      <c r="U28" s="199"/>
      <c r="V28" s="199"/>
      <c r="W28" s="199"/>
      <c r="X28" s="104"/>
      <c r="Y28" s="104"/>
      <c r="Z28" s="104"/>
      <c r="AA28" s="104"/>
      <c r="AB28" s="104"/>
      <c r="AC28" s="104"/>
      <c r="AD28" s="104"/>
    </row>
    <row r="29" ht="21" customHeight="1" spans="1:30">
      <c r="A29" s="6" t="s">
        <v>142</v>
      </c>
      <c r="B29" s="158">
        <v>45692</v>
      </c>
      <c r="C29" s="104" t="str">
        <f t="shared" si="0"/>
        <v>2025年2月</v>
      </c>
      <c r="D29" s="104" t="s">
        <v>12</v>
      </c>
      <c r="E29" s="194" t="s">
        <v>1101</v>
      </c>
      <c r="F29" s="104" t="s">
        <v>1029</v>
      </c>
      <c r="G29" s="195" t="s">
        <v>1007</v>
      </c>
      <c r="H29" s="40" t="s">
        <v>39</v>
      </c>
      <c r="I29" s="152" t="s">
        <v>1120</v>
      </c>
      <c r="J29" s="109" t="s">
        <v>82</v>
      </c>
      <c r="K29" s="202">
        <v>45695.3958333333</v>
      </c>
      <c r="L29" s="196" t="s">
        <v>1103</v>
      </c>
      <c r="M29" s="196" t="s">
        <v>1104</v>
      </c>
      <c r="N29" s="104" t="s">
        <v>1105</v>
      </c>
      <c r="O29" s="197">
        <v>10520</v>
      </c>
      <c r="P29" s="104" t="s">
        <v>139</v>
      </c>
      <c r="Q29" s="104" t="s">
        <v>105</v>
      </c>
      <c r="R29" s="198" t="s">
        <v>161</v>
      </c>
      <c r="S29" s="198"/>
      <c r="T29" s="158"/>
      <c r="U29" s="199"/>
      <c r="V29" s="199"/>
      <c r="W29" s="199"/>
      <c r="X29" s="104"/>
      <c r="Y29" s="104"/>
      <c r="Z29" s="104"/>
      <c r="AA29" s="104"/>
      <c r="AB29" s="104"/>
      <c r="AC29" s="104"/>
      <c r="AD29" s="104"/>
    </row>
    <row r="30" ht="21" customHeight="1" spans="1:30">
      <c r="A30" s="6" t="s">
        <v>142</v>
      </c>
      <c r="B30" s="158">
        <v>45692</v>
      </c>
      <c r="C30" s="104" t="str">
        <f t="shared" si="0"/>
        <v>2025年2月</v>
      </c>
      <c r="D30" s="104" t="s">
        <v>11</v>
      </c>
      <c r="E30" s="194" t="s">
        <v>1121</v>
      </c>
      <c r="F30" s="104" t="s">
        <v>1006</v>
      </c>
      <c r="G30" s="195" t="s">
        <v>1007</v>
      </c>
      <c r="H30" s="40" t="s">
        <v>39</v>
      </c>
      <c r="I30" s="152" t="s">
        <v>1122</v>
      </c>
      <c r="J30" s="109" t="s">
        <v>422</v>
      </c>
      <c r="K30" s="104"/>
      <c r="L30" s="159" t="s">
        <v>1123</v>
      </c>
      <c r="M30" s="104" t="s">
        <v>1124</v>
      </c>
      <c r="N30" s="104" t="s">
        <v>1125</v>
      </c>
      <c r="O30" s="197">
        <v>1325.02</v>
      </c>
      <c r="P30" s="104" t="s">
        <v>173</v>
      </c>
      <c r="Q30" s="104" t="s">
        <v>105</v>
      </c>
      <c r="R30" s="198" t="s">
        <v>270</v>
      </c>
      <c r="S30" s="198"/>
      <c r="T30" s="158"/>
      <c r="U30" s="199"/>
      <c r="V30" s="199"/>
      <c r="W30" s="199"/>
      <c r="X30" s="104"/>
      <c r="Y30" s="104"/>
      <c r="Z30" s="104"/>
      <c r="AA30" s="104"/>
      <c r="AB30" s="104"/>
      <c r="AC30" s="104"/>
      <c r="AD30" s="104"/>
    </row>
    <row r="31" ht="21" customHeight="1" spans="1:30">
      <c r="A31" s="6" t="s">
        <v>142</v>
      </c>
      <c r="B31" s="158">
        <v>45699</v>
      </c>
      <c r="C31" s="104" t="str">
        <f t="shared" si="0"/>
        <v>2025年2月</v>
      </c>
      <c r="D31" s="104" t="s">
        <v>12</v>
      </c>
      <c r="E31" s="194" t="s">
        <v>1101</v>
      </c>
      <c r="F31" s="104" t="s">
        <v>1029</v>
      </c>
      <c r="G31" s="195" t="s">
        <v>1007</v>
      </c>
      <c r="H31" s="40" t="s">
        <v>39</v>
      </c>
      <c r="I31" s="152" t="s">
        <v>1126</v>
      </c>
      <c r="J31" s="109" t="s">
        <v>82</v>
      </c>
      <c r="K31" s="104"/>
      <c r="L31" s="196" t="s">
        <v>1103</v>
      </c>
      <c r="M31" s="196" t="s">
        <v>1104</v>
      </c>
      <c r="N31" s="104" t="s">
        <v>1105</v>
      </c>
      <c r="O31" s="197">
        <v>2020</v>
      </c>
      <c r="P31" s="104" t="s">
        <v>139</v>
      </c>
      <c r="Q31" s="104" t="s">
        <v>105</v>
      </c>
      <c r="R31" s="198" t="s">
        <v>161</v>
      </c>
      <c r="S31" s="198"/>
      <c r="T31" s="199"/>
      <c r="U31" s="199"/>
      <c r="V31" s="199"/>
      <c r="W31" s="199"/>
      <c r="X31" s="104"/>
      <c r="Y31" s="104"/>
      <c r="Z31" s="104"/>
      <c r="AA31" s="104"/>
      <c r="AB31" s="104"/>
      <c r="AC31" s="104"/>
      <c r="AD31" s="104"/>
    </row>
    <row r="32" ht="46.5" customHeight="1" spans="1:30">
      <c r="A32" s="6" t="s">
        <v>207</v>
      </c>
      <c r="B32" s="158">
        <v>45695</v>
      </c>
      <c r="C32" s="104" t="str">
        <f t="shared" si="0"/>
        <v>2025年2月</v>
      </c>
      <c r="D32" s="104" t="s">
        <v>12</v>
      </c>
      <c r="E32" s="194" t="s">
        <v>1101</v>
      </c>
      <c r="F32" s="104" t="s">
        <v>1029</v>
      </c>
      <c r="G32" s="195" t="s">
        <v>1007</v>
      </c>
      <c r="H32" s="40" t="s">
        <v>39</v>
      </c>
      <c r="I32" s="152" t="s">
        <v>1127</v>
      </c>
      <c r="J32" s="109" t="s">
        <v>82</v>
      </c>
      <c r="K32" s="104"/>
      <c r="L32" s="159" t="s">
        <v>1103</v>
      </c>
      <c r="M32" s="104" t="s">
        <v>1104</v>
      </c>
      <c r="N32" s="104" t="s">
        <v>1105</v>
      </c>
      <c r="O32" s="197">
        <v>7080</v>
      </c>
      <c r="P32" s="104" t="s">
        <v>1128</v>
      </c>
      <c r="Q32" s="104" t="s">
        <v>105</v>
      </c>
      <c r="R32" s="198" t="s">
        <v>161</v>
      </c>
      <c r="S32" s="198" t="s">
        <v>1129</v>
      </c>
      <c r="T32" s="199"/>
      <c r="U32" s="199"/>
      <c r="V32" s="199"/>
      <c r="W32" s="199"/>
      <c r="X32" s="104"/>
      <c r="Y32" s="104"/>
      <c r="Z32" s="104"/>
      <c r="AA32" s="104"/>
      <c r="AB32" s="104"/>
      <c r="AC32" s="104"/>
      <c r="AD32" s="104"/>
    </row>
    <row r="33" ht="21" customHeight="1" spans="1:30">
      <c r="A33" s="6" t="s">
        <v>78</v>
      </c>
      <c r="B33" s="158">
        <v>45700</v>
      </c>
      <c r="C33" s="104" t="str">
        <f t="shared" si="0"/>
        <v>2025年2月</v>
      </c>
      <c r="D33" s="104" t="s">
        <v>10</v>
      </c>
      <c r="E33" s="194" t="s">
        <v>1111</v>
      </c>
      <c r="F33" s="104" t="s">
        <v>1006</v>
      </c>
      <c r="G33" s="195" t="s">
        <v>1007</v>
      </c>
      <c r="H33" s="40" t="s">
        <v>40</v>
      </c>
      <c r="I33" s="152" t="s">
        <v>1130</v>
      </c>
      <c r="J33" s="109" t="s">
        <v>82</v>
      </c>
      <c r="K33" s="104"/>
      <c r="L33" s="203" t="s">
        <v>1113</v>
      </c>
      <c r="M33" s="104" t="s">
        <v>1131</v>
      </c>
      <c r="N33" s="104" t="s">
        <v>1115</v>
      </c>
      <c r="O33" s="197">
        <v>190</v>
      </c>
      <c r="P33" s="104" t="s">
        <v>149</v>
      </c>
      <c r="Q33" s="104" t="s">
        <v>7</v>
      </c>
      <c r="R33" s="198" t="s">
        <v>168</v>
      </c>
      <c r="S33" s="198" t="s">
        <v>1132</v>
      </c>
      <c r="T33" s="199"/>
      <c r="U33" s="199"/>
      <c r="V33" s="199"/>
      <c r="W33" s="199"/>
      <c r="X33" s="104"/>
      <c r="Y33" s="104"/>
      <c r="Z33" s="104"/>
      <c r="AA33" s="104"/>
      <c r="AB33" s="104"/>
      <c r="AC33" s="104"/>
      <c r="AD33" s="104"/>
    </row>
    <row r="34" ht="21" customHeight="1" spans="1:30">
      <c r="A34" s="6" t="s">
        <v>584</v>
      </c>
      <c r="B34" s="158">
        <v>45705</v>
      </c>
      <c r="C34" s="104" t="str">
        <f t="shared" si="0"/>
        <v>2025年2月</v>
      </c>
      <c r="D34" s="104" t="s">
        <v>11</v>
      </c>
      <c r="E34" s="194" t="s">
        <v>1064</v>
      </c>
      <c r="F34" s="104" t="s">
        <v>1006</v>
      </c>
      <c r="G34" s="195" t="s">
        <v>1007</v>
      </c>
      <c r="H34" s="40" t="s">
        <v>39</v>
      </c>
      <c r="I34" s="152" t="s">
        <v>1133</v>
      </c>
      <c r="J34" s="109" t="s">
        <v>82</v>
      </c>
      <c r="K34" s="104"/>
      <c r="L34" s="159" t="s">
        <v>1134</v>
      </c>
      <c r="M34" s="104" t="s">
        <v>1135</v>
      </c>
      <c r="N34" s="104" t="s">
        <v>1136</v>
      </c>
      <c r="O34" s="197">
        <v>84163.5</v>
      </c>
      <c r="P34" s="104" t="s">
        <v>173</v>
      </c>
      <c r="Q34" s="104" t="s">
        <v>7</v>
      </c>
      <c r="R34" s="198" t="s">
        <v>129</v>
      </c>
      <c r="S34" s="198" t="s">
        <v>1137</v>
      </c>
      <c r="T34" s="158">
        <v>45713</v>
      </c>
      <c r="U34" s="158">
        <v>45714</v>
      </c>
      <c r="V34" s="199"/>
      <c r="W34" s="199"/>
      <c r="X34" s="104"/>
      <c r="Y34" s="104"/>
      <c r="Z34" s="104"/>
      <c r="AA34" s="104"/>
      <c r="AB34" s="104"/>
      <c r="AC34" s="104"/>
      <c r="AD34" s="104"/>
    </row>
    <row r="35" ht="21" customHeight="1" spans="1:30">
      <c r="A35" s="6" t="s">
        <v>142</v>
      </c>
      <c r="B35" s="158">
        <v>45705</v>
      </c>
      <c r="C35" s="104" t="str">
        <f t="shared" si="0"/>
        <v>2025年2月</v>
      </c>
      <c r="D35" s="104" t="s">
        <v>11</v>
      </c>
      <c r="E35" s="194" t="s">
        <v>1138</v>
      </c>
      <c r="F35" s="104" t="s">
        <v>1006</v>
      </c>
      <c r="G35" s="195" t="s">
        <v>1007</v>
      </c>
      <c r="H35" s="40" t="s">
        <v>39</v>
      </c>
      <c r="I35" s="152" t="s">
        <v>1139</v>
      </c>
      <c r="J35" s="109" t="s">
        <v>422</v>
      </c>
      <c r="K35" s="104"/>
      <c r="L35" s="159" t="s">
        <v>1140</v>
      </c>
      <c r="M35" s="104" t="s">
        <v>1141</v>
      </c>
      <c r="N35" s="104" t="s">
        <v>1142</v>
      </c>
      <c r="O35" s="197">
        <v>8266.48</v>
      </c>
      <c r="P35" s="104" t="s">
        <v>173</v>
      </c>
      <c r="Q35" s="104" t="s">
        <v>7</v>
      </c>
      <c r="R35" s="198" t="s">
        <v>179</v>
      </c>
      <c r="S35" s="198" t="s">
        <v>1143</v>
      </c>
      <c r="T35" s="158">
        <v>45719</v>
      </c>
      <c r="U35" s="104"/>
      <c r="V35" s="104"/>
      <c r="W35" s="104"/>
      <c r="X35" s="104"/>
      <c r="Y35" s="104"/>
      <c r="Z35" s="104"/>
      <c r="AA35" s="104"/>
      <c r="AB35" s="104"/>
      <c r="AC35" s="104"/>
      <c r="AD35" s="104"/>
    </row>
    <row r="36" ht="21" customHeight="1" spans="1:30">
      <c r="A36" s="6" t="s">
        <v>207</v>
      </c>
      <c r="B36" s="158">
        <v>45713</v>
      </c>
      <c r="C36" s="104" t="str">
        <f t="shared" si="0"/>
        <v>2025年2月</v>
      </c>
      <c r="D36" s="104" t="s">
        <v>11</v>
      </c>
      <c r="E36" s="194" t="s">
        <v>1064</v>
      </c>
      <c r="F36" s="104" t="s">
        <v>1006</v>
      </c>
      <c r="G36" s="195" t="s">
        <v>1007</v>
      </c>
      <c r="H36" s="40" t="s">
        <v>39</v>
      </c>
      <c r="I36" s="152" t="s">
        <v>1144</v>
      </c>
      <c r="J36" s="109" t="s">
        <v>82</v>
      </c>
      <c r="K36" s="104"/>
      <c r="L36" s="159" t="s">
        <v>1145</v>
      </c>
      <c r="M36" s="104" t="s">
        <v>1146</v>
      </c>
      <c r="N36" s="104" t="s">
        <v>1147</v>
      </c>
      <c r="O36" s="197">
        <v>58272275</v>
      </c>
      <c r="P36" s="104" t="s">
        <v>1037</v>
      </c>
      <c r="Q36" s="104" t="s">
        <v>7</v>
      </c>
      <c r="R36" s="198" t="s">
        <v>111</v>
      </c>
      <c r="S36" s="198" t="s">
        <v>1148</v>
      </c>
      <c r="T36" s="104"/>
      <c r="U36" s="104"/>
      <c r="V36" s="104"/>
      <c r="W36" s="104"/>
      <c r="X36" s="104"/>
      <c r="Y36" s="104"/>
      <c r="Z36" s="104"/>
      <c r="AA36" s="104"/>
      <c r="AB36" s="104"/>
      <c r="AC36" s="104"/>
      <c r="AD36" s="104"/>
    </row>
    <row r="37" ht="21" customHeight="1" spans="1:30">
      <c r="A37" s="6" t="s">
        <v>78</v>
      </c>
      <c r="B37" s="158">
        <v>45715</v>
      </c>
      <c r="C37" s="104" t="str">
        <f t="shared" si="0"/>
        <v>2025年2月</v>
      </c>
      <c r="D37" s="104" t="s">
        <v>10</v>
      </c>
      <c r="E37" s="194" t="s">
        <v>1020</v>
      </c>
      <c r="F37" s="104" t="s">
        <v>1006</v>
      </c>
      <c r="G37" s="195" t="s">
        <v>1007</v>
      </c>
      <c r="H37" s="40" t="s">
        <v>40</v>
      </c>
      <c r="I37" s="152" t="s">
        <v>1149</v>
      </c>
      <c r="J37" s="109" t="s">
        <v>82</v>
      </c>
      <c r="K37" s="104"/>
      <c r="L37" s="159" t="s">
        <v>1075</v>
      </c>
      <c r="M37" s="104" t="s">
        <v>1023</v>
      </c>
      <c r="N37" s="104" t="s">
        <v>1150</v>
      </c>
      <c r="O37" s="197">
        <v>360</v>
      </c>
      <c r="P37" s="104" t="s">
        <v>149</v>
      </c>
      <c r="Q37" s="104" t="s">
        <v>7</v>
      </c>
      <c r="R37" s="198" t="s">
        <v>194</v>
      </c>
      <c r="S37" s="198"/>
      <c r="T37" s="104"/>
      <c r="U37" s="104"/>
      <c r="V37" s="104"/>
      <c r="W37" s="104"/>
      <c r="X37" s="104"/>
      <c r="Y37" s="104"/>
      <c r="Z37" s="104"/>
      <c r="AA37" s="104"/>
      <c r="AB37" s="104"/>
      <c r="AC37" s="104"/>
      <c r="AD37" s="104"/>
    </row>
    <row r="38" ht="21" customHeight="1" spans="1:30">
      <c r="A38" s="6" t="s">
        <v>142</v>
      </c>
      <c r="B38" s="158">
        <v>45716</v>
      </c>
      <c r="C38" s="104" t="str">
        <f t="shared" si="0"/>
        <v>2025年2月</v>
      </c>
      <c r="D38" s="104" t="s">
        <v>11</v>
      </c>
      <c r="E38" s="194" t="s">
        <v>1064</v>
      </c>
      <c r="F38" s="104" t="s">
        <v>1006</v>
      </c>
      <c r="G38" s="195" t="s">
        <v>1007</v>
      </c>
      <c r="H38" s="40" t="s">
        <v>39</v>
      </c>
      <c r="I38" s="153" t="s">
        <v>1151</v>
      </c>
      <c r="J38" s="109" t="s">
        <v>82</v>
      </c>
      <c r="K38" s="104"/>
      <c r="L38" s="159" t="s">
        <v>1098</v>
      </c>
      <c r="M38" s="104" t="s">
        <v>1099</v>
      </c>
      <c r="N38" s="104" t="s">
        <v>1100</v>
      </c>
      <c r="O38" s="197">
        <v>64875.98</v>
      </c>
      <c r="P38" s="104" t="s">
        <v>173</v>
      </c>
      <c r="Q38" s="104" t="s">
        <v>7</v>
      </c>
      <c r="R38" s="198" t="s">
        <v>129</v>
      </c>
      <c r="S38" s="198"/>
      <c r="T38" s="104"/>
      <c r="U38" s="104"/>
      <c r="V38" s="104"/>
      <c r="W38" s="104"/>
      <c r="X38" s="104"/>
      <c r="Y38" s="104"/>
      <c r="Z38" s="104"/>
      <c r="AA38" s="104"/>
      <c r="AB38" s="104"/>
      <c r="AC38" s="104"/>
      <c r="AD38" s="104"/>
    </row>
    <row r="39" ht="21" customHeight="1" spans="1:30">
      <c r="A39" s="6" t="s">
        <v>142</v>
      </c>
      <c r="B39" s="158">
        <v>45722</v>
      </c>
      <c r="C39" s="104" t="str">
        <f t="shared" si="0"/>
        <v>2025年3月</v>
      </c>
      <c r="D39" s="104" t="s">
        <v>10</v>
      </c>
      <c r="E39" s="194" t="s">
        <v>1005</v>
      </c>
      <c r="F39" s="104" t="s">
        <v>1006</v>
      </c>
      <c r="G39" s="195" t="s">
        <v>1007</v>
      </c>
      <c r="H39" s="40" t="s">
        <v>40</v>
      </c>
      <c r="I39" s="152" t="s">
        <v>1152</v>
      </c>
      <c r="J39" s="109" t="s">
        <v>422</v>
      </c>
      <c r="K39" s="104"/>
      <c r="L39" s="159" t="s">
        <v>1153</v>
      </c>
      <c r="M39" s="104" t="s">
        <v>1154</v>
      </c>
      <c r="N39" s="104" t="s">
        <v>1155</v>
      </c>
      <c r="O39" s="197">
        <v>280</v>
      </c>
      <c r="P39" s="104" t="s">
        <v>139</v>
      </c>
      <c r="Q39" s="104" t="s">
        <v>7</v>
      </c>
      <c r="R39" s="198" t="s">
        <v>85</v>
      </c>
      <c r="S39" s="198"/>
      <c r="T39" s="104"/>
      <c r="U39" s="104"/>
      <c r="V39" s="104"/>
      <c r="W39" s="104"/>
      <c r="X39" s="104"/>
      <c r="Y39" s="104"/>
      <c r="Z39" s="104"/>
      <c r="AA39" s="104"/>
      <c r="AB39" s="104"/>
      <c r="AC39" s="104"/>
      <c r="AD39" s="104"/>
    </row>
    <row r="40" ht="21" customHeight="1" spans="1:30">
      <c r="A40" s="6" t="s">
        <v>142</v>
      </c>
      <c r="B40" s="158">
        <v>45723</v>
      </c>
      <c r="C40" s="104" t="str">
        <f t="shared" si="0"/>
        <v>2025年3月</v>
      </c>
      <c r="D40" s="104" t="s">
        <v>10</v>
      </c>
      <c r="E40" s="194" t="s">
        <v>1020</v>
      </c>
      <c r="F40" s="104" t="s">
        <v>1006</v>
      </c>
      <c r="G40" s="195" t="s">
        <v>1007</v>
      </c>
      <c r="H40" s="40" t="s">
        <v>40</v>
      </c>
      <c r="I40" s="153" t="s">
        <v>1156</v>
      </c>
      <c r="J40" s="109" t="s">
        <v>82</v>
      </c>
      <c r="K40" s="104"/>
      <c r="L40" s="159" t="s">
        <v>1022</v>
      </c>
      <c r="M40" s="104" t="s">
        <v>1023</v>
      </c>
      <c r="N40" s="104" t="s">
        <v>1157</v>
      </c>
      <c r="O40" s="197">
        <v>165.5</v>
      </c>
      <c r="P40" s="104" t="s">
        <v>149</v>
      </c>
      <c r="Q40" s="104" t="s">
        <v>7</v>
      </c>
      <c r="R40" s="198" t="s">
        <v>194</v>
      </c>
      <c r="S40" s="198"/>
      <c r="T40" s="104"/>
      <c r="U40" s="104"/>
      <c r="V40" s="104"/>
      <c r="W40" s="104"/>
      <c r="X40" s="104"/>
      <c r="Y40" s="104"/>
      <c r="Z40" s="104"/>
      <c r="AA40" s="104"/>
      <c r="AB40" s="104"/>
      <c r="AC40" s="104"/>
      <c r="AD40" s="104"/>
    </row>
    <row r="41" ht="53.25" customHeight="1" spans="1:30">
      <c r="A41" s="6" t="s">
        <v>207</v>
      </c>
      <c r="B41" s="158">
        <v>45727</v>
      </c>
      <c r="C41" s="104" t="str">
        <f t="shared" si="0"/>
        <v>2025年3月</v>
      </c>
      <c r="D41" s="104" t="s">
        <v>12</v>
      </c>
      <c r="E41" s="194" t="s">
        <v>1045</v>
      </c>
      <c r="F41" s="104" t="s">
        <v>1029</v>
      </c>
      <c r="G41" s="195" t="s">
        <v>1007</v>
      </c>
      <c r="H41" s="40" t="s">
        <v>46</v>
      </c>
      <c r="I41" s="152" t="s">
        <v>1158</v>
      </c>
      <c r="J41" s="109" t="s">
        <v>422</v>
      </c>
      <c r="K41" s="104"/>
      <c r="L41" s="159" t="s">
        <v>1159</v>
      </c>
      <c r="M41" s="104" t="s">
        <v>1160</v>
      </c>
      <c r="N41" s="104" t="s">
        <v>1161</v>
      </c>
      <c r="O41" s="197">
        <v>68073.5</v>
      </c>
      <c r="P41" s="104" t="s">
        <v>173</v>
      </c>
      <c r="Q41" s="104" t="s">
        <v>7</v>
      </c>
      <c r="R41" s="198" t="s">
        <v>186</v>
      </c>
      <c r="S41" s="198" t="s">
        <v>1162</v>
      </c>
      <c r="T41" s="158">
        <v>45734</v>
      </c>
      <c r="U41" s="158">
        <v>45735</v>
      </c>
      <c r="V41" s="104"/>
      <c r="W41" s="104"/>
      <c r="X41" s="104"/>
      <c r="Y41" s="104"/>
      <c r="Z41" s="104"/>
      <c r="AA41" s="104"/>
      <c r="AB41" s="104"/>
      <c r="AC41" s="104"/>
      <c r="AD41" s="104"/>
    </row>
    <row r="42" ht="21" customHeight="1" spans="1:30">
      <c r="A42" s="6" t="s">
        <v>142</v>
      </c>
      <c r="B42" s="158">
        <v>45727</v>
      </c>
      <c r="C42" s="104" t="str">
        <f t="shared" si="0"/>
        <v>2025年3月</v>
      </c>
      <c r="D42" s="104" t="s">
        <v>10</v>
      </c>
      <c r="E42" s="194" t="s">
        <v>1005</v>
      </c>
      <c r="F42" s="104" t="s">
        <v>1006</v>
      </c>
      <c r="G42" s="195" t="s">
        <v>1007</v>
      </c>
      <c r="H42" s="40" t="s">
        <v>40</v>
      </c>
      <c r="I42" s="152" t="s">
        <v>1163</v>
      </c>
      <c r="J42" s="109" t="s">
        <v>787</v>
      </c>
      <c r="K42" s="104"/>
      <c r="L42" s="159" t="s">
        <v>1164</v>
      </c>
      <c r="M42" s="104" t="s">
        <v>1165</v>
      </c>
      <c r="N42" s="104" t="s">
        <v>1166</v>
      </c>
      <c r="O42" s="197">
        <v>100</v>
      </c>
      <c r="P42" s="104" t="s">
        <v>139</v>
      </c>
      <c r="Q42" s="104" t="s">
        <v>7</v>
      </c>
      <c r="R42" s="198" t="s">
        <v>85</v>
      </c>
      <c r="S42" s="198"/>
      <c r="T42" s="158">
        <v>45735</v>
      </c>
      <c r="U42" s="158">
        <v>45735</v>
      </c>
      <c r="V42" s="104"/>
      <c r="W42" s="104"/>
      <c r="X42" s="104"/>
      <c r="Y42" s="104"/>
      <c r="Z42" s="104"/>
      <c r="AA42" s="104"/>
      <c r="AB42" s="104"/>
      <c r="AC42" s="104"/>
      <c r="AD42" s="104"/>
    </row>
    <row r="43" ht="70" spans="1:30">
      <c r="A43" s="6" t="s">
        <v>207</v>
      </c>
      <c r="B43" s="158">
        <v>45728</v>
      </c>
      <c r="C43" s="104" t="str">
        <f t="shared" si="0"/>
        <v>2025年3月</v>
      </c>
      <c r="D43" s="104" t="s">
        <v>10</v>
      </c>
      <c r="E43" s="194" t="s">
        <v>1167</v>
      </c>
      <c r="F43" s="104" t="s">
        <v>1029</v>
      </c>
      <c r="G43" s="195" t="s">
        <v>1007</v>
      </c>
      <c r="H43" s="40" t="s">
        <v>44</v>
      </c>
      <c r="I43" s="152" t="s">
        <v>1168</v>
      </c>
      <c r="J43" s="109" t="s">
        <v>82</v>
      </c>
      <c r="K43" s="104"/>
      <c r="L43" s="159" t="s">
        <v>1169</v>
      </c>
      <c r="M43" s="104" t="s">
        <v>1170</v>
      </c>
      <c r="N43" s="104" t="s">
        <v>1171</v>
      </c>
      <c r="O43" s="197">
        <v>89000000</v>
      </c>
      <c r="P43" s="104" t="s">
        <v>1172</v>
      </c>
      <c r="Q43" s="104" t="s">
        <v>7</v>
      </c>
      <c r="R43" s="198" t="s">
        <v>120</v>
      </c>
      <c r="S43" s="198" t="s">
        <v>1173</v>
      </c>
      <c r="T43" s="104"/>
      <c r="U43" s="104"/>
      <c r="V43" s="104"/>
      <c r="W43" s="104"/>
      <c r="X43" s="104"/>
      <c r="Y43" s="104"/>
      <c r="Z43" s="104"/>
      <c r="AA43" s="104"/>
      <c r="AB43" s="104"/>
      <c r="AC43" s="104"/>
      <c r="AD43" s="104"/>
    </row>
    <row r="44" ht="84" spans="1:30">
      <c r="A44" s="6" t="s">
        <v>207</v>
      </c>
      <c r="B44" s="158">
        <v>45728</v>
      </c>
      <c r="C44" s="104" t="str">
        <f t="shared" si="0"/>
        <v>2025年3月</v>
      </c>
      <c r="D44" s="104" t="s">
        <v>10</v>
      </c>
      <c r="E44" s="194" t="s">
        <v>1167</v>
      </c>
      <c r="F44" s="104" t="s">
        <v>1029</v>
      </c>
      <c r="G44" s="195" t="s">
        <v>1007</v>
      </c>
      <c r="H44" s="40" t="s">
        <v>44</v>
      </c>
      <c r="I44" s="152" t="s">
        <v>1174</v>
      </c>
      <c r="J44" s="109" t="s">
        <v>82</v>
      </c>
      <c r="K44" s="104"/>
      <c r="L44" s="159" t="s">
        <v>1175</v>
      </c>
      <c r="M44" s="104" t="s">
        <v>1176</v>
      </c>
      <c r="N44" s="104" t="s">
        <v>1177</v>
      </c>
      <c r="O44" s="197">
        <v>22437700</v>
      </c>
      <c r="P44" s="104" t="s">
        <v>1172</v>
      </c>
      <c r="Q44" s="104" t="s">
        <v>7</v>
      </c>
      <c r="R44" s="198" t="s">
        <v>120</v>
      </c>
      <c r="S44" s="198" t="s">
        <v>1178</v>
      </c>
      <c r="T44" s="158">
        <v>45729</v>
      </c>
      <c r="U44" s="158">
        <v>45733</v>
      </c>
      <c r="V44" s="104"/>
      <c r="W44" s="104"/>
      <c r="X44" s="104"/>
      <c r="Y44" s="104"/>
      <c r="Z44" s="104"/>
      <c r="AA44" s="104"/>
      <c r="AB44" s="104"/>
      <c r="AC44" s="104"/>
      <c r="AD44" s="104"/>
    </row>
    <row r="45" ht="21" customHeight="1" spans="1:30">
      <c r="A45" s="6" t="s">
        <v>207</v>
      </c>
      <c r="B45" s="158">
        <v>45733</v>
      </c>
      <c r="C45" s="104" t="str">
        <f t="shared" si="0"/>
        <v>2025年3月</v>
      </c>
      <c r="D45" s="104" t="s">
        <v>12</v>
      </c>
      <c r="E45" s="194" t="s">
        <v>1045</v>
      </c>
      <c r="F45" s="104" t="s">
        <v>1029</v>
      </c>
      <c r="G45" s="195" t="s">
        <v>1007</v>
      </c>
      <c r="H45" s="40" t="s">
        <v>46</v>
      </c>
      <c r="I45" s="152" t="s">
        <v>1179</v>
      </c>
      <c r="J45" s="109" t="s">
        <v>422</v>
      </c>
      <c r="K45" s="104"/>
      <c r="L45" s="159" t="s">
        <v>1159</v>
      </c>
      <c r="M45" s="104" t="s">
        <v>1160</v>
      </c>
      <c r="N45" s="104" t="s">
        <v>1180</v>
      </c>
      <c r="O45" s="197">
        <v>7040.16</v>
      </c>
      <c r="P45" s="104" t="s">
        <v>173</v>
      </c>
      <c r="Q45" s="104" t="s">
        <v>7</v>
      </c>
      <c r="R45" s="198" t="s">
        <v>186</v>
      </c>
      <c r="S45" s="198" t="s">
        <v>1181</v>
      </c>
      <c r="T45" s="104"/>
      <c r="U45" s="104"/>
      <c r="V45" s="104"/>
      <c r="W45" s="104"/>
      <c r="X45" s="104"/>
      <c r="Y45" s="104"/>
      <c r="Z45" s="104"/>
      <c r="AA45" s="104"/>
      <c r="AB45" s="104"/>
      <c r="AC45" s="104"/>
      <c r="AD45" s="104"/>
    </row>
    <row r="46" ht="21" customHeight="1" spans="1:30">
      <c r="A46" s="6" t="s">
        <v>142</v>
      </c>
      <c r="B46" s="158">
        <v>45741</v>
      </c>
      <c r="C46" s="104" t="str">
        <f t="shared" si="0"/>
        <v>2025年3月</v>
      </c>
      <c r="D46" s="104" t="s">
        <v>12</v>
      </c>
      <c r="E46" s="194" t="s">
        <v>1045</v>
      </c>
      <c r="F46" s="104" t="s">
        <v>1006</v>
      </c>
      <c r="G46" s="195" t="s">
        <v>1007</v>
      </c>
      <c r="H46" s="40" t="s">
        <v>39</v>
      </c>
      <c r="I46" s="152" t="s">
        <v>1182</v>
      </c>
      <c r="J46" s="109" t="s">
        <v>82</v>
      </c>
      <c r="K46" s="104"/>
      <c r="L46" s="159" t="s">
        <v>1183</v>
      </c>
      <c r="M46" s="104" t="s">
        <v>1184</v>
      </c>
      <c r="N46" s="104" t="s">
        <v>1185</v>
      </c>
      <c r="O46" s="197">
        <v>1993910</v>
      </c>
      <c r="P46" s="104" t="s">
        <v>1186</v>
      </c>
      <c r="Q46" s="104" t="s">
        <v>7</v>
      </c>
      <c r="R46" s="198" t="s">
        <v>146</v>
      </c>
      <c r="S46" s="198" t="s">
        <v>1187</v>
      </c>
      <c r="T46" s="104"/>
      <c r="U46" s="104"/>
      <c r="V46" s="104"/>
      <c r="W46" s="104"/>
      <c r="X46" s="104"/>
      <c r="Y46" s="104"/>
      <c r="Z46" s="104"/>
      <c r="AA46" s="104"/>
      <c r="AB46" s="104"/>
      <c r="AC46" s="104"/>
      <c r="AD46" s="104"/>
    </row>
    <row r="47" ht="21" customHeight="1" spans="1:30">
      <c r="A47" s="6" t="s">
        <v>78</v>
      </c>
      <c r="B47" s="158">
        <v>45743</v>
      </c>
      <c r="C47" s="104" t="str">
        <f t="shared" si="0"/>
        <v>2025年3月</v>
      </c>
      <c r="D47" s="104" t="s">
        <v>10</v>
      </c>
      <c r="E47" s="194" t="s">
        <v>1188</v>
      </c>
      <c r="F47" s="104" t="s">
        <v>1006</v>
      </c>
      <c r="G47" s="195" t="s">
        <v>1007</v>
      </c>
      <c r="H47" s="40" t="s">
        <v>40</v>
      </c>
      <c r="I47" s="152" t="s">
        <v>1189</v>
      </c>
      <c r="J47" s="109" t="s">
        <v>82</v>
      </c>
      <c r="K47" s="104"/>
      <c r="L47" s="159" t="s">
        <v>304</v>
      </c>
      <c r="M47" s="104" t="s">
        <v>305</v>
      </c>
      <c r="N47" s="104" t="s">
        <v>1190</v>
      </c>
      <c r="O47" s="197">
        <v>629.66</v>
      </c>
      <c r="P47" s="104" t="s">
        <v>303</v>
      </c>
      <c r="Q47" s="104" t="s">
        <v>105</v>
      </c>
      <c r="R47" s="198" t="s">
        <v>111</v>
      </c>
      <c r="S47" s="198"/>
      <c r="T47" s="104"/>
      <c r="U47" s="104"/>
      <c r="V47" s="104"/>
      <c r="W47" s="104"/>
      <c r="X47" s="104"/>
      <c r="Y47" s="104"/>
      <c r="Z47" s="104"/>
      <c r="AA47" s="104"/>
      <c r="AB47" s="104"/>
      <c r="AC47" s="104"/>
      <c r="AD47" s="104"/>
    </row>
    <row r="48" ht="21" customHeight="1" spans="1:30">
      <c r="A48" s="6" t="s">
        <v>142</v>
      </c>
      <c r="B48" s="158">
        <v>45747</v>
      </c>
      <c r="C48" s="104" t="str">
        <f t="shared" si="0"/>
        <v>2025年3月</v>
      </c>
      <c r="D48" s="104" t="s">
        <v>12</v>
      </c>
      <c r="E48" s="194" t="s">
        <v>1191</v>
      </c>
      <c r="F48" s="104" t="s">
        <v>1006</v>
      </c>
      <c r="G48" s="195" t="s">
        <v>1011</v>
      </c>
      <c r="H48" s="40" t="s">
        <v>46</v>
      </c>
      <c r="I48" s="152" t="s">
        <v>1192</v>
      </c>
      <c r="J48" s="109" t="s">
        <v>82</v>
      </c>
      <c r="K48" s="104"/>
      <c r="L48" s="159" t="s">
        <v>1193</v>
      </c>
      <c r="M48" s="104" t="s">
        <v>1194</v>
      </c>
      <c r="N48" s="104" t="s">
        <v>1195</v>
      </c>
      <c r="O48" s="197">
        <v>10000</v>
      </c>
      <c r="P48" s="104" t="s">
        <v>173</v>
      </c>
      <c r="Q48" s="104" t="s">
        <v>7</v>
      </c>
      <c r="R48" s="198" t="s">
        <v>89</v>
      </c>
      <c r="S48" s="198"/>
      <c r="T48" s="104"/>
      <c r="U48" s="104"/>
      <c r="V48" s="104"/>
      <c r="W48" s="104"/>
      <c r="X48" s="104"/>
      <c r="Y48" s="104"/>
      <c r="Z48" s="104"/>
      <c r="AA48" s="104"/>
      <c r="AB48" s="104"/>
      <c r="AC48" s="104"/>
      <c r="AD48" s="104"/>
    </row>
    <row r="49" ht="21" customHeight="1" spans="1:30">
      <c r="A49" s="6" t="s">
        <v>142</v>
      </c>
      <c r="B49" s="158">
        <v>45749</v>
      </c>
      <c r="C49" s="104" t="str">
        <f t="shared" si="0"/>
        <v>2025年4月</v>
      </c>
      <c r="D49" s="104" t="s">
        <v>12</v>
      </c>
      <c r="E49" s="194" t="s">
        <v>1028</v>
      </c>
      <c r="F49" s="104" t="s">
        <v>1029</v>
      </c>
      <c r="G49" s="195" t="s">
        <v>1007</v>
      </c>
      <c r="H49" s="40" t="s">
        <v>39</v>
      </c>
      <c r="I49" s="152" t="s">
        <v>1196</v>
      </c>
      <c r="J49" s="109" t="s">
        <v>82</v>
      </c>
      <c r="K49" s="104"/>
      <c r="L49" s="159" t="s">
        <v>1071</v>
      </c>
      <c r="M49" s="104" t="s">
        <v>1072</v>
      </c>
      <c r="N49" s="104"/>
      <c r="O49" s="197">
        <v>79275</v>
      </c>
      <c r="P49" s="104" t="s">
        <v>173</v>
      </c>
      <c r="Q49" s="104" t="s">
        <v>7</v>
      </c>
      <c r="R49" s="198" t="s">
        <v>146</v>
      </c>
      <c r="S49" s="198"/>
      <c r="T49" s="104"/>
      <c r="U49" s="104"/>
      <c r="V49" s="104"/>
      <c r="W49" s="104"/>
      <c r="X49" s="104"/>
      <c r="Y49" s="104"/>
      <c r="Z49" s="104"/>
      <c r="AA49" s="104"/>
      <c r="AB49" s="104"/>
      <c r="AC49" s="104"/>
      <c r="AD49" s="104"/>
    </row>
    <row r="50" ht="21" customHeight="1" spans="1:30">
      <c r="A50" s="6" t="s">
        <v>207</v>
      </c>
      <c r="B50" s="158">
        <v>45749</v>
      </c>
      <c r="C50" s="104" t="str">
        <f t="shared" si="0"/>
        <v>2025年4月</v>
      </c>
      <c r="D50" s="104" t="s">
        <v>11</v>
      </c>
      <c r="E50" s="194" t="s">
        <v>1064</v>
      </c>
      <c r="F50" s="104" t="s">
        <v>1006</v>
      </c>
      <c r="G50" s="195" t="s">
        <v>1007</v>
      </c>
      <c r="H50" s="40" t="s">
        <v>39</v>
      </c>
      <c r="I50" s="152" t="s">
        <v>1197</v>
      </c>
      <c r="J50" s="109" t="s">
        <v>82</v>
      </c>
      <c r="K50" s="104"/>
      <c r="L50" s="159" t="s">
        <v>1198</v>
      </c>
      <c r="M50" s="198" t="s">
        <v>1199</v>
      </c>
      <c r="N50" s="104" t="s">
        <v>1200</v>
      </c>
      <c r="O50" s="197">
        <v>82006.8</v>
      </c>
      <c r="P50" s="104" t="s">
        <v>173</v>
      </c>
      <c r="Q50" s="104" t="s">
        <v>7</v>
      </c>
      <c r="R50" s="198" t="s">
        <v>89</v>
      </c>
      <c r="S50" s="198" t="s">
        <v>1201</v>
      </c>
      <c r="T50" s="199">
        <v>45756</v>
      </c>
      <c r="U50" s="199">
        <v>45757</v>
      </c>
      <c r="V50" s="104"/>
      <c r="W50" s="104"/>
      <c r="X50" s="104"/>
      <c r="Y50" s="104"/>
      <c r="Z50" s="104"/>
      <c r="AA50" s="104"/>
      <c r="AB50" s="104"/>
      <c r="AC50" s="104"/>
      <c r="AD50" s="104"/>
    </row>
    <row r="51" ht="21" customHeight="1" spans="1:30">
      <c r="A51" s="6" t="s">
        <v>78</v>
      </c>
      <c r="B51" s="158">
        <v>45750</v>
      </c>
      <c r="C51" s="104" t="str">
        <f t="shared" si="0"/>
        <v>2025年4月</v>
      </c>
      <c r="D51" s="104" t="s">
        <v>10</v>
      </c>
      <c r="E51" s="152" t="s">
        <v>1202</v>
      </c>
      <c r="F51" s="104" t="s">
        <v>1006</v>
      </c>
      <c r="G51" s="195" t="s">
        <v>1007</v>
      </c>
      <c r="H51" s="40" t="s">
        <v>40</v>
      </c>
      <c r="I51" s="152" t="s">
        <v>1203</v>
      </c>
      <c r="J51" s="109" t="s">
        <v>82</v>
      </c>
      <c r="K51" s="104"/>
      <c r="L51" s="159" t="s">
        <v>189</v>
      </c>
      <c r="M51" s="104" t="s">
        <v>1027</v>
      </c>
      <c r="N51" s="104" t="s">
        <v>190</v>
      </c>
      <c r="O51" s="197">
        <v>186.57</v>
      </c>
      <c r="P51" s="104" t="s">
        <v>80</v>
      </c>
      <c r="Q51" s="104" t="s">
        <v>105</v>
      </c>
      <c r="R51" s="198" t="s">
        <v>89</v>
      </c>
      <c r="S51" s="198"/>
      <c r="T51" s="104"/>
      <c r="U51" s="104"/>
      <c r="V51" s="104"/>
      <c r="W51" s="104"/>
      <c r="X51" s="104"/>
      <c r="Y51" s="104"/>
      <c r="Z51" s="104"/>
      <c r="AA51" s="104"/>
      <c r="AB51" s="104"/>
      <c r="AC51" s="104"/>
      <c r="AD51" s="104"/>
    </row>
    <row r="52" ht="21" customHeight="1" spans="1:30">
      <c r="A52" s="6" t="s">
        <v>142</v>
      </c>
      <c r="B52" s="158">
        <v>45758</v>
      </c>
      <c r="C52" s="104" t="str">
        <f t="shared" si="0"/>
        <v>2025年4月</v>
      </c>
      <c r="D52" s="104" t="s">
        <v>11</v>
      </c>
      <c r="E52" s="194" t="s">
        <v>1204</v>
      </c>
      <c r="F52" s="104" t="s">
        <v>1006</v>
      </c>
      <c r="G52" s="195" t="s">
        <v>1007</v>
      </c>
      <c r="H52" s="40" t="s">
        <v>39</v>
      </c>
      <c r="I52" s="152" t="s">
        <v>1205</v>
      </c>
      <c r="J52" s="109" t="s">
        <v>82</v>
      </c>
      <c r="K52" s="104"/>
      <c r="L52" s="200" t="s">
        <v>1206</v>
      </c>
      <c r="M52" s="104" t="s">
        <v>1207</v>
      </c>
      <c r="N52" s="104" t="s">
        <v>1208</v>
      </c>
      <c r="O52" s="197">
        <v>155803.74</v>
      </c>
      <c r="P52" s="104" t="s">
        <v>173</v>
      </c>
      <c r="Q52" s="104" t="s">
        <v>7</v>
      </c>
      <c r="R52" s="198" t="s">
        <v>129</v>
      </c>
      <c r="S52" s="198"/>
      <c r="T52" s="104"/>
      <c r="U52" s="104"/>
      <c r="V52" s="104"/>
      <c r="W52" s="104"/>
      <c r="X52" s="104"/>
      <c r="Y52" s="104"/>
      <c r="Z52" s="104"/>
      <c r="AA52" s="104"/>
      <c r="AB52" s="104"/>
      <c r="AC52" s="104"/>
      <c r="AD52" s="104"/>
    </row>
    <row r="53" ht="21" customHeight="1" spans="1:30">
      <c r="A53" s="6" t="s">
        <v>207</v>
      </c>
      <c r="B53" s="158">
        <v>45761</v>
      </c>
      <c r="C53" s="104" t="str">
        <f t="shared" si="0"/>
        <v>2025年4月</v>
      </c>
      <c r="D53" s="104" t="s">
        <v>12</v>
      </c>
      <c r="E53" s="194" t="s">
        <v>1101</v>
      </c>
      <c r="F53" s="104" t="s">
        <v>1029</v>
      </c>
      <c r="G53" s="195" t="s">
        <v>1007</v>
      </c>
      <c r="H53" s="40" t="s">
        <v>39</v>
      </c>
      <c r="I53" s="152" t="s">
        <v>1209</v>
      </c>
      <c r="J53" s="109" t="s">
        <v>82</v>
      </c>
      <c r="K53" s="104"/>
      <c r="L53" s="159" t="s">
        <v>1210</v>
      </c>
      <c r="M53" s="104" t="s">
        <v>1211</v>
      </c>
      <c r="N53" s="104" t="s">
        <v>1212</v>
      </c>
      <c r="O53" s="197">
        <v>12408.8</v>
      </c>
      <c r="P53" s="104" t="s">
        <v>173</v>
      </c>
      <c r="Q53" s="104" t="s">
        <v>7</v>
      </c>
      <c r="R53" s="198" t="s">
        <v>111</v>
      </c>
      <c r="S53" s="198" t="s">
        <v>1213</v>
      </c>
      <c r="T53" s="104"/>
      <c r="U53" s="104"/>
      <c r="V53" s="104"/>
      <c r="W53" s="104"/>
      <c r="X53" s="104"/>
      <c r="Y53" s="104"/>
      <c r="Z53" s="104"/>
      <c r="AA53" s="104"/>
      <c r="AB53" s="104"/>
      <c r="AC53" s="104"/>
      <c r="AD53" s="104"/>
    </row>
    <row r="54" ht="21" customHeight="1" spans="1:30">
      <c r="A54" s="6" t="s">
        <v>78</v>
      </c>
      <c r="B54" s="158">
        <v>45762</v>
      </c>
      <c r="C54" s="104" t="str">
        <f t="shared" si="0"/>
        <v>2025年4月</v>
      </c>
      <c r="D54" s="104" t="s">
        <v>10</v>
      </c>
      <c r="E54" s="104" t="s">
        <v>1214</v>
      </c>
      <c r="F54" s="104" t="s">
        <v>1006</v>
      </c>
      <c r="G54" s="195" t="s">
        <v>1007</v>
      </c>
      <c r="H54" s="40" t="s">
        <v>40</v>
      </c>
      <c r="I54" s="152" t="s">
        <v>1215</v>
      </c>
      <c r="J54" s="109" t="s">
        <v>82</v>
      </c>
      <c r="K54" s="104"/>
      <c r="L54" s="159" t="s">
        <v>1216</v>
      </c>
      <c r="M54" s="104" t="s">
        <v>1023</v>
      </c>
      <c r="N54" s="104" t="s">
        <v>1217</v>
      </c>
      <c r="O54" s="197">
        <v>74.92</v>
      </c>
      <c r="P54" s="104" t="s">
        <v>80</v>
      </c>
      <c r="Q54" s="104" t="s">
        <v>105</v>
      </c>
      <c r="R54" s="198" t="s">
        <v>111</v>
      </c>
      <c r="S54" s="198"/>
      <c r="T54" s="104"/>
      <c r="U54" s="104"/>
      <c r="V54" s="104"/>
      <c r="W54" s="104"/>
      <c r="X54" s="104"/>
      <c r="Y54" s="104"/>
      <c r="Z54" s="104"/>
      <c r="AA54" s="104"/>
      <c r="AB54" s="104"/>
      <c r="AC54" s="104"/>
      <c r="AD54" s="104"/>
    </row>
    <row r="55" ht="21" customHeight="1" spans="1:30">
      <c r="A55" s="6" t="s">
        <v>78</v>
      </c>
      <c r="B55" s="158">
        <v>45763</v>
      </c>
      <c r="C55" s="104" t="str">
        <f t="shared" si="0"/>
        <v>2025年4月</v>
      </c>
      <c r="D55" s="104" t="s">
        <v>10</v>
      </c>
      <c r="E55" s="104" t="s">
        <v>1218</v>
      </c>
      <c r="F55" s="104" t="s">
        <v>1006</v>
      </c>
      <c r="G55" s="195" t="s">
        <v>1011</v>
      </c>
      <c r="H55" s="40" t="s">
        <v>40</v>
      </c>
      <c r="I55" s="152" t="s">
        <v>1219</v>
      </c>
      <c r="J55" s="109" t="s">
        <v>82</v>
      </c>
      <c r="K55" s="104"/>
      <c r="L55" s="159" t="s">
        <v>1220</v>
      </c>
      <c r="M55" s="104" t="s">
        <v>1221</v>
      </c>
      <c r="N55" s="104" t="s">
        <v>1222</v>
      </c>
      <c r="O55" s="197">
        <v>41.07</v>
      </c>
      <c r="P55" s="104" t="s">
        <v>80</v>
      </c>
      <c r="Q55" s="104" t="s">
        <v>105</v>
      </c>
      <c r="R55" s="198" t="s">
        <v>111</v>
      </c>
      <c r="S55" s="198" t="s">
        <v>1223</v>
      </c>
      <c r="T55" s="104"/>
      <c r="U55" s="104"/>
      <c r="V55" s="104"/>
      <c r="W55" s="104"/>
      <c r="X55" s="104"/>
      <c r="Y55" s="104"/>
      <c r="Z55" s="104"/>
      <c r="AA55" s="104"/>
      <c r="AB55" s="104"/>
      <c r="AC55" s="104"/>
      <c r="AD55" s="104"/>
    </row>
    <row r="56" ht="21" customHeight="1" spans="1:30">
      <c r="A56" s="6" t="s">
        <v>207</v>
      </c>
      <c r="B56" s="158">
        <v>45764</v>
      </c>
      <c r="C56" s="104" t="str">
        <f t="shared" si="0"/>
        <v>2025年4月</v>
      </c>
      <c r="D56" s="104" t="s">
        <v>11</v>
      </c>
      <c r="E56" s="194" t="s">
        <v>1204</v>
      </c>
      <c r="F56" s="104" t="s">
        <v>1006</v>
      </c>
      <c r="G56" s="195" t="s">
        <v>1007</v>
      </c>
      <c r="H56" s="40" t="s">
        <v>39</v>
      </c>
      <c r="I56" s="152" t="s">
        <v>1224</v>
      </c>
      <c r="J56" s="109" t="s">
        <v>82</v>
      </c>
      <c r="K56" s="104"/>
      <c r="L56" s="159" t="s">
        <v>1206</v>
      </c>
      <c r="M56" s="104" t="s">
        <v>1225</v>
      </c>
      <c r="N56" s="104" t="s">
        <v>1208</v>
      </c>
      <c r="O56" s="197">
        <v>122142.62</v>
      </c>
      <c r="P56" s="104" t="s">
        <v>173</v>
      </c>
      <c r="Q56" s="104" t="s">
        <v>7</v>
      </c>
      <c r="R56" s="198" t="s">
        <v>129</v>
      </c>
      <c r="S56" s="198" t="s">
        <v>1226</v>
      </c>
      <c r="T56" s="104"/>
      <c r="U56" s="104"/>
      <c r="V56" s="104"/>
      <c r="W56" s="104"/>
      <c r="X56" s="104"/>
      <c r="Y56" s="104"/>
      <c r="Z56" s="104"/>
      <c r="AA56" s="104"/>
      <c r="AB56" s="104"/>
      <c r="AC56" s="104"/>
      <c r="AD56" s="104"/>
    </row>
    <row r="57" ht="21" customHeight="1" spans="1:30">
      <c r="A57" s="6" t="s">
        <v>78</v>
      </c>
      <c r="B57" s="158">
        <v>45764</v>
      </c>
      <c r="C57" s="104" t="str">
        <f t="shared" si="0"/>
        <v>2025年4月</v>
      </c>
      <c r="D57" s="104" t="s">
        <v>10</v>
      </c>
      <c r="E57" s="194" t="s">
        <v>1005</v>
      </c>
      <c r="F57" s="104" t="s">
        <v>1006</v>
      </c>
      <c r="G57" s="195" t="s">
        <v>1007</v>
      </c>
      <c r="H57" s="40" t="s">
        <v>40</v>
      </c>
      <c r="I57" s="152" t="s">
        <v>1227</v>
      </c>
      <c r="J57" s="109" t="s">
        <v>82</v>
      </c>
      <c r="K57" s="104"/>
      <c r="L57" s="159" t="s">
        <v>1228</v>
      </c>
      <c r="M57" s="104" t="s">
        <v>1229</v>
      </c>
      <c r="N57" s="104" t="s">
        <v>1230</v>
      </c>
      <c r="O57" s="197">
        <v>168</v>
      </c>
      <c r="P57" s="104" t="s">
        <v>139</v>
      </c>
      <c r="Q57" s="104" t="s">
        <v>105</v>
      </c>
      <c r="R57" s="198" t="s">
        <v>85</v>
      </c>
      <c r="S57" s="198"/>
      <c r="T57" s="104"/>
      <c r="U57" s="104"/>
      <c r="V57" s="104"/>
      <c r="W57" s="104"/>
      <c r="X57" s="104"/>
      <c r="Y57" s="104"/>
      <c r="Z57" s="104"/>
      <c r="AA57" s="104"/>
      <c r="AB57" s="104"/>
      <c r="AC57" s="104"/>
      <c r="AD57" s="104"/>
    </row>
    <row r="58" ht="21" customHeight="1" spans="1:30">
      <c r="A58" s="6" t="s">
        <v>207</v>
      </c>
      <c r="B58" s="158">
        <v>45770</v>
      </c>
      <c r="C58" s="104" t="str">
        <f t="shared" si="0"/>
        <v>2025年4月</v>
      </c>
      <c r="D58" s="104" t="s">
        <v>12</v>
      </c>
      <c r="E58" s="194" t="s">
        <v>1028</v>
      </c>
      <c r="F58" s="104" t="s">
        <v>1029</v>
      </c>
      <c r="G58" s="195" t="s">
        <v>1007</v>
      </c>
      <c r="H58" s="40" t="s">
        <v>39</v>
      </c>
      <c r="I58" s="152" t="s">
        <v>1231</v>
      </c>
      <c r="J58" s="109" t="s">
        <v>82</v>
      </c>
      <c r="K58" s="104"/>
      <c r="L58" s="159" t="s">
        <v>1071</v>
      </c>
      <c r="M58" s="104" t="s">
        <v>1072</v>
      </c>
      <c r="N58" s="104" t="s">
        <v>1232</v>
      </c>
      <c r="O58" s="197">
        <v>45000</v>
      </c>
      <c r="P58" s="104" t="s">
        <v>173</v>
      </c>
      <c r="Q58" s="104" t="s">
        <v>7</v>
      </c>
      <c r="R58" s="198" t="s">
        <v>146</v>
      </c>
      <c r="S58" s="198" t="s">
        <v>1233</v>
      </c>
      <c r="T58" s="104"/>
      <c r="U58" s="104"/>
      <c r="V58" s="104"/>
      <c r="W58" s="104"/>
      <c r="X58" s="104"/>
      <c r="Y58" s="104"/>
      <c r="Z58" s="104"/>
      <c r="AA58" s="104"/>
      <c r="AB58" s="104"/>
      <c r="AC58" s="104"/>
      <c r="AD58" s="104"/>
    </row>
    <row r="59" ht="21" customHeight="1" spans="1:30">
      <c r="A59" s="6" t="s">
        <v>207</v>
      </c>
      <c r="B59" s="158">
        <v>45771</v>
      </c>
      <c r="C59" s="104" t="str">
        <f t="shared" si="0"/>
        <v>2025年4月</v>
      </c>
      <c r="D59" s="104" t="s">
        <v>11</v>
      </c>
      <c r="E59" s="194" t="s">
        <v>1234</v>
      </c>
      <c r="F59" s="104" t="s">
        <v>1006</v>
      </c>
      <c r="G59" s="195" t="s">
        <v>1007</v>
      </c>
      <c r="H59" s="40" t="s">
        <v>39</v>
      </c>
      <c r="I59" s="152" t="s">
        <v>1235</v>
      </c>
      <c r="J59" s="109" t="s">
        <v>82</v>
      </c>
      <c r="K59" s="104"/>
      <c r="L59" s="159" t="s">
        <v>1236</v>
      </c>
      <c r="M59" s="104" t="s">
        <v>1237</v>
      </c>
      <c r="N59" s="104" t="s">
        <v>1238</v>
      </c>
      <c r="O59" s="197">
        <v>12955</v>
      </c>
      <c r="P59" s="104" t="s">
        <v>1239</v>
      </c>
      <c r="Q59" s="104" t="s">
        <v>7</v>
      </c>
      <c r="R59" s="198" t="s">
        <v>179</v>
      </c>
      <c r="S59" s="198" t="s">
        <v>1240</v>
      </c>
      <c r="T59" s="104"/>
      <c r="U59" s="104"/>
      <c r="V59" s="104"/>
      <c r="W59" s="104"/>
      <c r="X59" s="104"/>
      <c r="Y59" s="104"/>
      <c r="Z59" s="104"/>
      <c r="AA59" s="104"/>
      <c r="AB59" s="104"/>
      <c r="AC59" s="104"/>
      <c r="AD59" s="104"/>
    </row>
    <row r="60" ht="21" customHeight="1" spans="1:30">
      <c r="A60" s="6" t="s">
        <v>78</v>
      </c>
      <c r="B60" s="158">
        <v>45775</v>
      </c>
      <c r="C60" s="104" t="str">
        <f t="shared" si="0"/>
        <v>2025年4月</v>
      </c>
      <c r="D60" s="104" t="s">
        <v>10</v>
      </c>
      <c r="E60" s="152" t="s">
        <v>1202</v>
      </c>
      <c r="F60" s="104" t="s">
        <v>1029</v>
      </c>
      <c r="G60" s="195"/>
      <c r="H60" s="40" t="s">
        <v>40</v>
      </c>
      <c r="I60" s="152" t="s">
        <v>1241</v>
      </c>
      <c r="J60" s="109" t="s">
        <v>82</v>
      </c>
      <c r="K60" s="104"/>
      <c r="L60" s="159" t="s">
        <v>189</v>
      </c>
      <c r="M60" s="104" t="s">
        <v>1027</v>
      </c>
      <c r="N60" s="104" t="s">
        <v>190</v>
      </c>
      <c r="O60" s="197">
        <v>197.1</v>
      </c>
      <c r="P60" s="104" t="s">
        <v>80</v>
      </c>
      <c r="Q60" s="104" t="s">
        <v>105</v>
      </c>
      <c r="R60" s="198" t="s">
        <v>89</v>
      </c>
      <c r="S60" s="198"/>
      <c r="T60" s="104"/>
      <c r="U60" s="104"/>
      <c r="V60" s="104"/>
      <c r="W60" s="104"/>
      <c r="X60" s="104"/>
      <c r="Y60" s="104"/>
      <c r="Z60" s="104"/>
      <c r="AA60" s="104"/>
      <c r="AB60" s="104"/>
      <c r="AC60" s="104"/>
      <c r="AD60" s="104"/>
    </row>
    <row r="61" ht="21" customHeight="1" spans="1:30">
      <c r="A61" s="6" t="s">
        <v>207</v>
      </c>
      <c r="B61" s="158">
        <v>45777</v>
      </c>
      <c r="C61" s="104" t="str">
        <f t="shared" si="0"/>
        <v>2025年4月</v>
      </c>
      <c r="D61" s="104" t="s">
        <v>11</v>
      </c>
      <c r="E61" s="194" t="s">
        <v>1056</v>
      </c>
      <c r="F61" s="104" t="s">
        <v>1029</v>
      </c>
      <c r="G61" s="195" t="s">
        <v>1011</v>
      </c>
      <c r="H61" s="40" t="s">
        <v>39</v>
      </c>
      <c r="I61" s="152" t="s">
        <v>1242</v>
      </c>
      <c r="J61" s="109" t="s">
        <v>82</v>
      </c>
      <c r="K61" s="104"/>
      <c r="L61" s="159" t="s">
        <v>1243</v>
      </c>
      <c r="M61" s="104" t="s">
        <v>1244</v>
      </c>
      <c r="N61" s="104" t="s">
        <v>1245</v>
      </c>
      <c r="O61" s="197">
        <v>58290</v>
      </c>
      <c r="P61" s="104" t="s">
        <v>173</v>
      </c>
      <c r="Q61" s="104" t="s">
        <v>7</v>
      </c>
      <c r="R61" s="198" t="s">
        <v>300</v>
      </c>
      <c r="S61" s="198" t="s">
        <v>1246</v>
      </c>
      <c r="T61" s="104"/>
      <c r="U61" s="104"/>
      <c r="V61" s="104"/>
      <c r="W61" s="104"/>
      <c r="X61" s="104"/>
      <c r="Y61" s="104"/>
      <c r="Z61" s="104"/>
      <c r="AA61" s="104"/>
      <c r="AB61" s="104"/>
      <c r="AC61" s="104"/>
      <c r="AD61" s="104"/>
    </row>
    <row r="62" ht="21" customHeight="1" spans="1:30">
      <c r="A62" s="6" t="s">
        <v>78</v>
      </c>
      <c r="B62" s="158">
        <v>45782</v>
      </c>
      <c r="C62" s="104" t="str">
        <f t="shared" si="0"/>
        <v>2025年5月</v>
      </c>
      <c r="D62" s="104" t="s">
        <v>10</v>
      </c>
      <c r="E62" s="152" t="s">
        <v>1247</v>
      </c>
      <c r="F62" s="104" t="s">
        <v>1029</v>
      </c>
      <c r="G62" s="195" t="s">
        <v>1007</v>
      </c>
      <c r="H62" s="40" t="s">
        <v>40</v>
      </c>
      <c r="I62" s="152" t="s">
        <v>1248</v>
      </c>
      <c r="J62" s="109" t="s">
        <v>82</v>
      </c>
      <c r="K62" s="104"/>
      <c r="L62" s="159" t="s">
        <v>1249</v>
      </c>
      <c r="M62" s="104" t="s">
        <v>1250</v>
      </c>
      <c r="N62" s="104" t="s">
        <v>1251</v>
      </c>
      <c r="O62" s="197">
        <v>0.01</v>
      </c>
      <c r="P62" s="104" t="s">
        <v>139</v>
      </c>
      <c r="Q62" s="104" t="s">
        <v>105</v>
      </c>
      <c r="R62" s="198" t="s">
        <v>85</v>
      </c>
      <c r="S62" s="198"/>
      <c r="T62" s="104"/>
      <c r="U62" s="104"/>
      <c r="V62" s="104"/>
      <c r="W62" s="104"/>
      <c r="X62" s="104"/>
      <c r="Y62" s="104"/>
      <c r="Z62" s="104"/>
      <c r="AA62" s="104"/>
      <c r="AB62" s="104"/>
      <c r="AC62" s="104"/>
      <c r="AD62" s="104"/>
    </row>
    <row r="63" ht="21" customHeight="1" spans="1:30">
      <c r="A63" s="6" t="s">
        <v>78</v>
      </c>
      <c r="B63" s="158">
        <v>45783</v>
      </c>
      <c r="C63" s="104" t="str">
        <f t="shared" si="0"/>
        <v>2025年5月</v>
      </c>
      <c r="D63" s="104" t="s">
        <v>10</v>
      </c>
      <c r="E63" s="152" t="s">
        <v>250</v>
      </c>
      <c r="F63" s="104" t="s">
        <v>1006</v>
      </c>
      <c r="G63" s="195" t="s">
        <v>1011</v>
      </c>
      <c r="H63" s="40" t="s">
        <v>40</v>
      </c>
      <c r="I63" s="152" t="s">
        <v>1252</v>
      </c>
      <c r="J63" s="109" t="s">
        <v>82</v>
      </c>
      <c r="K63" s="104"/>
      <c r="L63" s="159" t="s">
        <v>101</v>
      </c>
      <c r="M63" s="104" t="s">
        <v>100</v>
      </c>
      <c r="N63" s="104" t="s">
        <v>1253</v>
      </c>
      <c r="O63" s="197">
        <v>129</v>
      </c>
      <c r="P63" s="104" t="s">
        <v>80</v>
      </c>
      <c r="Q63" s="104" t="s">
        <v>105</v>
      </c>
      <c r="R63" s="198" t="s">
        <v>89</v>
      </c>
      <c r="S63" s="198"/>
      <c r="T63" s="104"/>
      <c r="U63" s="104"/>
      <c r="V63" s="104"/>
      <c r="W63" s="104"/>
      <c r="X63" s="104"/>
      <c r="Y63" s="104"/>
      <c r="Z63" s="104"/>
      <c r="AA63" s="104"/>
      <c r="AB63" s="104"/>
      <c r="AC63" s="104"/>
      <c r="AD63" s="104"/>
    </row>
    <row r="64" ht="21" customHeight="1" spans="1:30">
      <c r="A64" s="6" t="s">
        <v>207</v>
      </c>
      <c r="B64" s="158">
        <v>45791</v>
      </c>
      <c r="C64" s="104" t="str">
        <f t="shared" si="0"/>
        <v>2025年5月</v>
      </c>
      <c r="D64" s="104" t="s">
        <v>11</v>
      </c>
      <c r="E64" s="194" t="s">
        <v>1056</v>
      </c>
      <c r="F64" s="104" t="s">
        <v>1029</v>
      </c>
      <c r="G64" s="195" t="s">
        <v>1007</v>
      </c>
      <c r="H64" s="40" t="s">
        <v>39</v>
      </c>
      <c r="I64" s="152" t="s">
        <v>1254</v>
      </c>
      <c r="J64" s="109" t="s">
        <v>82</v>
      </c>
      <c r="K64" s="104"/>
      <c r="L64" s="159" t="s">
        <v>1243</v>
      </c>
      <c r="M64" s="104" t="s">
        <v>1244</v>
      </c>
      <c r="N64" s="104" t="s">
        <v>1245</v>
      </c>
      <c r="O64" s="197">
        <v>20000</v>
      </c>
      <c r="P64" s="104" t="s">
        <v>173</v>
      </c>
      <c r="Q64" s="104" t="s">
        <v>7</v>
      </c>
      <c r="R64" s="198" t="s">
        <v>300</v>
      </c>
      <c r="S64" s="198" t="s">
        <v>1255</v>
      </c>
      <c r="T64" s="104"/>
      <c r="U64" s="104"/>
      <c r="V64" s="104"/>
      <c r="W64" s="104"/>
      <c r="X64" s="104"/>
      <c r="Y64" s="104"/>
      <c r="Z64" s="104"/>
      <c r="AA64" s="104"/>
      <c r="AB64" s="104"/>
      <c r="AC64" s="104"/>
      <c r="AD64" s="104"/>
    </row>
    <row r="65" ht="21" customHeight="1" spans="1:30">
      <c r="A65" s="6" t="s">
        <v>207</v>
      </c>
      <c r="B65" s="158">
        <v>45797</v>
      </c>
      <c r="C65" s="104" t="str">
        <f t="shared" si="0"/>
        <v>2025年5月</v>
      </c>
      <c r="D65" s="104" t="s">
        <v>11</v>
      </c>
      <c r="E65" s="194" t="s">
        <v>1138</v>
      </c>
      <c r="F65" s="104" t="s">
        <v>1006</v>
      </c>
      <c r="G65" s="195" t="s">
        <v>1007</v>
      </c>
      <c r="H65" s="40" t="s">
        <v>40</v>
      </c>
      <c r="I65" s="152" t="s">
        <v>1256</v>
      </c>
      <c r="J65" s="109" t="s">
        <v>82</v>
      </c>
      <c r="K65" s="104"/>
      <c r="L65" s="159" t="s">
        <v>1257</v>
      </c>
      <c r="M65" s="104" t="s">
        <v>1258</v>
      </c>
      <c r="N65" s="104" t="s">
        <v>1259</v>
      </c>
      <c r="O65" s="197">
        <v>44780</v>
      </c>
      <c r="P65" s="104" t="s">
        <v>149</v>
      </c>
      <c r="Q65" s="104" t="s">
        <v>7</v>
      </c>
      <c r="R65" s="198" t="s">
        <v>111</v>
      </c>
      <c r="S65" s="198"/>
      <c r="T65" s="104"/>
      <c r="U65" s="104"/>
      <c r="V65" s="104"/>
      <c r="W65" s="104"/>
      <c r="X65" s="104"/>
      <c r="Y65" s="104"/>
      <c r="Z65" s="104"/>
      <c r="AA65" s="104"/>
      <c r="AB65" s="104"/>
      <c r="AC65" s="104"/>
      <c r="AD65" s="104"/>
    </row>
    <row r="66" ht="21" customHeight="1" spans="1:30">
      <c r="A66" s="6" t="s">
        <v>207</v>
      </c>
      <c r="B66" s="158">
        <v>45797</v>
      </c>
      <c r="C66" s="104" t="str">
        <f t="shared" ref="C66:C129" si="1">YEAR(B66)&amp;"年"&amp;MONTH(B66)&amp;"月"</f>
        <v>2025年5月</v>
      </c>
      <c r="D66" s="104" t="s">
        <v>11</v>
      </c>
      <c r="E66" s="194" t="s">
        <v>1064</v>
      </c>
      <c r="F66" s="104" t="s">
        <v>1029</v>
      </c>
      <c r="G66" s="195" t="s">
        <v>1007</v>
      </c>
      <c r="H66" s="40" t="s">
        <v>44</v>
      </c>
      <c r="I66" s="152" t="s">
        <v>1260</v>
      </c>
      <c r="J66" s="109" t="s">
        <v>82</v>
      </c>
      <c r="K66" s="104"/>
      <c r="L66" s="159" t="s">
        <v>1134</v>
      </c>
      <c r="M66" s="104" t="s">
        <v>1136</v>
      </c>
      <c r="N66" s="104" t="s">
        <v>1261</v>
      </c>
      <c r="O66" s="197">
        <v>2606</v>
      </c>
      <c r="P66" s="104" t="s">
        <v>173</v>
      </c>
      <c r="Q66" s="104" t="s">
        <v>7</v>
      </c>
      <c r="R66" s="198" t="s">
        <v>129</v>
      </c>
      <c r="S66" s="198"/>
      <c r="T66" s="104"/>
      <c r="U66" s="104"/>
      <c r="V66" s="104"/>
      <c r="W66" s="104"/>
      <c r="X66" s="104"/>
      <c r="Y66" s="104"/>
      <c r="Z66" s="104"/>
      <c r="AA66" s="104"/>
      <c r="AB66" s="104"/>
      <c r="AC66" s="104"/>
      <c r="AD66" s="104"/>
    </row>
    <row r="67" ht="21" customHeight="1" spans="1:30">
      <c r="A67" s="6" t="s">
        <v>142</v>
      </c>
      <c r="B67" s="158">
        <v>45798</v>
      </c>
      <c r="C67" s="104" t="str">
        <f t="shared" si="1"/>
        <v>2025年5月</v>
      </c>
      <c r="D67" s="104" t="s">
        <v>11</v>
      </c>
      <c r="E67" s="194" t="s">
        <v>1138</v>
      </c>
      <c r="F67" s="104" t="s">
        <v>1029</v>
      </c>
      <c r="G67" s="195"/>
      <c r="H67" s="40" t="s">
        <v>39</v>
      </c>
      <c r="I67" s="152" t="s">
        <v>1262</v>
      </c>
      <c r="J67" s="109" t="s">
        <v>82</v>
      </c>
      <c r="K67" s="104"/>
      <c r="L67" s="159" t="s">
        <v>1257</v>
      </c>
      <c r="M67" s="198" t="s">
        <v>1259</v>
      </c>
      <c r="N67" s="104" t="s">
        <v>1263</v>
      </c>
      <c r="O67" s="197">
        <v>5000</v>
      </c>
      <c r="P67" s="104" t="s">
        <v>173</v>
      </c>
      <c r="Q67" s="104" t="s">
        <v>7</v>
      </c>
      <c r="R67" s="198" t="s">
        <v>111</v>
      </c>
      <c r="S67" s="198"/>
      <c r="T67" s="104"/>
      <c r="U67" s="104"/>
      <c r="V67" s="104"/>
      <c r="W67" s="104"/>
      <c r="X67" s="104"/>
      <c r="Y67" s="104"/>
      <c r="Z67" s="104"/>
      <c r="AA67" s="104"/>
      <c r="AB67" s="104"/>
      <c r="AC67" s="104"/>
      <c r="AD67" s="104"/>
    </row>
    <row r="68" ht="21" customHeight="1" spans="1:30">
      <c r="A68" s="6" t="s">
        <v>207</v>
      </c>
      <c r="B68" s="158">
        <v>45803</v>
      </c>
      <c r="C68" s="104" t="str">
        <f t="shared" si="1"/>
        <v>2025年5月</v>
      </c>
      <c r="D68" s="104" t="s">
        <v>11</v>
      </c>
      <c r="E68" s="194" t="s">
        <v>1204</v>
      </c>
      <c r="F68" s="104" t="s">
        <v>1006</v>
      </c>
      <c r="G68" s="195" t="s">
        <v>1007</v>
      </c>
      <c r="H68" s="40" t="s">
        <v>39</v>
      </c>
      <c r="I68" s="152" t="s">
        <v>1264</v>
      </c>
      <c r="J68" s="109" t="s">
        <v>82</v>
      </c>
      <c r="K68" s="104"/>
      <c r="L68" s="159" t="s">
        <v>1206</v>
      </c>
      <c r="M68" s="104" t="s">
        <v>1207</v>
      </c>
      <c r="N68" s="104" t="s">
        <v>1208</v>
      </c>
      <c r="O68" s="197">
        <v>183341.79</v>
      </c>
      <c r="P68" s="104" t="s">
        <v>173</v>
      </c>
      <c r="Q68" s="104" t="s">
        <v>7</v>
      </c>
      <c r="R68" s="198" t="s">
        <v>129</v>
      </c>
      <c r="S68" s="198" t="s">
        <v>1265</v>
      </c>
      <c r="T68" s="104"/>
      <c r="U68" s="104"/>
      <c r="V68" s="104"/>
      <c r="W68" s="104"/>
      <c r="X68" s="104"/>
      <c r="Y68" s="104"/>
      <c r="Z68" s="104"/>
      <c r="AA68" s="104"/>
      <c r="AB68" s="104"/>
      <c r="AC68" s="104"/>
      <c r="AD68" s="104"/>
    </row>
    <row r="69" ht="21" customHeight="1" spans="1:30">
      <c r="A69" s="6" t="s">
        <v>1266</v>
      </c>
      <c r="B69" s="158">
        <v>45804</v>
      </c>
      <c r="C69" s="104" t="str">
        <f t="shared" si="1"/>
        <v>2025年5月</v>
      </c>
      <c r="D69" s="104" t="s">
        <v>11</v>
      </c>
      <c r="E69" s="194" t="s">
        <v>1064</v>
      </c>
      <c r="F69" s="104" t="s">
        <v>1006</v>
      </c>
      <c r="G69" s="195" t="s">
        <v>1007</v>
      </c>
      <c r="H69" s="40" t="s">
        <v>39</v>
      </c>
      <c r="I69" s="152" t="s">
        <v>1267</v>
      </c>
      <c r="J69" s="109" t="s">
        <v>82</v>
      </c>
      <c r="K69" s="104"/>
      <c r="L69" s="159" t="s">
        <v>1268</v>
      </c>
      <c r="M69" s="104" t="s">
        <v>1269</v>
      </c>
      <c r="N69" s="104" t="s">
        <v>1270</v>
      </c>
      <c r="O69" s="197">
        <v>77235.7</v>
      </c>
      <c r="P69" s="104" t="s">
        <v>173</v>
      </c>
      <c r="Q69" s="104" t="s">
        <v>7</v>
      </c>
      <c r="R69" s="198" t="s">
        <v>111</v>
      </c>
      <c r="S69" s="198" t="s">
        <v>1271</v>
      </c>
      <c r="T69" s="104"/>
      <c r="U69" s="104"/>
      <c r="V69" s="104"/>
      <c r="W69" s="104"/>
      <c r="X69" s="104"/>
      <c r="Y69" s="104"/>
      <c r="Z69" s="104"/>
      <c r="AA69" s="104"/>
      <c r="AB69" s="104"/>
      <c r="AC69" s="104"/>
      <c r="AD69" s="104"/>
    </row>
    <row r="70" ht="21" customHeight="1" spans="1:30">
      <c r="A70" s="6" t="s">
        <v>78</v>
      </c>
      <c r="B70" s="158">
        <v>45807</v>
      </c>
      <c r="C70" s="104" t="str">
        <f t="shared" si="1"/>
        <v>2025年5月</v>
      </c>
      <c r="D70" s="104" t="s">
        <v>10</v>
      </c>
      <c r="E70" s="194" t="s">
        <v>1005</v>
      </c>
      <c r="F70" s="104" t="s">
        <v>1006</v>
      </c>
      <c r="G70" s="195" t="s">
        <v>1007</v>
      </c>
      <c r="H70" s="40" t="s">
        <v>40</v>
      </c>
      <c r="I70" s="104" t="s">
        <v>1272</v>
      </c>
      <c r="J70" s="109" t="s">
        <v>82</v>
      </c>
      <c r="K70" s="104"/>
      <c r="L70" s="159" t="s">
        <v>1273</v>
      </c>
      <c r="M70" s="104" t="s">
        <v>1274</v>
      </c>
      <c r="N70" s="104" t="s">
        <v>1275</v>
      </c>
      <c r="O70" s="197">
        <v>50</v>
      </c>
      <c r="P70" s="104" t="s">
        <v>139</v>
      </c>
      <c r="Q70" s="104" t="s">
        <v>105</v>
      </c>
      <c r="R70" s="198" t="s">
        <v>85</v>
      </c>
      <c r="S70" s="198"/>
      <c r="T70" s="104"/>
      <c r="U70" s="104"/>
      <c r="V70" s="104"/>
      <c r="W70" s="104"/>
      <c r="X70" s="104"/>
      <c r="Y70" s="104"/>
      <c r="Z70" s="104"/>
      <c r="AA70" s="104"/>
      <c r="AB70" s="104"/>
      <c r="AC70" s="104"/>
      <c r="AD70" s="104"/>
    </row>
    <row r="71" ht="21" customHeight="1" spans="1:30">
      <c r="A71" s="6" t="s">
        <v>207</v>
      </c>
      <c r="B71" s="158">
        <v>45811</v>
      </c>
      <c r="C71" s="104" t="str">
        <f t="shared" si="1"/>
        <v>2025年6月</v>
      </c>
      <c r="D71" s="104" t="s">
        <v>11</v>
      </c>
      <c r="E71" s="194" t="s">
        <v>1121</v>
      </c>
      <c r="F71" s="104" t="s">
        <v>1029</v>
      </c>
      <c r="G71" s="195" t="s">
        <v>1276</v>
      </c>
      <c r="H71" s="40" t="s">
        <v>39</v>
      </c>
      <c r="I71" s="152" t="s">
        <v>1277</v>
      </c>
      <c r="J71" s="109" t="s">
        <v>82</v>
      </c>
      <c r="K71" s="104"/>
      <c r="L71" s="200" t="s">
        <v>1278</v>
      </c>
      <c r="M71" s="104" t="s">
        <v>1279</v>
      </c>
      <c r="N71" s="104" t="s">
        <v>1280</v>
      </c>
      <c r="O71" s="197">
        <v>47586</v>
      </c>
      <c r="P71" s="104" t="s">
        <v>1062</v>
      </c>
      <c r="Q71" s="104" t="s">
        <v>7</v>
      </c>
      <c r="R71" s="198" t="s">
        <v>300</v>
      </c>
      <c r="S71" s="198"/>
      <c r="T71" s="104"/>
      <c r="U71" s="104"/>
      <c r="V71" s="104"/>
      <c r="W71" s="104"/>
      <c r="X71" s="104"/>
      <c r="Y71" s="104"/>
      <c r="Z71" s="104"/>
      <c r="AA71" s="104"/>
      <c r="AB71" s="104"/>
      <c r="AC71" s="104"/>
      <c r="AD71" s="104"/>
    </row>
    <row r="72" ht="21" customHeight="1" spans="1:30">
      <c r="A72" s="6" t="s">
        <v>207</v>
      </c>
      <c r="B72" s="158">
        <v>45812</v>
      </c>
      <c r="C72" s="104" t="str">
        <f t="shared" si="1"/>
        <v>2025年6月</v>
      </c>
      <c r="D72" s="104" t="s">
        <v>11</v>
      </c>
      <c r="E72" s="194" t="s">
        <v>1064</v>
      </c>
      <c r="F72" s="104" t="s">
        <v>1006</v>
      </c>
      <c r="G72" s="195" t="s">
        <v>1007</v>
      </c>
      <c r="H72" s="40" t="s">
        <v>40</v>
      </c>
      <c r="I72" s="152" t="s">
        <v>1281</v>
      </c>
      <c r="J72" s="109" t="s">
        <v>82</v>
      </c>
      <c r="K72" s="104"/>
      <c r="L72" s="159" t="s">
        <v>1282</v>
      </c>
      <c r="M72" s="104" t="s">
        <v>1283</v>
      </c>
      <c r="N72" s="104" t="s">
        <v>1284</v>
      </c>
      <c r="O72" s="197">
        <v>32560</v>
      </c>
      <c r="P72" s="104" t="s">
        <v>149</v>
      </c>
      <c r="Q72" s="104" t="s">
        <v>7</v>
      </c>
      <c r="R72" s="198" t="s">
        <v>111</v>
      </c>
      <c r="S72" s="198"/>
      <c r="T72" s="104"/>
      <c r="U72" s="104"/>
      <c r="V72" s="104"/>
      <c r="W72" s="104"/>
      <c r="X72" s="104"/>
      <c r="Y72" s="104"/>
      <c r="Z72" s="104"/>
      <c r="AA72" s="104"/>
      <c r="AB72" s="104"/>
      <c r="AC72" s="104"/>
      <c r="AD72" s="104"/>
    </row>
    <row r="73" ht="21" customHeight="1" spans="1:30">
      <c r="A73" s="6" t="s">
        <v>207</v>
      </c>
      <c r="B73" s="158">
        <v>45813</v>
      </c>
      <c r="C73" s="104" t="str">
        <f t="shared" si="1"/>
        <v>2025年6月</v>
      </c>
      <c r="D73" s="104" t="s">
        <v>11</v>
      </c>
      <c r="E73" s="194" t="s">
        <v>1064</v>
      </c>
      <c r="F73" s="104" t="s">
        <v>1006</v>
      </c>
      <c r="G73" s="195" t="s">
        <v>1007</v>
      </c>
      <c r="H73" s="40" t="s">
        <v>39</v>
      </c>
      <c r="I73" s="152" t="s">
        <v>1285</v>
      </c>
      <c r="J73" s="109" t="s">
        <v>82</v>
      </c>
      <c r="K73" s="104"/>
      <c r="L73" s="159" t="s">
        <v>1268</v>
      </c>
      <c r="M73" s="104" t="s">
        <v>1269</v>
      </c>
      <c r="N73" s="104" t="s">
        <v>1270</v>
      </c>
      <c r="O73" s="197">
        <v>17439.64</v>
      </c>
      <c r="P73" s="104" t="s">
        <v>173</v>
      </c>
      <c r="Q73" s="104" t="s">
        <v>7</v>
      </c>
      <c r="R73" s="198" t="s">
        <v>111</v>
      </c>
      <c r="S73" s="198" t="s">
        <v>1286</v>
      </c>
      <c r="T73" s="104"/>
      <c r="U73" s="104"/>
      <c r="V73" s="104"/>
      <c r="W73" s="104"/>
      <c r="X73" s="104"/>
      <c r="Y73" s="104"/>
      <c r="Z73" s="104"/>
      <c r="AA73" s="104"/>
      <c r="AB73" s="104"/>
      <c r="AC73" s="104"/>
      <c r="AD73" s="104"/>
    </row>
    <row r="74" ht="21" customHeight="1" spans="1:30">
      <c r="A74" s="6" t="s">
        <v>207</v>
      </c>
      <c r="B74" s="158">
        <v>45819</v>
      </c>
      <c r="C74" s="104" t="str">
        <f t="shared" si="1"/>
        <v>2025年6月</v>
      </c>
      <c r="D74" s="104" t="s">
        <v>11</v>
      </c>
      <c r="E74" s="194" t="s">
        <v>1064</v>
      </c>
      <c r="F74" s="104" t="s">
        <v>1006</v>
      </c>
      <c r="G74" s="195" t="s">
        <v>1007</v>
      </c>
      <c r="H74" s="40" t="s">
        <v>39</v>
      </c>
      <c r="I74" s="152" t="s">
        <v>1287</v>
      </c>
      <c r="J74" s="109" t="s">
        <v>82</v>
      </c>
      <c r="K74" s="104"/>
      <c r="L74" s="159" t="s">
        <v>1198</v>
      </c>
      <c r="M74" s="104" t="s">
        <v>1269</v>
      </c>
      <c r="N74" s="104" t="s">
        <v>1200</v>
      </c>
      <c r="O74" s="197">
        <v>125868.9</v>
      </c>
      <c r="P74" s="104" t="s">
        <v>173</v>
      </c>
      <c r="Q74" s="104" t="s">
        <v>7</v>
      </c>
      <c r="R74" s="198" t="s">
        <v>89</v>
      </c>
      <c r="S74" s="198"/>
      <c r="T74" s="104"/>
      <c r="U74" s="104"/>
      <c r="V74" s="104"/>
      <c r="W74" s="104"/>
      <c r="X74" s="104"/>
      <c r="Y74" s="104"/>
      <c r="Z74" s="104"/>
      <c r="AA74" s="104"/>
      <c r="AB74" s="104"/>
      <c r="AC74" s="104"/>
      <c r="AD74" s="104"/>
    </row>
    <row r="75" ht="21" customHeight="1" spans="1:30">
      <c r="A75" s="6" t="s">
        <v>78</v>
      </c>
      <c r="B75" s="158">
        <v>45813</v>
      </c>
      <c r="C75" s="104" t="str">
        <f t="shared" si="1"/>
        <v>2025年6月</v>
      </c>
      <c r="D75" s="104" t="s">
        <v>10</v>
      </c>
      <c r="E75" s="104" t="s">
        <v>1288</v>
      </c>
      <c r="F75" s="104" t="s">
        <v>1006</v>
      </c>
      <c r="G75" s="195" t="s">
        <v>1007</v>
      </c>
      <c r="H75" s="40" t="s">
        <v>40</v>
      </c>
      <c r="I75" s="152" t="s">
        <v>1289</v>
      </c>
      <c r="J75" s="109" t="s">
        <v>82</v>
      </c>
      <c r="K75" s="104"/>
      <c r="L75" s="159" t="s">
        <v>1290</v>
      </c>
      <c r="M75" s="104" t="s">
        <v>1027</v>
      </c>
      <c r="N75" s="104" t="s">
        <v>1291</v>
      </c>
      <c r="O75" s="197">
        <v>0.08</v>
      </c>
      <c r="P75" s="104" t="s">
        <v>80</v>
      </c>
      <c r="Q75" s="104" t="s">
        <v>105</v>
      </c>
      <c r="R75" s="198" t="s">
        <v>85</v>
      </c>
      <c r="S75" s="198"/>
      <c r="T75" s="104"/>
      <c r="U75" s="104"/>
      <c r="V75" s="104"/>
      <c r="W75" s="104"/>
      <c r="X75" s="104"/>
      <c r="Y75" s="104"/>
      <c r="Z75" s="104"/>
      <c r="AA75" s="104"/>
      <c r="AB75" s="104"/>
      <c r="AC75" s="104"/>
      <c r="AD75" s="104"/>
    </row>
    <row r="76" ht="21" customHeight="1" spans="1:30">
      <c r="A76" s="6" t="s">
        <v>142</v>
      </c>
      <c r="B76" s="158">
        <v>45819</v>
      </c>
      <c r="C76" s="104" t="str">
        <f t="shared" si="1"/>
        <v>2025年6月</v>
      </c>
      <c r="D76" s="104" t="s">
        <v>10</v>
      </c>
      <c r="E76" s="104" t="s">
        <v>1288</v>
      </c>
      <c r="F76" s="104" t="s">
        <v>1006</v>
      </c>
      <c r="G76" s="195" t="s">
        <v>1007</v>
      </c>
      <c r="H76" s="40" t="s">
        <v>40</v>
      </c>
      <c r="I76" s="152" t="s">
        <v>1292</v>
      </c>
      <c r="J76" s="109" t="s">
        <v>82</v>
      </c>
      <c r="K76" s="104"/>
      <c r="L76" s="159" t="s">
        <v>1290</v>
      </c>
      <c r="M76" s="104" t="s">
        <v>1023</v>
      </c>
      <c r="N76" s="104" t="s">
        <v>1293</v>
      </c>
      <c r="O76" s="197">
        <v>205.59</v>
      </c>
      <c r="P76" s="104" t="s">
        <v>80</v>
      </c>
      <c r="Q76" s="104" t="s">
        <v>105</v>
      </c>
      <c r="R76" s="198" t="s">
        <v>85</v>
      </c>
      <c r="S76" s="198" t="s">
        <v>1291</v>
      </c>
      <c r="T76" s="104"/>
      <c r="U76" s="104"/>
      <c r="V76" s="104"/>
      <c r="W76" s="104"/>
      <c r="X76" s="104"/>
      <c r="Y76" s="104"/>
      <c r="Z76" s="104"/>
      <c r="AA76" s="104"/>
      <c r="AB76" s="104"/>
      <c r="AC76" s="104"/>
      <c r="AD76" s="104"/>
    </row>
    <row r="77" ht="21" customHeight="1" spans="1:30">
      <c r="A77" s="6" t="s">
        <v>142</v>
      </c>
      <c r="B77" s="158">
        <v>45819</v>
      </c>
      <c r="C77" s="104" t="str">
        <f t="shared" si="1"/>
        <v>2025年6月</v>
      </c>
      <c r="D77" s="104" t="s">
        <v>10</v>
      </c>
      <c r="E77" s="104" t="s">
        <v>1288</v>
      </c>
      <c r="F77" s="104" t="s">
        <v>1006</v>
      </c>
      <c r="G77" s="195" t="s">
        <v>1007</v>
      </c>
      <c r="H77" s="40" t="s">
        <v>40</v>
      </c>
      <c r="I77" s="152" t="s">
        <v>1294</v>
      </c>
      <c r="J77" s="109" t="s">
        <v>82</v>
      </c>
      <c r="K77" s="104"/>
      <c r="L77" s="159" t="s">
        <v>1290</v>
      </c>
      <c r="M77" s="104" t="s">
        <v>1023</v>
      </c>
      <c r="N77" s="104" t="s">
        <v>1293</v>
      </c>
      <c r="O77" s="197">
        <v>52.22</v>
      </c>
      <c r="P77" s="104" t="s">
        <v>80</v>
      </c>
      <c r="Q77" s="104" t="s">
        <v>105</v>
      </c>
      <c r="R77" s="198" t="s">
        <v>85</v>
      </c>
      <c r="S77" s="198"/>
      <c r="T77" s="104"/>
      <c r="U77" s="104"/>
      <c r="V77" s="104"/>
      <c r="W77" s="104"/>
      <c r="X77" s="104"/>
      <c r="Y77" s="104"/>
      <c r="Z77" s="104"/>
      <c r="AA77" s="104"/>
      <c r="AB77" s="104"/>
      <c r="AC77" s="104"/>
      <c r="AD77" s="104"/>
    </row>
    <row r="78" ht="21" customHeight="1" spans="1:30">
      <c r="A78" s="6" t="s">
        <v>207</v>
      </c>
      <c r="B78" s="158">
        <v>45820</v>
      </c>
      <c r="C78" s="104" t="str">
        <f t="shared" si="1"/>
        <v>2025年6月</v>
      </c>
      <c r="D78" s="104" t="s">
        <v>12</v>
      </c>
      <c r="E78" s="194" t="s">
        <v>1028</v>
      </c>
      <c r="F78" s="104" t="s">
        <v>1029</v>
      </c>
      <c r="G78" s="195" t="s">
        <v>1007</v>
      </c>
      <c r="H78" s="40" t="s">
        <v>39</v>
      </c>
      <c r="I78" s="152" t="s">
        <v>1295</v>
      </c>
      <c r="J78" s="109" t="s">
        <v>82</v>
      </c>
      <c r="K78" s="104"/>
      <c r="L78" s="159" t="s">
        <v>1296</v>
      </c>
      <c r="M78" s="104" t="s">
        <v>1297</v>
      </c>
      <c r="N78" s="104" t="s">
        <v>1298</v>
      </c>
      <c r="O78" s="197">
        <v>680317.94</v>
      </c>
      <c r="P78" s="104" t="s">
        <v>1062</v>
      </c>
      <c r="Q78" s="104" t="s">
        <v>7</v>
      </c>
      <c r="R78" s="198" t="s">
        <v>111</v>
      </c>
      <c r="S78" s="198" t="s">
        <v>1299</v>
      </c>
      <c r="T78" s="104"/>
      <c r="U78" s="104"/>
      <c r="V78" s="104"/>
      <c r="W78" s="104"/>
      <c r="X78" s="104"/>
      <c r="Y78" s="104"/>
      <c r="Z78" s="104"/>
      <c r="AA78" s="104"/>
      <c r="AB78" s="104"/>
      <c r="AC78" s="104"/>
      <c r="AD78" s="104"/>
    </row>
    <row r="79" ht="21" customHeight="1" spans="1:30">
      <c r="A79" s="6" t="s">
        <v>207</v>
      </c>
      <c r="B79" s="158">
        <v>45820</v>
      </c>
      <c r="C79" s="104" t="str">
        <f t="shared" si="1"/>
        <v>2025年6月</v>
      </c>
      <c r="D79" s="104" t="s">
        <v>12</v>
      </c>
      <c r="E79" s="194" t="s">
        <v>1028</v>
      </c>
      <c r="F79" s="104" t="s">
        <v>1029</v>
      </c>
      <c r="G79" s="195" t="s">
        <v>1007</v>
      </c>
      <c r="H79" s="40" t="s">
        <v>39</v>
      </c>
      <c r="I79" s="152" t="s">
        <v>1300</v>
      </c>
      <c r="J79" s="109" t="s">
        <v>82</v>
      </c>
      <c r="K79" s="104"/>
      <c r="L79" s="159" t="s">
        <v>1296</v>
      </c>
      <c r="M79" s="104" t="s">
        <v>1297</v>
      </c>
      <c r="N79" s="104" t="s">
        <v>1298</v>
      </c>
      <c r="O79" s="197">
        <v>809658.74</v>
      </c>
      <c r="P79" s="104" t="s">
        <v>1062</v>
      </c>
      <c r="Q79" s="104" t="s">
        <v>7</v>
      </c>
      <c r="R79" s="198" t="s">
        <v>111</v>
      </c>
      <c r="S79" s="10"/>
      <c r="T79" s="104"/>
      <c r="U79" s="104"/>
      <c r="V79" s="104"/>
      <c r="W79" s="104"/>
      <c r="X79" s="104"/>
      <c r="Y79" s="104"/>
      <c r="Z79" s="104"/>
      <c r="AA79" s="104"/>
      <c r="AB79" s="104"/>
      <c r="AC79" s="104"/>
      <c r="AD79" s="104"/>
    </row>
    <row r="80" ht="21" customHeight="1" spans="1:30">
      <c r="A80" s="6" t="s">
        <v>142</v>
      </c>
      <c r="B80" s="158">
        <v>45820</v>
      </c>
      <c r="C80" s="104" t="str">
        <f t="shared" si="1"/>
        <v>2025年6月</v>
      </c>
      <c r="D80" s="104" t="s">
        <v>11</v>
      </c>
      <c r="E80" s="104" t="s">
        <v>1138</v>
      </c>
      <c r="F80" s="104" t="s">
        <v>1006</v>
      </c>
      <c r="G80" s="195" t="s">
        <v>1007</v>
      </c>
      <c r="H80" s="40" t="s">
        <v>40</v>
      </c>
      <c r="I80" s="152" t="s">
        <v>1301</v>
      </c>
      <c r="J80" s="109" t="s">
        <v>82</v>
      </c>
      <c r="K80" s="104"/>
      <c r="L80" s="159" t="s">
        <v>1302</v>
      </c>
      <c r="M80" s="104" t="s">
        <v>1303</v>
      </c>
      <c r="N80" s="104" t="s">
        <v>1303</v>
      </c>
      <c r="O80" s="197">
        <v>8340</v>
      </c>
      <c r="P80" s="104" t="s">
        <v>149</v>
      </c>
      <c r="Q80" s="104" t="s">
        <v>105</v>
      </c>
      <c r="R80" s="198" t="s">
        <v>111</v>
      </c>
      <c r="S80" s="198"/>
      <c r="T80" s="104"/>
      <c r="U80" s="104"/>
      <c r="V80" s="104"/>
      <c r="W80" s="104"/>
      <c r="X80" s="104"/>
      <c r="Y80" s="104"/>
      <c r="Z80" s="104"/>
      <c r="AA80" s="104"/>
      <c r="AB80" s="104"/>
      <c r="AC80" s="104"/>
      <c r="AD80" s="104"/>
    </row>
    <row r="81" ht="21" customHeight="1" spans="1:30">
      <c r="A81" s="6" t="s">
        <v>207</v>
      </c>
      <c r="B81" s="158">
        <v>45821</v>
      </c>
      <c r="C81" s="104" t="str">
        <f t="shared" si="1"/>
        <v>2025年6月</v>
      </c>
      <c r="D81" s="104" t="s">
        <v>12</v>
      </c>
      <c r="E81" s="104" t="s">
        <v>1028</v>
      </c>
      <c r="F81" s="104" t="s">
        <v>1029</v>
      </c>
      <c r="G81" s="195" t="s">
        <v>1007</v>
      </c>
      <c r="H81" s="40" t="s">
        <v>39</v>
      </c>
      <c r="I81" s="152" t="s">
        <v>1304</v>
      </c>
      <c r="J81" s="109" t="s">
        <v>82</v>
      </c>
      <c r="K81" s="104"/>
      <c r="L81" s="159" t="s">
        <v>1071</v>
      </c>
      <c r="M81" s="104" t="s">
        <v>1072</v>
      </c>
      <c r="N81" s="104" t="s">
        <v>1305</v>
      </c>
      <c r="O81" s="197">
        <v>60128.26</v>
      </c>
      <c r="P81" s="104" t="s">
        <v>1062</v>
      </c>
      <c r="Q81" s="104" t="s">
        <v>7</v>
      </c>
      <c r="R81" s="198" t="s">
        <v>146</v>
      </c>
      <c r="S81" s="198" t="s">
        <v>1306</v>
      </c>
      <c r="T81" s="104"/>
      <c r="U81" s="104"/>
      <c r="V81" s="104"/>
      <c r="W81" s="104"/>
      <c r="X81" s="104"/>
      <c r="Y81" s="104"/>
      <c r="Z81" s="104"/>
      <c r="AA81" s="104"/>
      <c r="AB81" s="104"/>
      <c r="AC81" s="104"/>
      <c r="AD81" s="104"/>
    </row>
    <row r="82" ht="21" customHeight="1" spans="1:30">
      <c r="A82" s="6" t="s">
        <v>207</v>
      </c>
      <c r="B82" s="158">
        <v>45824</v>
      </c>
      <c r="C82" s="104" t="str">
        <f t="shared" si="1"/>
        <v>2025年6月</v>
      </c>
      <c r="D82" s="104" t="s">
        <v>12</v>
      </c>
      <c r="E82" s="104" t="s">
        <v>1101</v>
      </c>
      <c r="F82" s="104" t="s">
        <v>1029</v>
      </c>
      <c r="G82" s="195" t="s">
        <v>1007</v>
      </c>
      <c r="H82" s="40" t="s">
        <v>39</v>
      </c>
      <c r="I82" s="152" t="s">
        <v>1307</v>
      </c>
      <c r="J82" s="109" t="s">
        <v>82</v>
      </c>
      <c r="K82" s="104"/>
      <c r="L82" s="159" t="s">
        <v>1210</v>
      </c>
      <c r="M82" s="104" t="s">
        <v>1211</v>
      </c>
      <c r="N82" s="104" t="s">
        <v>1212</v>
      </c>
      <c r="O82" s="197">
        <v>4465</v>
      </c>
      <c r="P82" s="104" t="s">
        <v>173</v>
      </c>
      <c r="Q82" s="104" t="s">
        <v>105</v>
      </c>
      <c r="R82" s="198" t="s">
        <v>111</v>
      </c>
      <c r="S82" s="198" t="s">
        <v>1308</v>
      </c>
      <c r="T82" s="104"/>
      <c r="U82" s="104"/>
      <c r="V82" s="104"/>
      <c r="W82" s="104"/>
      <c r="X82" s="104"/>
      <c r="Y82" s="104"/>
      <c r="Z82" s="104"/>
      <c r="AA82" s="104"/>
      <c r="AB82" s="104"/>
      <c r="AC82" s="104"/>
      <c r="AD82" s="104"/>
    </row>
    <row r="83" ht="21" customHeight="1" spans="1:30">
      <c r="A83" s="6" t="s">
        <v>207</v>
      </c>
      <c r="B83" s="158">
        <v>45824</v>
      </c>
      <c r="C83" s="104" t="str">
        <f t="shared" si="1"/>
        <v>2025年6月</v>
      </c>
      <c r="D83" s="104" t="s">
        <v>12</v>
      </c>
      <c r="E83" s="104" t="s">
        <v>1101</v>
      </c>
      <c r="F83" s="104" t="s">
        <v>1029</v>
      </c>
      <c r="G83" s="195" t="s">
        <v>1007</v>
      </c>
      <c r="H83" s="40" t="s">
        <v>39</v>
      </c>
      <c r="I83" s="152" t="s">
        <v>1309</v>
      </c>
      <c r="J83" s="109" t="s">
        <v>82</v>
      </c>
      <c r="K83" s="104"/>
      <c r="L83" s="159" t="s">
        <v>1210</v>
      </c>
      <c r="M83" s="104" t="s">
        <v>1211</v>
      </c>
      <c r="N83" s="104" t="s">
        <v>1212</v>
      </c>
      <c r="O83" s="197">
        <v>200</v>
      </c>
      <c r="P83" s="104" t="s">
        <v>173</v>
      </c>
      <c r="Q83" s="104" t="s">
        <v>105</v>
      </c>
      <c r="R83" s="198" t="s">
        <v>111</v>
      </c>
      <c r="S83" s="198" t="s">
        <v>1308</v>
      </c>
      <c r="T83" s="104"/>
      <c r="U83" s="104"/>
      <c r="V83" s="104"/>
      <c r="W83" s="104"/>
      <c r="X83" s="104"/>
      <c r="Y83" s="104"/>
      <c r="Z83" s="104"/>
      <c r="AA83" s="104"/>
      <c r="AB83" s="104"/>
      <c r="AC83" s="104"/>
      <c r="AD83" s="104"/>
    </row>
    <row r="84" ht="21" customHeight="1" spans="1:30">
      <c r="A84" s="6" t="s">
        <v>207</v>
      </c>
      <c r="B84" s="158">
        <v>45824</v>
      </c>
      <c r="C84" s="104" t="str">
        <f t="shared" si="1"/>
        <v>2025年6月</v>
      </c>
      <c r="D84" s="104" t="s">
        <v>12</v>
      </c>
      <c r="E84" s="104" t="s">
        <v>1101</v>
      </c>
      <c r="F84" s="104" t="s">
        <v>1029</v>
      </c>
      <c r="G84" s="195" t="s">
        <v>1007</v>
      </c>
      <c r="H84" s="40" t="s">
        <v>39</v>
      </c>
      <c r="I84" s="152" t="s">
        <v>1310</v>
      </c>
      <c r="J84" s="109" t="s">
        <v>82</v>
      </c>
      <c r="K84" s="104"/>
      <c r="L84" s="159" t="s">
        <v>1210</v>
      </c>
      <c r="M84" s="104" t="s">
        <v>1211</v>
      </c>
      <c r="N84" s="104" t="s">
        <v>1212</v>
      </c>
      <c r="O84" s="197">
        <v>2340</v>
      </c>
      <c r="P84" s="104" t="s">
        <v>173</v>
      </c>
      <c r="Q84" s="104" t="s">
        <v>105</v>
      </c>
      <c r="R84" s="198" t="s">
        <v>111</v>
      </c>
      <c r="S84" s="198" t="s">
        <v>1311</v>
      </c>
      <c r="T84" s="104"/>
      <c r="U84" s="104"/>
      <c r="V84" s="104"/>
      <c r="W84" s="104"/>
      <c r="X84" s="104"/>
      <c r="Y84" s="104"/>
      <c r="Z84" s="104"/>
      <c r="AA84" s="104"/>
      <c r="AB84" s="104"/>
      <c r="AC84" s="104"/>
      <c r="AD84" s="104"/>
    </row>
    <row r="85" ht="21" customHeight="1" spans="1:30">
      <c r="A85" s="6" t="s">
        <v>207</v>
      </c>
      <c r="B85" s="158">
        <v>45824</v>
      </c>
      <c r="C85" s="104" t="str">
        <f t="shared" si="1"/>
        <v>2025年6月</v>
      </c>
      <c r="D85" s="104" t="s">
        <v>12</v>
      </c>
      <c r="E85" s="104" t="s">
        <v>1101</v>
      </c>
      <c r="F85" s="104" t="s">
        <v>1029</v>
      </c>
      <c r="G85" s="195" t="s">
        <v>1007</v>
      </c>
      <c r="H85" s="40" t="s">
        <v>39</v>
      </c>
      <c r="I85" s="152" t="s">
        <v>1312</v>
      </c>
      <c r="J85" s="109" t="s">
        <v>82</v>
      </c>
      <c r="K85" s="104"/>
      <c r="L85" s="159" t="s">
        <v>1210</v>
      </c>
      <c r="M85" s="104" t="s">
        <v>1211</v>
      </c>
      <c r="N85" s="104" t="s">
        <v>1212</v>
      </c>
      <c r="O85" s="197">
        <v>2340</v>
      </c>
      <c r="P85" s="104" t="s">
        <v>173</v>
      </c>
      <c r="Q85" s="104" t="s">
        <v>105</v>
      </c>
      <c r="R85" s="198" t="s">
        <v>111</v>
      </c>
      <c r="S85" s="198" t="s">
        <v>1313</v>
      </c>
      <c r="T85" s="104"/>
      <c r="U85" s="104"/>
      <c r="V85" s="104"/>
      <c r="W85" s="104"/>
      <c r="X85" s="104"/>
      <c r="Y85" s="104"/>
      <c r="Z85" s="104"/>
      <c r="AA85" s="104"/>
      <c r="AB85" s="104"/>
      <c r="AC85" s="104"/>
      <c r="AD85" s="104"/>
    </row>
    <row r="86" ht="21" customHeight="1" spans="1:30">
      <c r="A86" s="6" t="s">
        <v>78</v>
      </c>
      <c r="B86" s="158">
        <v>45824</v>
      </c>
      <c r="C86" s="104" t="str">
        <f t="shared" si="1"/>
        <v>2025年6月</v>
      </c>
      <c r="D86" s="104" t="s">
        <v>10</v>
      </c>
      <c r="E86" s="104" t="s">
        <v>1314</v>
      </c>
      <c r="F86" s="104" t="s">
        <v>1006</v>
      </c>
      <c r="G86" s="195" t="s">
        <v>1007</v>
      </c>
      <c r="H86" s="40" t="s">
        <v>40</v>
      </c>
      <c r="I86" s="152" t="s">
        <v>1315</v>
      </c>
      <c r="J86" s="109" t="s">
        <v>422</v>
      </c>
      <c r="K86" s="104"/>
      <c r="L86" s="159" t="s">
        <v>101</v>
      </c>
      <c r="M86" s="104" t="s">
        <v>1316</v>
      </c>
      <c r="N86" s="104" t="s">
        <v>100</v>
      </c>
      <c r="O86" s="197">
        <v>210</v>
      </c>
      <c r="P86" s="104" t="s">
        <v>80</v>
      </c>
      <c r="Q86" s="104" t="s">
        <v>105</v>
      </c>
      <c r="R86" s="198" t="s">
        <v>89</v>
      </c>
      <c r="S86" s="198"/>
      <c r="T86" s="104"/>
      <c r="U86" s="104"/>
      <c r="V86" s="104"/>
      <c r="W86" s="104"/>
      <c r="X86" s="104"/>
      <c r="Y86" s="104"/>
      <c r="Z86" s="104"/>
      <c r="AA86" s="104"/>
      <c r="AB86" s="104"/>
      <c r="AC86" s="104"/>
      <c r="AD86" s="104"/>
    </row>
    <row r="87" ht="21" customHeight="1" spans="1:30">
      <c r="A87" s="6" t="s">
        <v>207</v>
      </c>
      <c r="B87" s="158">
        <v>45824</v>
      </c>
      <c r="C87" s="104" t="str">
        <f t="shared" si="1"/>
        <v>2025年6月</v>
      </c>
      <c r="D87" s="104" t="s">
        <v>11</v>
      </c>
      <c r="E87" s="104" t="s">
        <v>1138</v>
      </c>
      <c r="F87" s="104" t="s">
        <v>1006</v>
      </c>
      <c r="G87" s="195" t="s">
        <v>1007</v>
      </c>
      <c r="H87" s="40" t="s">
        <v>40</v>
      </c>
      <c r="I87" s="152" t="s">
        <v>1317</v>
      </c>
      <c r="J87" s="109" t="s">
        <v>82</v>
      </c>
      <c r="K87" s="104"/>
      <c r="L87" s="159" t="s">
        <v>1318</v>
      </c>
      <c r="M87" s="104" t="s">
        <v>1319</v>
      </c>
      <c r="N87" s="104" t="s">
        <v>1320</v>
      </c>
      <c r="O87" s="197">
        <v>15950</v>
      </c>
      <c r="P87" s="104" t="s">
        <v>149</v>
      </c>
      <c r="Q87" s="104" t="s">
        <v>105</v>
      </c>
      <c r="R87" s="198" t="s">
        <v>111</v>
      </c>
      <c r="S87" s="198" t="s">
        <v>1321</v>
      </c>
      <c r="T87" s="104"/>
      <c r="U87" s="104"/>
      <c r="V87" s="104"/>
      <c r="W87" s="104"/>
      <c r="X87" s="104"/>
      <c r="Y87" s="104"/>
      <c r="Z87" s="104"/>
      <c r="AA87" s="104"/>
      <c r="AB87" s="104"/>
      <c r="AC87" s="104"/>
      <c r="AD87" s="104"/>
    </row>
    <row r="88" ht="21" customHeight="1" spans="1:30">
      <c r="A88" s="6" t="s">
        <v>142</v>
      </c>
      <c r="B88" s="158">
        <v>45825</v>
      </c>
      <c r="C88" s="104" t="str">
        <f t="shared" si="1"/>
        <v>2025年6月</v>
      </c>
      <c r="D88" s="104" t="s">
        <v>12</v>
      </c>
      <c r="E88" s="104" t="s">
        <v>1322</v>
      </c>
      <c r="F88" s="104" t="s">
        <v>1029</v>
      </c>
      <c r="G88" s="195" t="s">
        <v>1007</v>
      </c>
      <c r="H88" s="40" t="s">
        <v>39</v>
      </c>
      <c r="I88" s="152" t="s">
        <v>1323</v>
      </c>
      <c r="J88" s="109" t="s">
        <v>82</v>
      </c>
      <c r="K88" s="104"/>
      <c r="L88" s="159" t="s">
        <v>1324</v>
      </c>
      <c r="M88" s="198" t="s">
        <v>1325</v>
      </c>
      <c r="N88" s="104" t="s">
        <v>1326</v>
      </c>
      <c r="O88" s="197">
        <v>213</v>
      </c>
      <c r="P88" s="104" t="s">
        <v>173</v>
      </c>
      <c r="Q88" s="104" t="s">
        <v>105</v>
      </c>
      <c r="R88" s="198" t="s">
        <v>161</v>
      </c>
      <c r="S88" s="198" t="s">
        <v>1327</v>
      </c>
      <c r="T88" s="104"/>
      <c r="U88" s="104"/>
      <c r="V88" s="104"/>
      <c r="W88" s="104"/>
      <c r="X88" s="104"/>
      <c r="Y88" s="104"/>
      <c r="Z88" s="104"/>
      <c r="AA88" s="104"/>
      <c r="AB88" s="104"/>
      <c r="AC88" s="104"/>
      <c r="AD88" s="104"/>
    </row>
    <row r="89" ht="21" customHeight="1" spans="1:30">
      <c r="A89" s="6" t="s">
        <v>142</v>
      </c>
      <c r="B89" s="158">
        <v>45825</v>
      </c>
      <c r="C89" s="104" t="str">
        <f t="shared" si="1"/>
        <v>2025年6月</v>
      </c>
      <c r="D89" s="104" t="s">
        <v>12</v>
      </c>
      <c r="E89" s="104" t="s">
        <v>1101</v>
      </c>
      <c r="F89" s="104" t="s">
        <v>1029</v>
      </c>
      <c r="G89" s="195" t="s">
        <v>1007</v>
      </c>
      <c r="H89" s="40" t="s">
        <v>39</v>
      </c>
      <c r="I89" s="152" t="s">
        <v>1328</v>
      </c>
      <c r="J89" s="109" t="s">
        <v>82</v>
      </c>
      <c r="K89" s="104"/>
      <c r="L89" s="159" t="s">
        <v>1210</v>
      </c>
      <c r="M89" s="104" t="s">
        <v>1211</v>
      </c>
      <c r="N89" s="104" t="s">
        <v>1212</v>
      </c>
      <c r="O89" s="197">
        <v>200</v>
      </c>
      <c r="P89" s="104" t="s">
        <v>173</v>
      </c>
      <c r="Q89" s="104" t="s">
        <v>105</v>
      </c>
      <c r="R89" s="198" t="s">
        <v>111</v>
      </c>
      <c r="S89" s="198" t="s">
        <v>1308</v>
      </c>
      <c r="T89" s="104"/>
      <c r="U89" s="104"/>
      <c r="V89" s="104"/>
      <c r="W89" s="104"/>
      <c r="X89" s="104"/>
      <c r="Y89" s="104"/>
      <c r="Z89" s="104"/>
      <c r="AA89" s="104"/>
      <c r="AB89" s="104"/>
      <c r="AC89" s="104"/>
      <c r="AD89" s="104"/>
    </row>
    <row r="90" ht="21" customHeight="1" spans="1:30">
      <c r="A90" s="6" t="s">
        <v>142</v>
      </c>
      <c r="B90" s="158">
        <v>45825</v>
      </c>
      <c r="C90" s="104" t="str">
        <f t="shared" si="1"/>
        <v>2025年6月</v>
      </c>
      <c r="D90" s="104" t="s">
        <v>12</v>
      </c>
      <c r="E90" s="104" t="s">
        <v>1101</v>
      </c>
      <c r="F90" s="104" t="s">
        <v>1029</v>
      </c>
      <c r="G90" s="195" t="s">
        <v>1007</v>
      </c>
      <c r="H90" s="40" t="s">
        <v>39</v>
      </c>
      <c r="I90" s="152" t="s">
        <v>1329</v>
      </c>
      <c r="J90" s="109" t="s">
        <v>82</v>
      </c>
      <c r="K90" s="104"/>
      <c r="L90" s="159" t="s">
        <v>1210</v>
      </c>
      <c r="M90" s="104" t="s">
        <v>1211</v>
      </c>
      <c r="N90" s="104" t="s">
        <v>1212</v>
      </c>
      <c r="O90" s="197">
        <v>4465</v>
      </c>
      <c r="P90" s="104" t="s">
        <v>173</v>
      </c>
      <c r="Q90" s="104" t="s">
        <v>105</v>
      </c>
      <c r="R90" s="198" t="s">
        <v>111</v>
      </c>
      <c r="S90" s="198" t="s">
        <v>1308</v>
      </c>
      <c r="T90" s="104"/>
      <c r="U90" s="104"/>
      <c r="V90" s="104"/>
      <c r="W90" s="104"/>
      <c r="X90" s="104"/>
      <c r="Y90" s="104"/>
      <c r="Z90" s="104"/>
      <c r="AA90" s="104"/>
      <c r="AB90" s="104"/>
      <c r="AC90" s="104"/>
      <c r="AD90" s="104"/>
    </row>
    <row r="91" ht="21" customHeight="1" spans="1:30">
      <c r="A91" s="6" t="s">
        <v>142</v>
      </c>
      <c r="B91" s="158">
        <v>45828</v>
      </c>
      <c r="C91" s="104" t="str">
        <f t="shared" si="1"/>
        <v>2025年6月</v>
      </c>
      <c r="D91" s="104" t="s">
        <v>10</v>
      </c>
      <c r="E91" s="104" t="s">
        <v>1330</v>
      </c>
      <c r="F91" s="104" t="s">
        <v>1006</v>
      </c>
      <c r="G91" s="195" t="s">
        <v>1007</v>
      </c>
      <c r="H91" s="40" t="s">
        <v>40</v>
      </c>
      <c r="I91" s="152" t="s">
        <v>1331</v>
      </c>
      <c r="J91" s="109" t="s">
        <v>82</v>
      </c>
      <c r="K91" s="104"/>
      <c r="L91" s="159" t="s">
        <v>1332</v>
      </c>
      <c r="M91" s="204" t="s">
        <v>1333</v>
      </c>
      <c r="N91" s="104" t="s">
        <v>1334</v>
      </c>
      <c r="O91" s="197">
        <v>419.11</v>
      </c>
      <c r="P91" s="104" t="s">
        <v>139</v>
      </c>
      <c r="Q91" s="104" t="s">
        <v>105</v>
      </c>
      <c r="R91" s="198" t="s">
        <v>300</v>
      </c>
      <c r="S91" s="198" t="s">
        <v>1335</v>
      </c>
      <c r="T91" s="104"/>
      <c r="U91" s="104"/>
      <c r="V91" s="104"/>
      <c r="W91" s="104"/>
      <c r="X91" s="104"/>
      <c r="Y91" s="104"/>
      <c r="Z91" s="104"/>
      <c r="AA91" s="104"/>
      <c r="AB91" s="104"/>
      <c r="AC91" s="104"/>
      <c r="AD91" s="104"/>
    </row>
    <row r="92" ht="21" customHeight="1" spans="1:30">
      <c r="A92" s="6" t="s">
        <v>142</v>
      </c>
      <c r="B92" s="158">
        <v>45828</v>
      </c>
      <c r="C92" s="104" t="str">
        <f t="shared" si="1"/>
        <v>2025年6月</v>
      </c>
      <c r="D92" s="104" t="s">
        <v>10</v>
      </c>
      <c r="E92" s="104" t="s">
        <v>1020</v>
      </c>
      <c r="F92" s="104" t="s">
        <v>1006</v>
      </c>
      <c r="G92" s="195" t="s">
        <v>1007</v>
      </c>
      <c r="H92" s="40" t="s">
        <v>40</v>
      </c>
      <c r="I92" s="152" t="s">
        <v>1336</v>
      </c>
      <c r="J92" s="109" t="s">
        <v>82</v>
      </c>
      <c r="K92" s="104"/>
      <c r="L92" s="159" t="s">
        <v>1337</v>
      </c>
      <c r="M92" s="104" t="s">
        <v>1023</v>
      </c>
      <c r="N92" s="104" t="s">
        <v>1338</v>
      </c>
      <c r="O92" s="197">
        <v>16.41</v>
      </c>
      <c r="P92" s="104" t="s">
        <v>149</v>
      </c>
      <c r="Q92" s="104" t="s">
        <v>105</v>
      </c>
      <c r="R92" s="200" t="s">
        <v>194</v>
      </c>
      <c r="S92" s="200" t="s">
        <v>1339</v>
      </c>
      <c r="T92" s="104"/>
      <c r="U92" s="104"/>
      <c r="V92" s="104"/>
      <c r="W92" s="104"/>
      <c r="X92" s="104"/>
      <c r="Y92" s="104"/>
      <c r="Z92" s="104"/>
      <c r="AA92" s="104"/>
      <c r="AB92" s="104"/>
      <c r="AC92" s="104"/>
      <c r="AD92" s="104"/>
    </row>
    <row r="93" ht="21" customHeight="1" spans="1:30">
      <c r="A93" s="6" t="s">
        <v>142</v>
      </c>
      <c r="B93" s="158">
        <v>45828</v>
      </c>
      <c r="C93" s="104" t="str">
        <f t="shared" si="1"/>
        <v>2025年6月</v>
      </c>
      <c r="D93" s="104" t="s">
        <v>12</v>
      </c>
      <c r="E93" s="104" t="s">
        <v>1340</v>
      </c>
      <c r="F93" s="104" t="s">
        <v>1029</v>
      </c>
      <c r="G93" s="195" t="s">
        <v>1007</v>
      </c>
      <c r="H93" s="40" t="s">
        <v>44</v>
      </c>
      <c r="I93" s="152" t="s">
        <v>1341</v>
      </c>
      <c r="J93" s="109" t="s">
        <v>82</v>
      </c>
      <c r="K93" s="104"/>
      <c r="L93" s="159" t="s">
        <v>1342</v>
      </c>
      <c r="M93" s="198" t="s">
        <v>1343</v>
      </c>
      <c r="N93" s="104" t="s">
        <v>1344</v>
      </c>
      <c r="O93" s="197">
        <v>13245.65</v>
      </c>
      <c r="P93" s="104" t="s">
        <v>173</v>
      </c>
      <c r="Q93" s="104" t="s">
        <v>7</v>
      </c>
      <c r="R93" s="198" t="s">
        <v>194</v>
      </c>
      <c r="S93" s="198" t="s">
        <v>1345</v>
      </c>
      <c r="T93" s="104"/>
      <c r="U93" s="104"/>
      <c r="V93" s="104"/>
      <c r="W93" s="104"/>
      <c r="X93" s="104"/>
      <c r="Y93" s="104"/>
      <c r="Z93" s="104"/>
      <c r="AA93" s="104"/>
      <c r="AB93" s="104"/>
      <c r="AC93" s="104"/>
      <c r="AD93" s="104"/>
    </row>
    <row r="94" ht="21" customHeight="1" spans="1:30">
      <c r="A94" s="6" t="s">
        <v>78</v>
      </c>
      <c r="B94" s="158">
        <v>45832</v>
      </c>
      <c r="C94" s="104" t="str">
        <f t="shared" si="1"/>
        <v>2025年6月</v>
      </c>
      <c r="D94" s="104" t="s">
        <v>10</v>
      </c>
      <c r="E94" s="104" t="s">
        <v>1314</v>
      </c>
      <c r="F94" s="104" t="s">
        <v>1006</v>
      </c>
      <c r="G94" s="195" t="s">
        <v>1007</v>
      </c>
      <c r="H94" s="40" t="s">
        <v>40</v>
      </c>
      <c r="I94" s="152" t="s">
        <v>1346</v>
      </c>
      <c r="J94" s="109" t="s">
        <v>82</v>
      </c>
      <c r="K94" s="104"/>
      <c r="L94" s="159" t="s">
        <v>101</v>
      </c>
      <c r="M94" s="104" t="s">
        <v>1316</v>
      </c>
      <c r="N94" s="104" t="s">
        <v>100</v>
      </c>
      <c r="O94" s="197">
        <v>210</v>
      </c>
      <c r="P94" s="104" t="s">
        <v>80</v>
      </c>
      <c r="Q94" s="104" t="s">
        <v>105</v>
      </c>
      <c r="R94" s="198" t="s">
        <v>89</v>
      </c>
      <c r="S94" s="198"/>
      <c r="T94" s="199">
        <v>45834</v>
      </c>
      <c r="U94" s="199">
        <v>45834</v>
      </c>
      <c r="V94" s="199">
        <v>45836</v>
      </c>
      <c r="W94" s="199">
        <v>45838</v>
      </c>
      <c r="X94" s="104"/>
      <c r="Y94" s="104"/>
      <c r="Z94" s="104"/>
      <c r="AA94" s="104"/>
      <c r="AB94" s="104"/>
      <c r="AC94" s="104"/>
      <c r="AD94" s="104"/>
    </row>
    <row r="95" ht="28" spans="1:30">
      <c r="A95" s="6" t="s">
        <v>142</v>
      </c>
      <c r="B95" s="158">
        <v>45833</v>
      </c>
      <c r="C95" s="104" t="str">
        <f t="shared" si="1"/>
        <v>2025年6月</v>
      </c>
      <c r="D95" s="104" t="s">
        <v>12</v>
      </c>
      <c r="E95" s="104" t="s">
        <v>1035</v>
      </c>
      <c r="F95" s="104" t="s">
        <v>1029</v>
      </c>
      <c r="G95" s="195" t="s">
        <v>1276</v>
      </c>
      <c r="H95" s="40" t="s">
        <v>44</v>
      </c>
      <c r="I95" s="153" t="s">
        <v>1347</v>
      </c>
      <c r="J95" s="109" t="s">
        <v>82</v>
      </c>
      <c r="K95" s="104"/>
      <c r="L95" s="159" t="s">
        <v>870</v>
      </c>
      <c r="M95" s="104" t="s">
        <v>871</v>
      </c>
      <c r="N95" s="104" t="s">
        <v>1348</v>
      </c>
      <c r="O95" s="197">
        <v>350000</v>
      </c>
      <c r="P95" s="104" t="s">
        <v>1349</v>
      </c>
      <c r="Q95" s="104" t="s">
        <v>105</v>
      </c>
      <c r="R95" s="198" t="s">
        <v>97</v>
      </c>
      <c r="S95" s="198"/>
      <c r="T95" s="104"/>
      <c r="U95" s="104"/>
      <c r="V95" s="104"/>
      <c r="W95" s="104"/>
      <c r="X95" s="104"/>
      <c r="Y95" s="104"/>
      <c r="Z95" s="104"/>
      <c r="AA95" s="104"/>
      <c r="AB95" s="104"/>
      <c r="AC95" s="104"/>
      <c r="AD95" s="104"/>
    </row>
    <row r="96" ht="21" customHeight="1" spans="1:30">
      <c r="A96" s="6" t="s">
        <v>207</v>
      </c>
      <c r="B96" s="158">
        <v>45834</v>
      </c>
      <c r="C96" s="104" t="str">
        <f t="shared" si="1"/>
        <v>2025年6月</v>
      </c>
      <c r="D96" s="104" t="s">
        <v>11</v>
      </c>
      <c r="E96" s="104" t="s">
        <v>1204</v>
      </c>
      <c r="F96" s="104" t="s">
        <v>1006</v>
      </c>
      <c r="G96" s="195" t="s">
        <v>1007</v>
      </c>
      <c r="H96" s="40" t="s">
        <v>39</v>
      </c>
      <c r="I96" s="152" t="s">
        <v>1350</v>
      </c>
      <c r="J96" s="109" t="s">
        <v>82</v>
      </c>
      <c r="K96" s="104"/>
      <c r="L96" s="159" t="s">
        <v>1206</v>
      </c>
      <c r="M96" s="198" t="s">
        <v>1207</v>
      </c>
      <c r="N96" s="104" t="s">
        <v>1208</v>
      </c>
      <c r="O96" s="197">
        <v>154806.24</v>
      </c>
      <c r="P96" s="104" t="s">
        <v>173</v>
      </c>
      <c r="Q96" s="104" t="s">
        <v>7</v>
      </c>
      <c r="R96" s="198" t="s">
        <v>129</v>
      </c>
      <c r="S96" s="198" t="s">
        <v>1351</v>
      </c>
      <c r="T96" s="104"/>
      <c r="U96" s="104"/>
      <c r="V96" s="104"/>
      <c r="W96" s="104"/>
      <c r="X96" s="104"/>
      <c r="Y96" s="104"/>
      <c r="Z96" s="104"/>
      <c r="AA96" s="104"/>
      <c r="AB96" s="104"/>
      <c r="AC96" s="104"/>
      <c r="AD96" s="104"/>
    </row>
    <row r="97" ht="21" customHeight="1" spans="1:30">
      <c r="A97" s="6" t="s">
        <v>142</v>
      </c>
      <c r="B97" s="158">
        <v>45840</v>
      </c>
      <c r="C97" s="104" t="str">
        <f t="shared" si="1"/>
        <v>2025年7月</v>
      </c>
      <c r="D97" s="104" t="s">
        <v>11</v>
      </c>
      <c r="E97" s="104" t="s">
        <v>1352</v>
      </c>
      <c r="F97" s="104" t="s">
        <v>1029</v>
      </c>
      <c r="G97" s="195" t="s">
        <v>1011</v>
      </c>
      <c r="H97" s="40" t="s">
        <v>39</v>
      </c>
      <c r="I97" s="152" t="s">
        <v>1353</v>
      </c>
      <c r="J97" s="109" t="s">
        <v>82</v>
      </c>
      <c r="K97" s="104"/>
      <c r="L97" s="159" t="s">
        <v>1354</v>
      </c>
      <c r="M97" s="104" t="s">
        <v>1355</v>
      </c>
      <c r="N97" s="104" t="s">
        <v>1356</v>
      </c>
      <c r="O97" s="197">
        <v>19000</v>
      </c>
      <c r="P97" s="104" t="s">
        <v>173</v>
      </c>
      <c r="Q97" s="104" t="s">
        <v>7</v>
      </c>
      <c r="R97" s="198" t="s">
        <v>300</v>
      </c>
      <c r="S97" s="198"/>
      <c r="T97" s="104"/>
      <c r="U97" s="104"/>
      <c r="V97" s="104"/>
      <c r="W97" s="104"/>
      <c r="X97" s="104"/>
      <c r="Y97" s="104"/>
      <c r="Z97" s="104"/>
      <c r="AA97" s="104"/>
      <c r="AB97" s="104"/>
      <c r="AC97" s="104"/>
      <c r="AD97" s="104"/>
    </row>
    <row r="98" ht="21" customHeight="1" spans="1:30">
      <c r="A98" s="6" t="s">
        <v>142</v>
      </c>
      <c r="B98" s="158">
        <v>45840</v>
      </c>
      <c r="C98" s="104" t="str">
        <f t="shared" si="1"/>
        <v>2025年7月</v>
      </c>
      <c r="D98" s="104" t="s">
        <v>11</v>
      </c>
      <c r="E98" s="194" t="s">
        <v>1352</v>
      </c>
      <c r="F98" s="104" t="s">
        <v>1029</v>
      </c>
      <c r="G98" s="195" t="s">
        <v>1011</v>
      </c>
      <c r="H98" s="40" t="s">
        <v>39</v>
      </c>
      <c r="I98" s="152" t="s">
        <v>1357</v>
      </c>
      <c r="J98" s="109" t="s">
        <v>82</v>
      </c>
      <c r="K98" s="104"/>
      <c r="L98" s="159" t="s">
        <v>1354</v>
      </c>
      <c r="M98" s="104" t="s">
        <v>1355</v>
      </c>
      <c r="N98" s="104" t="s">
        <v>1358</v>
      </c>
      <c r="O98" s="197">
        <v>44387</v>
      </c>
      <c r="P98" s="104" t="s">
        <v>173</v>
      </c>
      <c r="Q98" s="104" t="s">
        <v>7</v>
      </c>
      <c r="R98" s="198" t="s">
        <v>300</v>
      </c>
      <c r="S98" s="198"/>
      <c r="T98" s="104"/>
      <c r="U98" s="104"/>
      <c r="V98" s="104"/>
      <c r="W98" s="104"/>
      <c r="X98" s="104"/>
      <c r="Y98" s="104"/>
      <c r="Z98" s="104"/>
      <c r="AA98" s="104"/>
      <c r="AB98" s="104"/>
      <c r="AC98" s="104"/>
      <c r="AD98" s="104"/>
    </row>
    <row r="99" ht="21" customHeight="1" spans="1:30">
      <c r="A99" s="6" t="s">
        <v>207</v>
      </c>
      <c r="B99" s="158">
        <v>45840</v>
      </c>
      <c r="C99" s="104" t="str">
        <f t="shared" si="1"/>
        <v>2025年7月</v>
      </c>
      <c r="D99" s="104" t="s">
        <v>11</v>
      </c>
      <c r="E99" s="194" t="s">
        <v>1204</v>
      </c>
      <c r="F99" s="104" t="s">
        <v>1006</v>
      </c>
      <c r="G99" s="195" t="s">
        <v>1007</v>
      </c>
      <c r="H99" s="40" t="s">
        <v>39</v>
      </c>
      <c r="I99" s="152" t="s">
        <v>1359</v>
      </c>
      <c r="J99" s="109" t="s">
        <v>82</v>
      </c>
      <c r="K99" s="104"/>
      <c r="L99" s="159" t="s">
        <v>1206</v>
      </c>
      <c r="M99" s="198" t="s">
        <v>1207</v>
      </c>
      <c r="N99" s="104" t="s">
        <v>1208</v>
      </c>
      <c r="O99" s="197">
        <v>162205.71</v>
      </c>
      <c r="P99" s="104" t="s">
        <v>173</v>
      </c>
      <c r="Q99" s="104" t="s">
        <v>105</v>
      </c>
      <c r="R99" s="198" t="s">
        <v>129</v>
      </c>
      <c r="S99" s="198" t="s">
        <v>1360</v>
      </c>
      <c r="T99" s="104"/>
      <c r="U99" s="104"/>
      <c r="V99" s="104"/>
      <c r="W99" s="104"/>
      <c r="X99" s="104"/>
      <c r="Y99" s="104"/>
      <c r="Z99" s="104"/>
      <c r="AA99" s="104"/>
      <c r="AB99" s="104"/>
      <c r="AC99" s="104"/>
      <c r="AD99" s="104"/>
    </row>
    <row r="100" ht="21" customHeight="1" spans="1:30">
      <c r="A100" s="6" t="s">
        <v>207</v>
      </c>
      <c r="B100" s="158">
        <v>45840</v>
      </c>
      <c r="C100" s="104" t="str">
        <f t="shared" si="1"/>
        <v>2025年7月</v>
      </c>
      <c r="D100" s="104" t="s">
        <v>11</v>
      </c>
      <c r="E100" s="194" t="s">
        <v>1361</v>
      </c>
      <c r="F100" s="104" t="s">
        <v>1029</v>
      </c>
      <c r="G100" s="195" t="s">
        <v>1007</v>
      </c>
      <c r="H100" s="40" t="s">
        <v>39</v>
      </c>
      <c r="I100" s="152" t="s">
        <v>1362</v>
      </c>
      <c r="J100" s="109" t="s">
        <v>82</v>
      </c>
      <c r="K100" s="104"/>
      <c r="L100" s="159" t="s">
        <v>1363</v>
      </c>
      <c r="M100" s="104" t="s">
        <v>1364</v>
      </c>
      <c r="N100" s="104" t="s">
        <v>1365</v>
      </c>
      <c r="O100" s="197">
        <v>67200</v>
      </c>
      <c r="P100" s="104" t="s">
        <v>173</v>
      </c>
      <c r="Q100" s="104" t="s">
        <v>7</v>
      </c>
      <c r="R100" s="198" t="s">
        <v>300</v>
      </c>
      <c r="S100" s="198"/>
      <c r="T100" s="104"/>
      <c r="U100" s="104"/>
      <c r="V100" s="104"/>
      <c r="W100" s="104"/>
      <c r="X100" s="104"/>
      <c r="Y100" s="104"/>
      <c r="Z100" s="104"/>
      <c r="AA100" s="104"/>
      <c r="AB100" s="104"/>
      <c r="AC100" s="104"/>
      <c r="AD100" s="104"/>
    </row>
    <row r="101" ht="28" spans="1:30">
      <c r="A101" s="6" t="s">
        <v>142</v>
      </c>
      <c r="B101" s="158">
        <v>45841</v>
      </c>
      <c r="C101" s="104" t="str">
        <f t="shared" si="1"/>
        <v>2025年7月</v>
      </c>
      <c r="D101" s="104" t="s">
        <v>12</v>
      </c>
      <c r="E101" s="104" t="s">
        <v>1340</v>
      </c>
      <c r="F101" s="104" t="s">
        <v>1029</v>
      </c>
      <c r="G101" s="195" t="s">
        <v>1007</v>
      </c>
      <c r="H101" s="40" t="s">
        <v>44</v>
      </c>
      <c r="I101" s="153" t="s">
        <v>1366</v>
      </c>
      <c r="J101" s="109" t="s">
        <v>787</v>
      </c>
      <c r="K101" s="104"/>
      <c r="L101" s="159" t="s">
        <v>1342</v>
      </c>
      <c r="M101" s="198" t="s">
        <v>1343</v>
      </c>
      <c r="N101" s="104" t="s">
        <v>1344</v>
      </c>
      <c r="O101" s="197">
        <v>755417.8</v>
      </c>
      <c r="P101" s="104" t="s">
        <v>1367</v>
      </c>
      <c r="Q101" s="104" t="s">
        <v>7</v>
      </c>
      <c r="R101" s="198" t="s">
        <v>194</v>
      </c>
      <c r="S101" s="198" t="s">
        <v>1368</v>
      </c>
      <c r="T101" s="104"/>
      <c r="U101" s="104"/>
      <c r="V101" s="104"/>
      <c r="W101" s="104"/>
      <c r="X101" s="104"/>
      <c r="Y101" s="104"/>
      <c r="Z101" s="104"/>
      <c r="AA101" s="104"/>
      <c r="AB101" s="104"/>
      <c r="AC101" s="104"/>
      <c r="AD101" s="104"/>
    </row>
    <row r="102" ht="21" customHeight="1" spans="1:30">
      <c r="A102" s="6" t="s">
        <v>207</v>
      </c>
      <c r="B102" s="158">
        <v>45845</v>
      </c>
      <c r="C102" s="104" t="str">
        <f t="shared" si="1"/>
        <v>2025年7月</v>
      </c>
      <c r="D102" s="104" t="s">
        <v>11</v>
      </c>
      <c r="E102" s="159" t="s">
        <v>1369</v>
      </c>
      <c r="F102" s="104" t="s">
        <v>1006</v>
      </c>
      <c r="G102" s="195" t="s">
        <v>1011</v>
      </c>
      <c r="H102" s="40" t="s">
        <v>49</v>
      </c>
      <c r="I102" s="152" t="s">
        <v>1370</v>
      </c>
      <c r="J102" s="109" t="s">
        <v>82</v>
      </c>
      <c r="K102" s="104"/>
      <c r="L102" s="159" t="s">
        <v>1371</v>
      </c>
      <c r="M102" s="104" t="s">
        <v>1372</v>
      </c>
      <c r="N102" s="104" t="s">
        <v>1373</v>
      </c>
      <c r="O102" s="197">
        <v>15000000</v>
      </c>
      <c r="P102" s="104" t="s">
        <v>1037</v>
      </c>
      <c r="Q102" s="104" t="s">
        <v>7</v>
      </c>
      <c r="R102" s="198" t="s">
        <v>111</v>
      </c>
      <c r="S102" s="198"/>
      <c r="T102" s="104"/>
      <c r="U102" s="104"/>
      <c r="V102" s="104"/>
      <c r="W102" s="104"/>
      <c r="X102" s="104"/>
      <c r="Y102" s="104"/>
      <c r="Z102" s="104"/>
      <c r="AA102" s="104"/>
      <c r="AB102" s="104"/>
      <c r="AC102" s="104"/>
      <c r="AD102" s="104"/>
    </row>
    <row r="103" ht="21" customHeight="1" spans="1:30">
      <c r="A103" s="6" t="s">
        <v>78</v>
      </c>
      <c r="B103" s="158">
        <v>45846</v>
      </c>
      <c r="C103" s="104" t="str">
        <f t="shared" si="1"/>
        <v>2025年7月</v>
      </c>
      <c r="D103" s="104" t="s">
        <v>10</v>
      </c>
      <c r="E103" s="159" t="s">
        <v>1005</v>
      </c>
      <c r="F103" s="104" t="s">
        <v>1006</v>
      </c>
      <c r="G103" s="195" t="s">
        <v>1011</v>
      </c>
      <c r="H103" s="40" t="s">
        <v>40</v>
      </c>
      <c r="I103" s="152" t="s">
        <v>1374</v>
      </c>
      <c r="J103" s="109" t="s">
        <v>82</v>
      </c>
      <c r="K103" s="104"/>
      <c r="L103" s="159" t="s">
        <v>1375</v>
      </c>
      <c r="M103" s="104" t="s">
        <v>1376</v>
      </c>
      <c r="N103" s="104" t="s">
        <v>1377</v>
      </c>
      <c r="O103" s="197">
        <v>100</v>
      </c>
      <c r="P103" s="104" t="s">
        <v>139</v>
      </c>
      <c r="Q103" s="104" t="s">
        <v>105</v>
      </c>
      <c r="R103" s="198" t="s">
        <v>85</v>
      </c>
      <c r="S103" s="198"/>
      <c r="T103" s="104"/>
      <c r="U103" s="104"/>
      <c r="V103" s="104"/>
      <c r="W103" s="104"/>
      <c r="X103" s="104"/>
      <c r="Y103" s="104"/>
      <c r="Z103" s="104"/>
      <c r="AA103" s="104"/>
      <c r="AB103" s="104"/>
      <c r="AC103" s="104"/>
      <c r="AD103" s="104"/>
    </row>
    <row r="104" ht="21" customHeight="1" spans="1:30">
      <c r="A104" s="6" t="s">
        <v>78</v>
      </c>
      <c r="B104" s="158">
        <v>45846</v>
      </c>
      <c r="C104" s="104" t="str">
        <f t="shared" si="1"/>
        <v>2025年7月</v>
      </c>
      <c r="D104" s="104" t="s">
        <v>10</v>
      </c>
      <c r="E104" s="159" t="s">
        <v>1378</v>
      </c>
      <c r="F104" s="104" t="s">
        <v>1006</v>
      </c>
      <c r="G104" s="195" t="s">
        <v>1007</v>
      </c>
      <c r="H104" s="40" t="s">
        <v>40</v>
      </c>
      <c r="I104" s="152" t="s">
        <v>1379</v>
      </c>
      <c r="J104" s="109" t="s">
        <v>82</v>
      </c>
      <c r="K104" s="104"/>
      <c r="L104" s="159" t="s">
        <v>1380</v>
      </c>
      <c r="M104" s="104" t="s">
        <v>1023</v>
      </c>
      <c r="N104" s="104" t="s">
        <v>1381</v>
      </c>
      <c r="O104" s="197">
        <v>323.63</v>
      </c>
      <c r="P104" s="104" t="s">
        <v>80</v>
      </c>
      <c r="Q104" s="104" t="s">
        <v>105</v>
      </c>
      <c r="R104" s="198" t="s">
        <v>120</v>
      </c>
      <c r="S104" s="198"/>
      <c r="T104" s="104"/>
      <c r="U104" s="104"/>
      <c r="V104" s="104"/>
      <c r="W104" s="104"/>
      <c r="X104" s="104"/>
      <c r="Y104" s="104"/>
      <c r="Z104" s="104"/>
      <c r="AA104" s="104"/>
      <c r="AB104" s="104"/>
      <c r="AC104" s="104"/>
      <c r="AD104" s="104"/>
    </row>
    <row r="105" ht="21" customHeight="1" spans="1:30">
      <c r="A105" s="6" t="s">
        <v>78</v>
      </c>
      <c r="B105" s="158">
        <v>45846</v>
      </c>
      <c r="C105" s="104" t="str">
        <f t="shared" si="1"/>
        <v>2025年7月</v>
      </c>
      <c r="D105" s="104" t="s">
        <v>10</v>
      </c>
      <c r="E105" s="159" t="s">
        <v>1378</v>
      </c>
      <c r="F105" s="104" t="s">
        <v>1006</v>
      </c>
      <c r="G105" s="195" t="s">
        <v>1007</v>
      </c>
      <c r="H105" s="40" t="s">
        <v>40</v>
      </c>
      <c r="I105" s="152" t="s">
        <v>1382</v>
      </c>
      <c r="J105" s="109" t="s">
        <v>82</v>
      </c>
      <c r="K105" s="104"/>
      <c r="L105" s="159" t="s">
        <v>1380</v>
      </c>
      <c r="M105" s="104" t="s">
        <v>1023</v>
      </c>
      <c r="N105" s="104" t="s">
        <v>1383</v>
      </c>
      <c r="O105" s="197">
        <v>248.91</v>
      </c>
      <c r="P105" s="104" t="s">
        <v>80</v>
      </c>
      <c r="Q105" s="104" t="s">
        <v>105</v>
      </c>
      <c r="R105" s="198" t="s">
        <v>120</v>
      </c>
      <c r="S105" s="198"/>
      <c r="T105" s="104"/>
      <c r="U105" s="104"/>
      <c r="V105" s="104"/>
      <c r="W105" s="104"/>
      <c r="X105" s="104"/>
      <c r="Y105" s="104"/>
      <c r="Z105" s="104"/>
      <c r="AA105" s="104"/>
      <c r="AB105" s="104"/>
      <c r="AC105" s="104"/>
      <c r="AD105" s="104"/>
    </row>
    <row r="106" ht="21" customHeight="1" spans="1:30">
      <c r="A106" s="6" t="s">
        <v>142</v>
      </c>
      <c r="B106" s="158">
        <v>45852</v>
      </c>
      <c r="C106" s="104" t="str">
        <f t="shared" si="1"/>
        <v>2025年7月</v>
      </c>
      <c r="D106" s="104" t="s">
        <v>11</v>
      </c>
      <c r="E106" s="159" t="s">
        <v>1352</v>
      </c>
      <c r="F106" s="104" t="s">
        <v>1029</v>
      </c>
      <c r="G106" s="195" t="s">
        <v>1011</v>
      </c>
      <c r="H106" s="40" t="s">
        <v>39</v>
      </c>
      <c r="I106" s="152" t="s">
        <v>1384</v>
      </c>
      <c r="J106" s="109" t="s">
        <v>82</v>
      </c>
      <c r="K106" s="104"/>
      <c r="L106" s="159" t="s">
        <v>1354</v>
      </c>
      <c r="M106" s="104" t="s">
        <v>1355</v>
      </c>
      <c r="N106" s="104" t="s">
        <v>1385</v>
      </c>
      <c r="O106" s="197" t="s">
        <v>1386</v>
      </c>
      <c r="P106" s="104" t="s">
        <v>173</v>
      </c>
      <c r="Q106" s="104" t="s">
        <v>7</v>
      </c>
      <c r="R106" s="198" t="s">
        <v>300</v>
      </c>
      <c r="S106" s="198" t="s">
        <v>1387</v>
      </c>
      <c r="T106" s="104"/>
      <c r="U106" s="104"/>
      <c r="V106" s="104"/>
      <c r="W106" s="104"/>
      <c r="X106" s="104"/>
      <c r="Y106" s="104"/>
      <c r="Z106" s="104"/>
      <c r="AA106" s="104"/>
      <c r="AB106" s="104"/>
      <c r="AC106" s="104"/>
      <c r="AD106" s="104"/>
    </row>
    <row r="107" ht="21" customHeight="1" spans="1:30">
      <c r="A107" s="6" t="s">
        <v>207</v>
      </c>
      <c r="B107" s="158">
        <v>45847</v>
      </c>
      <c r="C107" s="104" t="str">
        <f t="shared" si="1"/>
        <v>2025年7月</v>
      </c>
      <c r="D107" s="104" t="s">
        <v>11</v>
      </c>
      <c r="E107" s="159" t="s">
        <v>1388</v>
      </c>
      <c r="F107" s="104" t="s">
        <v>1006</v>
      </c>
      <c r="G107" s="195" t="s">
        <v>1011</v>
      </c>
      <c r="H107" s="40" t="s">
        <v>40</v>
      </c>
      <c r="I107" s="152" t="s">
        <v>1389</v>
      </c>
      <c r="J107" s="109" t="s">
        <v>82</v>
      </c>
      <c r="K107" s="104"/>
      <c r="L107" s="159" t="s">
        <v>1390</v>
      </c>
      <c r="M107" s="104" t="s">
        <v>1391</v>
      </c>
      <c r="N107" s="104" t="s">
        <v>1392</v>
      </c>
      <c r="O107" s="197">
        <v>911600</v>
      </c>
      <c r="P107" s="104" t="s">
        <v>1062</v>
      </c>
      <c r="Q107" s="104" t="s">
        <v>7</v>
      </c>
      <c r="R107" s="198" t="s">
        <v>270</v>
      </c>
      <c r="S107" s="198"/>
      <c r="T107" s="104"/>
      <c r="U107" s="104"/>
      <c r="V107" s="104"/>
      <c r="W107" s="104"/>
      <c r="X107" s="104"/>
      <c r="Y107" s="104"/>
      <c r="Z107" s="104"/>
      <c r="AA107" s="104"/>
      <c r="AB107" s="104"/>
      <c r="AC107" s="104"/>
      <c r="AD107" s="104"/>
    </row>
    <row r="108" ht="21" customHeight="1" spans="1:30">
      <c r="A108" s="6" t="s">
        <v>142</v>
      </c>
      <c r="B108" s="158">
        <v>45853</v>
      </c>
      <c r="C108" s="104" t="str">
        <f t="shared" si="1"/>
        <v>2025年7月</v>
      </c>
      <c r="D108" s="104" t="s">
        <v>12</v>
      </c>
      <c r="E108" s="159" t="s">
        <v>1045</v>
      </c>
      <c r="F108" s="104" t="s">
        <v>1029</v>
      </c>
      <c r="G108" s="195" t="s">
        <v>1007</v>
      </c>
      <c r="H108" s="40" t="s">
        <v>48</v>
      </c>
      <c r="I108" s="152" t="s">
        <v>1393</v>
      </c>
      <c r="J108" s="109" t="s">
        <v>82</v>
      </c>
      <c r="K108" s="158">
        <v>45854</v>
      </c>
      <c r="L108" s="159" t="s">
        <v>1394</v>
      </c>
      <c r="M108" s="104" t="s">
        <v>1395</v>
      </c>
      <c r="N108" s="104" t="s">
        <v>920</v>
      </c>
      <c r="O108" s="197">
        <v>40000</v>
      </c>
      <c r="P108" s="104" t="s">
        <v>173</v>
      </c>
      <c r="Q108" s="104" t="s">
        <v>7</v>
      </c>
      <c r="R108" s="198" t="s">
        <v>129</v>
      </c>
      <c r="S108" s="198"/>
      <c r="T108" s="104"/>
      <c r="U108" s="104"/>
      <c r="V108" s="104"/>
      <c r="W108" s="104"/>
      <c r="X108" s="104"/>
      <c r="Y108" s="104"/>
      <c r="Z108" s="104"/>
      <c r="AA108" s="104"/>
      <c r="AB108" s="104"/>
      <c r="AC108" s="104"/>
      <c r="AD108" s="104"/>
    </row>
    <row r="109" ht="21" customHeight="1" spans="1:30">
      <c r="A109" s="6" t="s">
        <v>142</v>
      </c>
      <c r="B109" s="158">
        <v>45855</v>
      </c>
      <c r="C109" s="104" t="str">
        <f t="shared" si="1"/>
        <v>2025年7月</v>
      </c>
      <c r="D109" s="104" t="s">
        <v>12</v>
      </c>
      <c r="E109" s="159" t="s">
        <v>1045</v>
      </c>
      <c r="F109" s="104" t="s">
        <v>1006</v>
      </c>
      <c r="G109" s="195" t="s">
        <v>1007</v>
      </c>
      <c r="H109" s="40" t="s">
        <v>39</v>
      </c>
      <c r="I109" s="153" t="s">
        <v>1396</v>
      </c>
      <c r="J109" s="109" t="s">
        <v>82</v>
      </c>
      <c r="K109" s="104"/>
      <c r="L109" s="159" t="s">
        <v>1397</v>
      </c>
      <c r="M109" s="104" t="s">
        <v>1398</v>
      </c>
      <c r="N109" s="104" t="s">
        <v>1399</v>
      </c>
      <c r="O109" s="197">
        <v>3803.5</v>
      </c>
      <c r="P109" s="104" t="s">
        <v>173</v>
      </c>
      <c r="Q109" s="104" t="s">
        <v>7</v>
      </c>
      <c r="R109" s="198" t="s">
        <v>146</v>
      </c>
      <c r="S109" s="198"/>
      <c r="T109" s="104"/>
      <c r="U109" s="104"/>
      <c r="V109" s="104"/>
      <c r="W109" s="104"/>
      <c r="X109" s="104"/>
      <c r="Y109" s="104"/>
      <c r="Z109" s="104"/>
      <c r="AA109" s="104"/>
      <c r="AB109" s="104"/>
      <c r="AC109" s="104"/>
      <c r="AD109" s="104"/>
    </row>
    <row r="110" ht="21" customHeight="1" spans="1:30">
      <c r="A110" s="6" t="s">
        <v>78</v>
      </c>
      <c r="B110" s="158">
        <v>45856</v>
      </c>
      <c r="C110" s="104" t="str">
        <f t="shared" si="1"/>
        <v>2025年7月</v>
      </c>
      <c r="D110" s="104" t="s">
        <v>10</v>
      </c>
      <c r="E110" s="159" t="s">
        <v>1400</v>
      </c>
      <c r="F110" s="104" t="s">
        <v>1029</v>
      </c>
      <c r="G110" s="195" t="s">
        <v>1007</v>
      </c>
      <c r="H110" s="40" t="s">
        <v>51</v>
      </c>
      <c r="I110" s="152" t="s">
        <v>1401</v>
      </c>
      <c r="J110" s="109" t="s">
        <v>82</v>
      </c>
      <c r="K110" s="104"/>
      <c r="L110" s="159" t="s">
        <v>1402</v>
      </c>
      <c r="M110" s="104" t="s">
        <v>1403</v>
      </c>
      <c r="N110" s="104" t="s">
        <v>1404</v>
      </c>
      <c r="O110" s="197">
        <v>362338.95</v>
      </c>
      <c r="P110" s="104" t="s">
        <v>1062</v>
      </c>
      <c r="Q110" s="104" t="s">
        <v>7</v>
      </c>
      <c r="R110" s="198" t="s">
        <v>85</v>
      </c>
      <c r="S110" s="198"/>
      <c r="T110" s="104"/>
      <c r="U110" s="104"/>
      <c r="V110" s="104"/>
      <c r="W110" s="104"/>
      <c r="X110" s="104"/>
      <c r="Y110" s="104"/>
      <c r="Z110" s="104"/>
      <c r="AA110" s="104"/>
      <c r="AB110" s="104"/>
      <c r="AC110" s="104"/>
      <c r="AD110" s="104"/>
    </row>
    <row r="111" ht="21" customHeight="1" spans="1:30">
      <c r="A111" s="6" t="s">
        <v>207</v>
      </c>
      <c r="B111" s="158">
        <v>45856</v>
      </c>
      <c r="C111" s="104" t="str">
        <f t="shared" si="1"/>
        <v>2025年7月</v>
      </c>
      <c r="D111" s="104" t="s">
        <v>12</v>
      </c>
      <c r="E111" s="159" t="s">
        <v>1028</v>
      </c>
      <c r="F111" s="104" t="s">
        <v>1029</v>
      </c>
      <c r="G111" s="195" t="s">
        <v>1007</v>
      </c>
      <c r="H111" s="40" t="s">
        <v>48</v>
      </c>
      <c r="I111" s="152" t="s">
        <v>1405</v>
      </c>
      <c r="J111" s="109" t="s">
        <v>82</v>
      </c>
      <c r="K111" s="158">
        <v>45861</v>
      </c>
      <c r="L111" s="159" t="s">
        <v>1071</v>
      </c>
      <c r="M111" s="104" t="s">
        <v>1072</v>
      </c>
      <c r="N111" s="104" t="s">
        <v>1406</v>
      </c>
      <c r="O111" s="197">
        <v>4440333.52</v>
      </c>
      <c r="P111" s="104" t="s">
        <v>1062</v>
      </c>
      <c r="Q111" s="104" t="s">
        <v>7</v>
      </c>
      <c r="R111" s="198" t="s">
        <v>146</v>
      </c>
      <c r="S111" s="198" t="s">
        <v>1407</v>
      </c>
      <c r="T111" s="104"/>
      <c r="U111" s="104"/>
      <c r="V111" s="104"/>
      <c r="W111" s="104"/>
      <c r="X111" s="104"/>
      <c r="Y111" s="104"/>
      <c r="Z111" s="104"/>
      <c r="AA111" s="104"/>
      <c r="AB111" s="104"/>
      <c r="AC111" s="104"/>
      <c r="AD111" s="104"/>
    </row>
    <row r="112" ht="21" customHeight="1" spans="1:30">
      <c r="A112" s="6" t="s">
        <v>142</v>
      </c>
      <c r="B112" s="158">
        <v>45856</v>
      </c>
      <c r="C112" s="104" t="str">
        <f t="shared" si="1"/>
        <v>2025年7月</v>
      </c>
      <c r="D112" s="104" t="s">
        <v>10</v>
      </c>
      <c r="E112" s="159" t="s">
        <v>1408</v>
      </c>
      <c r="F112" s="104" t="s">
        <v>1006</v>
      </c>
      <c r="G112" s="195" t="s">
        <v>1007</v>
      </c>
      <c r="H112" s="40" t="s">
        <v>40</v>
      </c>
      <c r="I112" s="152" t="s">
        <v>1409</v>
      </c>
      <c r="J112" s="109" t="s">
        <v>82</v>
      </c>
      <c r="K112" s="104"/>
      <c r="L112" s="159" t="s">
        <v>1410</v>
      </c>
      <c r="M112" s="104" t="s">
        <v>1411</v>
      </c>
      <c r="N112" s="104" t="s">
        <v>1412</v>
      </c>
      <c r="O112" s="197">
        <v>13.06</v>
      </c>
      <c r="P112" s="104" t="s">
        <v>139</v>
      </c>
      <c r="Q112" s="104" t="s">
        <v>105</v>
      </c>
      <c r="R112" s="198" t="s">
        <v>261</v>
      </c>
      <c r="S112" s="198" t="s">
        <v>1413</v>
      </c>
      <c r="T112" s="104"/>
      <c r="U112" s="104"/>
      <c r="V112" s="104"/>
      <c r="W112" s="104"/>
      <c r="X112" s="104"/>
      <c r="Y112" s="104"/>
      <c r="Z112" s="104"/>
      <c r="AA112" s="104"/>
      <c r="AB112" s="104"/>
      <c r="AC112" s="104"/>
      <c r="AD112" s="104"/>
    </row>
    <row r="113" ht="21" customHeight="1" spans="1:30">
      <c r="A113" s="6" t="s">
        <v>142</v>
      </c>
      <c r="B113" s="158">
        <v>45860</v>
      </c>
      <c r="C113" s="104" t="str">
        <f t="shared" si="1"/>
        <v>2025年7月</v>
      </c>
      <c r="D113" s="104" t="s">
        <v>11</v>
      </c>
      <c r="E113" s="159" t="s">
        <v>1414</v>
      </c>
      <c r="F113" s="104" t="s">
        <v>1029</v>
      </c>
      <c r="G113" s="195" t="s">
        <v>1276</v>
      </c>
      <c r="H113" s="40" t="s">
        <v>39</v>
      </c>
      <c r="I113" s="152" t="s">
        <v>1415</v>
      </c>
      <c r="J113" s="109" t="s">
        <v>82</v>
      </c>
      <c r="K113" s="104"/>
      <c r="L113" s="159" t="s">
        <v>1354</v>
      </c>
      <c r="M113" s="104" t="s">
        <v>1387</v>
      </c>
      <c r="N113" s="104" t="s">
        <v>1356</v>
      </c>
      <c r="O113" s="197">
        <v>18925</v>
      </c>
      <c r="P113" s="104" t="s">
        <v>173</v>
      </c>
      <c r="Q113" s="104" t="s">
        <v>7</v>
      </c>
      <c r="R113" s="198" t="s">
        <v>300</v>
      </c>
      <c r="S113" s="198"/>
      <c r="T113" s="104"/>
      <c r="U113" s="104"/>
      <c r="V113" s="104"/>
      <c r="W113" s="104"/>
      <c r="X113" s="104"/>
      <c r="Y113" s="104"/>
      <c r="Z113" s="104"/>
      <c r="AA113" s="104"/>
      <c r="AB113" s="104"/>
      <c r="AC113" s="104"/>
      <c r="AD113" s="104"/>
    </row>
    <row r="114" ht="28" spans="1:30">
      <c r="A114" s="6" t="s">
        <v>142</v>
      </c>
      <c r="B114" s="158">
        <v>45861</v>
      </c>
      <c r="C114" s="104" t="str">
        <f t="shared" si="1"/>
        <v>2025年7月</v>
      </c>
      <c r="D114" s="104" t="s">
        <v>12</v>
      </c>
      <c r="E114" s="159" t="s">
        <v>1416</v>
      </c>
      <c r="F114" s="104" t="s">
        <v>1029</v>
      </c>
      <c r="G114" s="195" t="s">
        <v>1007</v>
      </c>
      <c r="H114" s="40" t="s">
        <v>46</v>
      </c>
      <c r="I114" s="153" t="s">
        <v>1417</v>
      </c>
      <c r="J114" s="109" t="s">
        <v>82</v>
      </c>
      <c r="K114" s="104"/>
      <c r="L114" s="159" t="s">
        <v>1418</v>
      </c>
      <c r="M114" s="104" t="s">
        <v>1419</v>
      </c>
      <c r="N114" s="104" t="s">
        <v>1420</v>
      </c>
      <c r="O114" s="197">
        <v>800000</v>
      </c>
      <c r="P114" s="104" t="s">
        <v>149</v>
      </c>
      <c r="Q114" s="104" t="s">
        <v>7</v>
      </c>
      <c r="R114" s="198" t="s">
        <v>146</v>
      </c>
      <c r="S114" s="198"/>
      <c r="T114" s="104"/>
      <c r="U114" s="104"/>
      <c r="V114" s="104"/>
      <c r="W114" s="104"/>
      <c r="X114" s="104"/>
      <c r="Y114" s="104"/>
      <c r="Z114" s="104"/>
      <c r="AA114" s="104"/>
      <c r="AB114" s="104"/>
      <c r="AC114" s="104"/>
      <c r="AD114" s="104"/>
    </row>
    <row r="115" ht="28" spans="1:30">
      <c r="A115" s="6" t="s">
        <v>142</v>
      </c>
      <c r="B115" s="158">
        <v>45861</v>
      </c>
      <c r="C115" s="104" t="str">
        <f t="shared" si="1"/>
        <v>2025年7月</v>
      </c>
      <c r="D115" s="104" t="s">
        <v>11</v>
      </c>
      <c r="E115" s="159" t="s">
        <v>1421</v>
      </c>
      <c r="F115" s="104" t="s">
        <v>1006</v>
      </c>
      <c r="G115" s="195" t="s">
        <v>1007</v>
      </c>
      <c r="H115" s="40" t="s">
        <v>41</v>
      </c>
      <c r="I115" s="153" t="s">
        <v>1422</v>
      </c>
      <c r="J115" s="109" t="s">
        <v>422</v>
      </c>
      <c r="K115" s="104"/>
      <c r="L115" s="159" t="s">
        <v>590</v>
      </c>
      <c r="M115" s="104" t="s">
        <v>1423</v>
      </c>
      <c r="N115" s="104" t="s">
        <v>591</v>
      </c>
      <c r="O115" s="197">
        <v>50000000</v>
      </c>
      <c r="P115" s="104" t="s">
        <v>1037</v>
      </c>
      <c r="Q115" s="104" t="s">
        <v>7</v>
      </c>
      <c r="R115" s="198" t="s">
        <v>120</v>
      </c>
      <c r="S115" s="198"/>
      <c r="T115" s="104"/>
      <c r="U115" s="104"/>
      <c r="V115" s="104"/>
      <c r="W115" s="104"/>
      <c r="X115" s="104"/>
      <c r="Y115" s="104"/>
      <c r="Z115" s="104"/>
      <c r="AA115" s="104"/>
      <c r="AB115" s="104"/>
      <c r="AC115" s="104"/>
      <c r="AD115" s="104"/>
    </row>
    <row r="116" ht="21" customHeight="1" spans="1:30">
      <c r="A116" s="6" t="s">
        <v>142</v>
      </c>
      <c r="B116" s="158">
        <v>45862</v>
      </c>
      <c r="C116" s="104" t="str">
        <f t="shared" si="1"/>
        <v>2025年7月</v>
      </c>
      <c r="D116" s="104" t="s">
        <v>12</v>
      </c>
      <c r="E116" s="159" t="s">
        <v>1424</v>
      </c>
      <c r="F116" s="104" t="s">
        <v>1029</v>
      </c>
      <c r="G116" s="195" t="s">
        <v>1276</v>
      </c>
      <c r="H116" s="40" t="s">
        <v>39</v>
      </c>
      <c r="I116" s="152" t="s">
        <v>1425</v>
      </c>
      <c r="J116" s="109" t="s">
        <v>82</v>
      </c>
      <c r="K116" s="104"/>
      <c r="L116" s="159" t="s">
        <v>1296</v>
      </c>
      <c r="M116" s="104" t="s">
        <v>1426</v>
      </c>
      <c r="N116" s="104" t="s">
        <v>1298</v>
      </c>
      <c r="O116" s="197">
        <v>116585.64</v>
      </c>
      <c r="P116" s="104" t="s">
        <v>173</v>
      </c>
      <c r="Q116" s="104" t="s">
        <v>7</v>
      </c>
      <c r="R116" s="198" t="s">
        <v>111</v>
      </c>
      <c r="S116" s="198" t="s">
        <v>1427</v>
      </c>
      <c r="T116" s="104"/>
      <c r="U116" s="104"/>
      <c r="V116" s="104"/>
      <c r="W116" s="104"/>
      <c r="X116" s="104"/>
      <c r="Y116" s="104"/>
      <c r="Z116" s="104"/>
      <c r="AA116" s="104"/>
      <c r="AB116" s="104"/>
      <c r="AC116" s="104"/>
      <c r="AD116" s="104"/>
    </row>
    <row r="117" ht="21" customHeight="1" spans="1:30">
      <c r="A117" s="6" t="s">
        <v>142</v>
      </c>
      <c r="B117" s="158">
        <v>45863</v>
      </c>
      <c r="C117" s="104" t="str">
        <f t="shared" si="1"/>
        <v>2025年7月</v>
      </c>
      <c r="D117" s="104" t="s">
        <v>10</v>
      </c>
      <c r="E117" s="159" t="s">
        <v>1428</v>
      </c>
      <c r="F117" s="104" t="s">
        <v>1006</v>
      </c>
      <c r="G117" s="195" t="s">
        <v>1007</v>
      </c>
      <c r="H117" s="40" t="s">
        <v>40</v>
      </c>
      <c r="I117" s="152" t="s">
        <v>1429</v>
      </c>
      <c r="J117" s="109" t="s">
        <v>82</v>
      </c>
      <c r="K117" s="104"/>
      <c r="L117" s="159" t="s">
        <v>1430</v>
      </c>
      <c r="M117" s="104" t="s">
        <v>1431</v>
      </c>
      <c r="N117" s="104" t="s">
        <v>1432</v>
      </c>
      <c r="O117" s="197">
        <v>140</v>
      </c>
      <c r="P117" s="104" t="s">
        <v>149</v>
      </c>
      <c r="Q117" s="104" t="s">
        <v>7</v>
      </c>
      <c r="R117" s="198" t="s">
        <v>85</v>
      </c>
      <c r="S117" s="198"/>
      <c r="T117" s="104"/>
      <c r="U117" s="104"/>
      <c r="V117" s="104"/>
      <c r="W117" s="104"/>
      <c r="X117" s="104"/>
      <c r="Y117" s="104"/>
      <c r="Z117" s="104"/>
      <c r="AA117" s="104"/>
      <c r="AB117" s="104"/>
      <c r="AC117" s="104"/>
      <c r="AD117" s="104"/>
    </row>
    <row r="118" ht="21" customHeight="1" spans="1:30">
      <c r="A118" s="6" t="s">
        <v>142</v>
      </c>
      <c r="B118" s="158">
        <v>45863</v>
      </c>
      <c r="C118" s="104" t="str">
        <f t="shared" si="1"/>
        <v>2025年7月</v>
      </c>
      <c r="D118" s="104" t="s">
        <v>10</v>
      </c>
      <c r="E118" s="159" t="s">
        <v>1433</v>
      </c>
      <c r="F118" s="104" t="s">
        <v>1006</v>
      </c>
      <c r="G118" s="195" t="s">
        <v>1007</v>
      </c>
      <c r="H118" s="40" t="s">
        <v>40</v>
      </c>
      <c r="I118" s="152" t="s">
        <v>1434</v>
      </c>
      <c r="J118" s="109" t="s">
        <v>82</v>
      </c>
      <c r="K118" s="104"/>
      <c r="L118" s="159" t="s">
        <v>1435</v>
      </c>
      <c r="M118" s="104" t="s">
        <v>1411</v>
      </c>
      <c r="N118" s="104" t="s">
        <v>1436</v>
      </c>
      <c r="O118" s="197">
        <v>136.45</v>
      </c>
      <c r="P118" s="104" t="s">
        <v>139</v>
      </c>
      <c r="Q118" s="104" t="s">
        <v>105</v>
      </c>
      <c r="R118" s="198" t="s">
        <v>179</v>
      </c>
      <c r="S118" s="198"/>
      <c r="T118" s="104"/>
      <c r="U118" s="104"/>
      <c r="V118" s="104"/>
      <c r="W118" s="104"/>
      <c r="X118" s="104"/>
      <c r="Y118" s="104"/>
      <c r="Z118" s="104"/>
      <c r="AA118" s="104"/>
      <c r="AB118" s="104"/>
      <c r="AC118" s="104"/>
      <c r="AD118" s="104"/>
    </row>
    <row r="119" ht="21" customHeight="1" spans="1:30">
      <c r="A119" s="6" t="s">
        <v>142</v>
      </c>
      <c r="B119" s="158">
        <v>45867</v>
      </c>
      <c r="C119" s="104" t="str">
        <f t="shared" si="1"/>
        <v>2025年7月</v>
      </c>
      <c r="D119" s="104" t="s">
        <v>12</v>
      </c>
      <c r="E119" s="159" t="s">
        <v>1437</v>
      </c>
      <c r="F119" s="104" t="s">
        <v>1029</v>
      </c>
      <c r="G119" s="195" t="s">
        <v>1007</v>
      </c>
      <c r="H119" s="40" t="s">
        <v>48</v>
      </c>
      <c r="I119" s="152" t="s">
        <v>1438</v>
      </c>
      <c r="J119" s="109" t="s">
        <v>82</v>
      </c>
      <c r="K119" s="158">
        <v>45869</v>
      </c>
      <c r="L119" s="159" t="s">
        <v>1439</v>
      </c>
      <c r="M119" s="104" t="s">
        <v>1440</v>
      </c>
      <c r="N119" s="104" t="s">
        <v>1441</v>
      </c>
      <c r="O119" s="197">
        <v>67719.99</v>
      </c>
      <c r="P119" s="104" t="s">
        <v>149</v>
      </c>
      <c r="Q119" s="104" t="s">
        <v>7</v>
      </c>
      <c r="R119" s="198" t="s">
        <v>146</v>
      </c>
      <c r="S119" s="198"/>
      <c r="T119" s="104"/>
      <c r="U119" s="104"/>
      <c r="V119" s="104"/>
      <c r="W119" s="104"/>
      <c r="X119" s="104"/>
      <c r="Y119" s="104"/>
      <c r="Z119" s="104"/>
      <c r="AA119" s="104"/>
      <c r="AB119" s="104"/>
      <c r="AC119" s="104"/>
      <c r="AD119" s="104"/>
    </row>
    <row r="120" ht="21" customHeight="1" spans="1:30">
      <c r="A120" s="6" t="s">
        <v>142</v>
      </c>
      <c r="B120" s="158">
        <v>45868</v>
      </c>
      <c r="C120" s="104" t="str">
        <f t="shared" si="1"/>
        <v>2025年7月</v>
      </c>
      <c r="D120" s="104" t="s">
        <v>11</v>
      </c>
      <c r="E120" s="159"/>
      <c r="F120" s="104" t="s">
        <v>1006</v>
      </c>
      <c r="G120" s="195" t="s">
        <v>1007</v>
      </c>
      <c r="H120" s="40" t="s">
        <v>40</v>
      </c>
      <c r="I120" s="152" t="s">
        <v>1442</v>
      </c>
      <c r="J120" s="109" t="s">
        <v>82</v>
      </c>
      <c r="K120" s="104"/>
      <c r="L120" s="159" t="s">
        <v>326</v>
      </c>
      <c r="M120" s="104" t="s">
        <v>1443</v>
      </c>
      <c r="N120" s="104" t="s">
        <v>1444</v>
      </c>
      <c r="O120" s="197">
        <v>9750</v>
      </c>
      <c r="P120" s="104" t="s">
        <v>149</v>
      </c>
      <c r="Q120" s="104" t="s">
        <v>105</v>
      </c>
      <c r="R120" s="198" t="s">
        <v>111</v>
      </c>
      <c r="S120" s="198"/>
      <c r="T120" s="104"/>
      <c r="U120" s="104"/>
      <c r="V120" s="104"/>
      <c r="W120" s="104"/>
      <c r="X120" s="104"/>
      <c r="Y120" s="104"/>
      <c r="Z120" s="104"/>
      <c r="AA120" s="104"/>
      <c r="AB120" s="104"/>
      <c r="AC120" s="104"/>
      <c r="AD120" s="104"/>
    </row>
    <row r="121" ht="21" customHeight="1" spans="1:30">
      <c r="A121" s="6" t="s">
        <v>142</v>
      </c>
      <c r="B121" s="158">
        <v>45873</v>
      </c>
      <c r="C121" s="104" t="str">
        <f t="shared" si="1"/>
        <v>2025年8月</v>
      </c>
      <c r="D121" s="104" t="s">
        <v>10</v>
      </c>
      <c r="E121" s="159"/>
      <c r="F121" s="104" t="s">
        <v>1006</v>
      </c>
      <c r="G121" s="195" t="s">
        <v>1007</v>
      </c>
      <c r="H121" s="40" t="s">
        <v>40</v>
      </c>
      <c r="I121" s="152" t="s">
        <v>1445</v>
      </c>
      <c r="J121" s="109" t="s">
        <v>82</v>
      </c>
      <c r="K121" s="104"/>
      <c r="L121" s="159" t="s">
        <v>1375</v>
      </c>
      <c r="M121" s="104" t="s">
        <v>1446</v>
      </c>
      <c r="N121" s="104" t="s">
        <v>1447</v>
      </c>
      <c r="O121" s="197">
        <v>320</v>
      </c>
      <c r="P121" s="104" t="s">
        <v>149</v>
      </c>
      <c r="Q121" s="104" t="s">
        <v>105</v>
      </c>
      <c r="R121" s="198" t="s">
        <v>85</v>
      </c>
      <c r="S121" s="198"/>
      <c r="T121" s="104"/>
      <c r="U121" s="104"/>
      <c r="V121" s="104"/>
      <c r="W121" s="104"/>
      <c r="X121" s="104"/>
      <c r="Y121" s="104"/>
      <c r="Z121" s="104"/>
      <c r="AA121" s="104"/>
      <c r="AB121" s="104"/>
      <c r="AC121" s="104"/>
      <c r="AD121" s="104"/>
    </row>
    <row r="122" ht="21" customHeight="1" spans="1:30">
      <c r="A122" s="6" t="s">
        <v>207</v>
      </c>
      <c r="B122" s="158">
        <v>45875</v>
      </c>
      <c r="C122" s="104" t="str">
        <f t="shared" si="1"/>
        <v>2025年8月</v>
      </c>
      <c r="D122" s="104" t="s">
        <v>12</v>
      </c>
      <c r="E122" s="159" t="s">
        <v>1437</v>
      </c>
      <c r="F122" s="104" t="s">
        <v>1029</v>
      </c>
      <c r="G122" s="195" t="s">
        <v>1007</v>
      </c>
      <c r="H122" s="40" t="s">
        <v>48</v>
      </c>
      <c r="I122" s="152" t="s">
        <v>1448</v>
      </c>
      <c r="J122" s="109" t="s">
        <v>82</v>
      </c>
      <c r="K122" s="158">
        <v>45875</v>
      </c>
      <c r="L122" s="159" t="s">
        <v>1439</v>
      </c>
      <c r="M122" s="104" t="s">
        <v>1440</v>
      </c>
      <c r="N122" s="104" t="s">
        <v>1441</v>
      </c>
      <c r="O122" s="197">
        <v>76319.99</v>
      </c>
      <c r="P122" s="104" t="s">
        <v>149</v>
      </c>
      <c r="Q122" s="104" t="s">
        <v>7</v>
      </c>
      <c r="R122" s="198" t="s">
        <v>146</v>
      </c>
      <c r="S122" s="198"/>
      <c r="T122" s="104"/>
      <c r="U122" s="104"/>
      <c r="V122" s="104"/>
      <c r="W122" s="104"/>
      <c r="X122" s="104"/>
      <c r="Y122" s="104"/>
      <c r="Z122" s="104"/>
      <c r="AA122" s="104"/>
      <c r="AB122" s="104"/>
      <c r="AC122" s="104"/>
      <c r="AD122" s="104"/>
    </row>
    <row r="123" ht="21" customHeight="1" spans="1:30">
      <c r="A123" s="6" t="s">
        <v>142</v>
      </c>
      <c r="B123" s="158">
        <v>45877</v>
      </c>
      <c r="C123" s="104" t="str">
        <f t="shared" si="1"/>
        <v>2025年8月</v>
      </c>
      <c r="D123" s="104" t="s">
        <v>11</v>
      </c>
      <c r="E123" s="159"/>
      <c r="F123" s="104" t="s">
        <v>1006</v>
      </c>
      <c r="G123" s="195" t="s">
        <v>1007</v>
      </c>
      <c r="H123" s="40" t="s">
        <v>40</v>
      </c>
      <c r="I123" s="152" t="s">
        <v>1449</v>
      </c>
      <c r="J123" s="109" t="s">
        <v>82</v>
      </c>
      <c r="K123" s="104"/>
      <c r="L123" s="159" t="s">
        <v>1450</v>
      </c>
      <c r="M123" s="104" t="s">
        <v>1451</v>
      </c>
      <c r="N123" s="159" t="s">
        <v>1452</v>
      </c>
      <c r="O123" s="197">
        <v>24980</v>
      </c>
      <c r="P123" s="104" t="s">
        <v>149</v>
      </c>
      <c r="Q123" s="104" t="s">
        <v>105</v>
      </c>
      <c r="R123" s="198" t="s">
        <v>111</v>
      </c>
      <c r="S123" s="198"/>
      <c r="T123" s="104"/>
      <c r="U123" s="104"/>
      <c r="V123" s="104"/>
      <c r="W123" s="104"/>
      <c r="X123" s="104"/>
      <c r="Y123" s="104"/>
      <c r="Z123" s="104"/>
      <c r="AA123" s="104"/>
      <c r="AB123" s="104"/>
      <c r="AC123" s="104"/>
      <c r="AD123" s="104"/>
    </row>
    <row r="124" ht="21" customHeight="1" spans="1:30">
      <c r="A124" s="6" t="s">
        <v>207</v>
      </c>
      <c r="B124" s="158">
        <v>45882</v>
      </c>
      <c r="C124" s="104" t="str">
        <f t="shared" si="1"/>
        <v>2025年8月</v>
      </c>
      <c r="D124" s="104" t="s">
        <v>12</v>
      </c>
      <c r="E124" s="159" t="s">
        <v>1400</v>
      </c>
      <c r="F124" s="104" t="s">
        <v>1029</v>
      </c>
      <c r="G124" s="195" t="s">
        <v>1007</v>
      </c>
      <c r="H124" s="40" t="s">
        <v>46</v>
      </c>
      <c r="I124" s="152" t="s">
        <v>1453</v>
      </c>
      <c r="J124" s="109" t="s">
        <v>82</v>
      </c>
      <c r="K124" s="104"/>
      <c r="L124" s="159" t="s">
        <v>1454</v>
      </c>
      <c r="M124" s="104" t="s">
        <v>1455</v>
      </c>
      <c r="N124" s="104" t="s">
        <v>1456</v>
      </c>
      <c r="O124" s="197">
        <v>19500</v>
      </c>
      <c r="P124" s="104" t="s">
        <v>1062</v>
      </c>
      <c r="Q124" s="104" t="s">
        <v>7</v>
      </c>
      <c r="R124" s="198" t="s">
        <v>124</v>
      </c>
      <c r="S124" s="198" t="s">
        <v>1457</v>
      </c>
      <c r="T124" s="104"/>
      <c r="U124" s="104"/>
      <c r="V124" s="104"/>
      <c r="W124" s="104"/>
      <c r="X124" s="104"/>
      <c r="Y124" s="104"/>
      <c r="Z124" s="104"/>
      <c r="AA124" s="104"/>
      <c r="AB124" s="104"/>
      <c r="AC124" s="104"/>
      <c r="AD124" s="104"/>
    </row>
    <row r="125" ht="21" customHeight="1" spans="1:30">
      <c r="A125" s="6" t="s">
        <v>207</v>
      </c>
      <c r="B125" s="158">
        <v>45882</v>
      </c>
      <c r="C125" s="104" t="str">
        <f t="shared" si="1"/>
        <v>2025年8月</v>
      </c>
      <c r="D125" s="104" t="s">
        <v>12</v>
      </c>
      <c r="E125" s="159" t="s">
        <v>1028</v>
      </c>
      <c r="F125" s="104" t="s">
        <v>1029</v>
      </c>
      <c r="G125" s="195" t="s">
        <v>1007</v>
      </c>
      <c r="H125" s="40" t="s">
        <v>48</v>
      </c>
      <c r="I125" s="152" t="s">
        <v>1458</v>
      </c>
      <c r="J125" s="109" t="s">
        <v>82</v>
      </c>
      <c r="K125" s="158">
        <v>45884</v>
      </c>
      <c r="L125" s="159" t="s">
        <v>1071</v>
      </c>
      <c r="M125" s="104" t="s">
        <v>1072</v>
      </c>
      <c r="N125" s="104" t="s">
        <v>1406</v>
      </c>
      <c r="O125" s="197">
        <v>579338.59</v>
      </c>
      <c r="P125" s="104" t="s">
        <v>173</v>
      </c>
      <c r="Q125" s="104" t="s">
        <v>7</v>
      </c>
      <c r="R125" s="198" t="s">
        <v>146</v>
      </c>
      <c r="S125" s="198"/>
      <c r="T125" s="158">
        <v>45887</v>
      </c>
      <c r="U125" s="158">
        <v>45889</v>
      </c>
      <c r="V125" s="104"/>
      <c r="W125" s="104"/>
      <c r="X125" s="104"/>
      <c r="Y125" s="104"/>
      <c r="Z125" s="104"/>
      <c r="AA125" s="104"/>
      <c r="AB125" s="104"/>
      <c r="AC125" s="104"/>
      <c r="AD125" s="104"/>
    </row>
    <row r="126" ht="21" customHeight="1" spans="1:30">
      <c r="A126" s="6" t="s">
        <v>142</v>
      </c>
      <c r="B126" s="158">
        <v>45882</v>
      </c>
      <c r="C126" s="104" t="str">
        <f t="shared" si="1"/>
        <v>2025年8月</v>
      </c>
      <c r="D126" s="104" t="s">
        <v>10</v>
      </c>
      <c r="E126" s="159" t="s">
        <v>1400</v>
      </c>
      <c r="F126" s="104" t="s">
        <v>1029</v>
      </c>
      <c r="G126" s="195" t="s">
        <v>1007</v>
      </c>
      <c r="H126" s="40" t="s">
        <v>46</v>
      </c>
      <c r="I126" s="152" t="s">
        <v>1459</v>
      </c>
      <c r="J126" s="109" t="s">
        <v>82</v>
      </c>
      <c r="K126" s="104"/>
      <c r="L126" s="159" t="s">
        <v>1460</v>
      </c>
      <c r="M126" s="104" t="s">
        <v>1461</v>
      </c>
      <c r="N126" s="104" t="s">
        <v>1462</v>
      </c>
      <c r="O126" s="197">
        <v>13797.94</v>
      </c>
      <c r="P126" s="104" t="s">
        <v>173</v>
      </c>
      <c r="Q126" s="104" t="s">
        <v>7</v>
      </c>
      <c r="R126" s="198" t="s">
        <v>85</v>
      </c>
      <c r="S126" s="198"/>
      <c r="T126" s="104"/>
      <c r="U126" s="104"/>
      <c r="V126" s="104"/>
      <c r="W126" s="104"/>
      <c r="X126" s="104"/>
      <c r="Y126" s="104"/>
      <c r="Z126" s="104"/>
      <c r="AA126" s="104"/>
      <c r="AB126" s="104"/>
      <c r="AC126" s="104"/>
      <c r="AD126" s="104"/>
    </row>
    <row r="127" ht="21" customHeight="1" spans="1:30">
      <c r="A127" s="6" t="s">
        <v>207</v>
      </c>
      <c r="B127" s="158">
        <v>45882</v>
      </c>
      <c r="C127" s="104" t="str">
        <f t="shared" si="1"/>
        <v>2025年8月</v>
      </c>
      <c r="D127" s="104" t="s">
        <v>10</v>
      </c>
      <c r="E127" s="200" t="s">
        <v>250</v>
      </c>
      <c r="F127" s="104" t="s">
        <v>1006</v>
      </c>
      <c r="G127" s="195" t="s">
        <v>1007</v>
      </c>
      <c r="H127" s="40" t="s">
        <v>40</v>
      </c>
      <c r="I127" s="152" t="s">
        <v>1463</v>
      </c>
      <c r="J127" s="109" t="s">
        <v>82</v>
      </c>
      <c r="K127" s="104"/>
      <c r="L127" s="159" t="s">
        <v>931</v>
      </c>
      <c r="M127" s="104" t="s">
        <v>1316</v>
      </c>
      <c r="N127" s="104" t="s">
        <v>932</v>
      </c>
      <c r="O127" s="197">
        <v>181</v>
      </c>
      <c r="P127" s="104" t="s">
        <v>80</v>
      </c>
      <c r="Q127" s="104" t="s">
        <v>105</v>
      </c>
      <c r="R127" s="198" t="s">
        <v>261</v>
      </c>
      <c r="S127" s="198"/>
      <c r="T127" s="104"/>
      <c r="U127" s="104"/>
      <c r="V127" s="104"/>
      <c r="W127" s="104"/>
      <c r="X127" s="104"/>
      <c r="Y127" s="104"/>
      <c r="Z127" s="104"/>
      <c r="AA127" s="104"/>
      <c r="AB127" s="104"/>
      <c r="AC127" s="104"/>
      <c r="AD127" s="104"/>
    </row>
    <row r="128" ht="21" customHeight="1" spans="1:30">
      <c r="A128" s="6" t="s">
        <v>142</v>
      </c>
      <c r="B128" s="158">
        <v>45882</v>
      </c>
      <c r="C128" s="104" t="str">
        <f t="shared" si="1"/>
        <v>2025年8月</v>
      </c>
      <c r="D128" s="104" t="s">
        <v>12</v>
      </c>
      <c r="E128" s="159" t="s">
        <v>1101</v>
      </c>
      <c r="F128" s="104" t="s">
        <v>1029</v>
      </c>
      <c r="G128" s="195" t="s">
        <v>1007</v>
      </c>
      <c r="H128" s="40" t="s">
        <v>44</v>
      </c>
      <c r="I128" s="152" t="s">
        <v>1464</v>
      </c>
      <c r="J128" s="109" t="s">
        <v>82</v>
      </c>
      <c r="K128" s="104"/>
      <c r="L128" s="159" t="s">
        <v>1103</v>
      </c>
      <c r="M128" s="104" t="s">
        <v>1104</v>
      </c>
      <c r="N128" s="104" t="s">
        <v>1465</v>
      </c>
      <c r="O128" s="197">
        <v>3800</v>
      </c>
      <c r="P128" s="104" t="s">
        <v>1466</v>
      </c>
      <c r="Q128" s="104" t="s">
        <v>7</v>
      </c>
      <c r="R128" s="198" t="s">
        <v>161</v>
      </c>
      <c r="S128" s="198"/>
      <c r="T128" s="104"/>
      <c r="U128" s="104"/>
      <c r="V128" s="104"/>
      <c r="W128" s="104"/>
      <c r="X128" s="104"/>
      <c r="Y128" s="104"/>
      <c r="Z128" s="104"/>
      <c r="AA128" s="104"/>
      <c r="AB128" s="104"/>
      <c r="AC128" s="104"/>
      <c r="AD128" s="104"/>
    </row>
    <row r="129" ht="21" customHeight="1" spans="1:30">
      <c r="A129" s="6" t="s">
        <v>207</v>
      </c>
      <c r="B129" s="158">
        <v>45883</v>
      </c>
      <c r="C129" s="104" t="str">
        <f t="shared" si="1"/>
        <v>2025年8月</v>
      </c>
      <c r="D129" s="104" t="s">
        <v>12</v>
      </c>
      <c r="E129" s="159" t="s">
        <v>1467</v>
      </c>
      <c r="F129" s="104" t="s">
        <v>1029</v>
      </c>
      <c r="G129" s="195" t="s">
        <v>1007</v>
      </c>
      <c r="H129" s="40" t="s">
        <v>39</v>
      </c>
      <c r="I129" s="152" t="s">
        <v>1468</v>
      </c>
      <c r="J129" s="109" t="s">
        <v>82</v>
      </c>
      <c r="K129" s="104"/>
      <c r="L129" s="159" t="s">
        <v>1469</v>
      </c>
      <c r="M129" s="104" t="s">
        <v>1470</v>
      </c>
      <c r="N129" s="104" t="s">
        <v>1471</v>
      </c>
      <c r="O129" s="197">
        <v>12408.8</v>
      </c>
      <c r="P129" s="104" t="s">
        <v>173</v>
      </c>
      <c r="Q129" s="104" t="s">
        <v>7</v>
      </c>
      <c r="R129" s="198" t="s">
        <v>136</v>
      </c>
      <c r="S129" s="198"/>
      <c r="T129" s="104"/>
      <c r="U129" s="104"/>
      <c r="V129" s="104"/>
      <c r="W129" s="104"/>
      <c r="X129" s="104"/>
      <c r="Y129" s="104"/>
      <c r="Z129" s="104"/>
      <c r="AA129" s="104"/>
      <c r="AB129" s="104"/>
      <c r="AC129" s="104"/>
      <c r="AD129" s="104"/>
    </row>
    <row r="130" ht="21" customHeight="1" spans="1:30">
      <c r="A130" s="6" t="s">
        <v>207</v>
      </c>
      <c r="B130" s="158">
        <v>45883</v>
      </c>
      <c r="C130" s="104" t="str">
        <f t="shared" ref="C130:C164" si="2">YEAR(B130)&amp;"年"&amp;MONTH(B130)&amp;"月"</f>
        <v>2025年8月</v>
      </c>
      <c r="D130" s="104" t="s">
        <v>11</v>
      </c>
      <c r="E130" s="159" t="s">
        <v>1352</v>
      </c>
      <c r="F130" s="104" t="s">
        <v>1029</v>
      </c>
      <c r="G130" s="195" t="s">
        <v>1007</v>
      </c>
      <c r="H130" s="40" t="s">
        <v>48</v>
      </c>
      <c r="I130" s="152" t="s">
        <v>1472</v>
      </c>
      <c r="J130" s="109" t="s">
        <v>82</v>
      </c>
      <c r="K130" s="158">
        <v>45884</v>
      </c>
      <c r="L130" s="159" t="s">
        <v>1473</v>
      </c>
      <c r="M130" s="104" t="s">
        <v>1474</v>
      </c>
      <c r="N130" s="104" t="s">
        <v>1475</v>
      </c>
      <c r="O130" s="197">
        <v>298492.54</v>
      </c>
      <c r="P130" s="104" t="s">
        <v>173</v>
      </c>
      <c r="Q130" s="104" t="s">
        <v>105</v>
      </c>
      <c r="R130" s="198" t="s">
        <v>270</v>
      </c>
      <c r="S130" s="198"/>
      <c r="T130" s="104"/>
      <c r="U130" s="104"/>
      <c r="V130" s="104"/>
      <c r="W130" s="104"/>
      <c r="X130" s="104"/>
      <c r="Y130" s="104"/>
      <c r="Z130" s="104"/>
      <c r="AA130" s="104"/>
      <c r="AB130" s="104"/>
      <c r="AC130" s="104"/>
      <c r="AD130" s="104"/>
    </row>
    <row r="131" ht="21" customHeight="1" spans="1:30">
      <c r="A131" s="6" t="s">
        <v>207</v>
      </c>
      <c r="B131" s="158">
        <v>45888</v>
      </c>
      <c r="C131" s="104" t="str">
        <f t="shared" si="2"/>
        <v>2025年8月</v>
      </c>
      <c r="D131" s="104" t="s">
        <v>11</v>
      </c>
      <c r="E131" s="159" t="s">
        <v>1352</v>
      </c>
      <c r="F131" s="104" t="s">
        <v>1029</v>
      </c>
      <c r="G131" s="195" t="s">
        <v>1011</v>
      </c>
      <c r="H131" s="40" t="s">
        <v>48</v>
      </c>
      <c r="I131" s="152" t="s">
        <v>1476</v>
      </c>
      <c r="J131" s="109" t="s">
        <v>82</v>
      </c>
      <c r="K131" s="158">
        <v>45889</v>
      </c>
      <c r="L131" s="159" t="s">
        <v>1473</v>
      </c>
      <c r="M131" s="104" t="s">
        <v>1474</v>
      </c>
      <c r="N131" s="104" t="s">
        <v>1475</v>
      </c>
      <c r="O131" s="197">
        <v>298492.54</v>
      </c>
      <c r="P131" s="104" t="s">
        <v>173</v>
      </c>
      <c r="Q131" s="104" t="s">
        <v>7</v>
      </c>
      <c r="R131" s="198" t="s">
        <v>270</v>
      </c>
      <c r="S131" s="198" t="s">
        <v>1477</v>
      </c>
      <c r="T131" s="104"/>
      <c r="U131" s="104"/>
      <c r="V131" s="104"/>
      <c r="W131" s="104"/>
      <c r="X131" s="104"/>
      <c r="Y131" s="104"/>
      <c r="Z131" s="104"/>
      <c r="AA131" s="104"/>
      <c r="AB131" s="104"/>
      <c r="AC131" s="104"/>
      <c r="AD131" s="104"/>
    </row>
    <row r="132" ht="21" customHeight="1" spans="1:30">
      <c r="A132" s="6" t="s">
        <v>142</v>
      </c>
      <c r="B132" s="158">
        <v>45889</v>
      </c>
      <c r="C132" s="104" t="str">
        <f t="shared" si="2"/>
        <v>2025年8月</v>
      </c>
      <c r="D132" s="104" t="s">
        <v>12</v>
      </c>
      <c r="E132" s="159" t="s">
        <v>1101</v>
      </c>
      <c r="F132" s="104" t="s">
        <v>1029</v>
      </c>
      <c r="G132" s="195" t="s">
        <v>1007</v>
      </c>
      <c r="H132" s="40" t="s">
        <v>48</v>
      </c>
      <c r="I132" s="152" t="s">
        <v>1478</v>
      </c>
      <c r="J132" s="109" t="s">
        <v>82</v>
      </c>
      <c r="K132" s="158">
        <v>45889</v>
      </c>
      <c r="L132" s="159" t="s">
        <v>1210</v>
      </c>
      <c r="M132" s="104" t="s">
        <v>1211</v>
      </c>
      <c r="N132" s="104" t="s">
        <v>1479</v>
      </c>
      <c r="O132" s="197">
        <v>6165.7</v>
      </c>
      <c r="P132" s="104" t="s">
        <v>173</v>
      </c>
      <c r="Q132" s="104" t="s">
        <v>7</v>
      </c>
      <c r="R132" s="198" t="s">
        <v>111</v>
      </c>
      <c r="S132" s="198"/>
      <c r="T132" s="104"/>
      <c r="U132" s="104"/>
      <c r="V132" s="104"/>
      <c r="W132" s="104"/>
      <c r="X132" s="104"/>
      <c r="Y132" s="104"/>
      <c r="Z132" s="104"/>
      <c r="AA132" s="104"/>
      <c r="AB132" s="104"/>
      <c r="AC132" s="104"/>
      <c r="AD132" s="104"/>
    </row>
    <row r="133" ht="21" customHeight="1" spans="1:30">
      <c r="A133" s="6" t="s">
        <v>142</v>
      </c>
      <c r="B133" s="158">
        <v>45889</v>
      </c>
      <c r="C133" s="104" t="str">
        <f t="shared" si="2"/>
        <v>2025年8月</v>
      </c>
      <c r="D133" s="104" t="s">
        <v>12</v>
      </c>
      <c r="E133" s="159" t="s">
        <v>1101</v>
      </c>
      <c r="F133" s="104" t="s">
        <v>1029</v>
      </c>
      <c r="G133" s="195" t="s">
        <v>1007</v>
      </c>
      <c r="H133" s="40" t="s">
        <v>39</v>
      </c>
      <c r="I133" s="152" t="s">
        <v>1480</v>
      </c>
      <c r="J133" s="109" t="s">
        <v>82</v>
      </c>
      <c r="K133" s="104"/>
      <c r="L133" s="159" t="s">
        <v>1210</v>
      </c>
      <c r="M133" s="104" t="s">
        <v>1211</v>
      </c>
      <c r="N133" s="104" t="s">
        <v>1479</v>
      </c>
      <c r="O133" s="197">
        <v>2110</v>
      </c>
      <c r="P133" s="104" t="s">
        <v>173</v>
      </c>
      <c r="Q133" s="104" t="s">
        <v>105</v>
      </c>
      <c r="R133" s="198" t="s">
        <v>111</v>
      </c>
      <c r="S133" s="198"/>
      <c r="T133" s="104"/>
      <c r="U133" s="104"/>
      <c r="V133" s="104"/>
      <c r="W133" s="104"/>
      <c r="X133" s="104"/>
      <c r="Y133" s="104"/>
      <c r="Z133" s="104"/>
      <c r="AA133" s="104"/>
      <c r="AB133" s="104"/>
      <c r="AC133" s="104"/>
      <c r="AD133" s="104"/>
    </row>
    <row r="134" ht="21" customHeight="1" spans="1:30">
      <c r="A134" s="6" t="s">
        <v>142</v>
      </c>
      <c r="B134" s="158">
        <v>45889</v>
      </c>
      <c r="C134" s="104" t="str">
        <f t="shared" si="2"/>
        <v>2025年8月</v>
      </c>
      <c r="D134" s="104" t="s">
        <v>11</v>
      </c>
      <c r="E134" s="194" t="s">
        <v>1064</v>
      </c>
      <c r="F134" s="104" t="s">
        <v>1006</v>
      </c>
      <c r="G134" s="195" t="s">
        <v>1007</v>
      </c>
      <c r="H134" s="40" t="s">
        <v>39</v>
      </c>
      <c r="I134" s="152" t="s">
        <v>1481</v>
      </c>
      <c r="J134" s="109" t="s">
        <v>82</v>
      </c>
      <c r="K134" s="104"/>
      <c r="L134" s="159" t="s">
        <v>1268</v>
      </c>
      <c r="M134" s="104" t="s">
        <v>1269</v>
      </c>
      <c r="N134" s="104" t="s">
        <v>1270</v>
      </c>
      <c r="O134" s="197">
        <v>121593</v>
      </c>
      <c r="P134" s="104" t="s">
        <v>173</v>
      </c>
      <c r="Q134" s="104" t="s">
        <v>105</v>
      </c>
      <c r="R134" s="198" t="s">
        <v>111</v>
      </c>
      <c r="S134" s="198"/>
      <c r="T134" s="104"/>
      <c r="U134" s="104"/>
      <c r="V134" s="104"/>
      <c r="W134" s="104"/>
      <c r="X134" s="104"/>
      <c r="Y134" s="104"/>
      <c r="Z134" s="104"/>
      <c r="AA134" s="104"/>
      <c r="AB134" s="104"/>
      <c r="AC134" s="104"/>
      <c r="AD134" s="104"/>
    </row>
    <row r="135" ht="21" customHeight="1" spans="1:30">
      <c r="A135" s="6" t="s">
        <v>207</v>
      </c>
      <c r="B135" s="158">
        <v>45890</v>
      </c>
      <c r="C135" s="104" t="str">
        <f t="shared" si="2"/>
        <v>2025年8月</v>
      </c>
      <c r="D135" s="104" t="s">
        <v>12</v>
      </c>
      <c r="E135" s="159" t="s">
        <v>1482</v>
      </c>
      <c r="F135" s="104" t="s">
        <v>1029</v>
      </c>
      <c r="G135" s="195" t="s">
        <v>1007</v>
      </c>
      <c r="H135" s="40" t="s">
        <v>48</v>
      </c>
      <c r="I135" s="152" t="s">
        <v>1483</v>
      </c>
      <c r="J135" s="109" t="s">
        <v>422</v>
      </c>
      <c r="K135" s="158">
        <v>45891</v>
      </c>
      <c r="L135" s="159" t="s">
        <v>1484</v>
      </c>
      <c r="M135" s="104" t="s">
        <v>1485</v>
      </c>
      <c r="N135" s="104" t="s">
        <v>1486</v>
      </c>
      <c r="O135" s="197">
        <v>32515.48</v>
      </c>
      <c r="P135" s="104" t="s">
        <v>173</v>
      </c>
      <c r="Q135" s="104" t="s">
        <v>7</v>
      </c>
      <c r="R135" s="198" t="s">
        <v>1487</v>
      </c>
      <c r="S135" s="198" t="s">
        <v>1488</v>
      </c>
      <c r="T135" s="104"/>
      <c r="U135" s="104"/>
      <c r="V135" s="104"/>
      <c r="W135" s="104"/>
      <c r="X135" s="104"/>
      <c r="Y135" s="104"/>
      <c r="Z135" s="104"/>
      <c r="AA135" s="104"/>
      <c r="AB135" s="104"/>
      <c r="AC135" s="104"/>
      <c r="AD135" s="104"/>
    </row>
    <row r="136" ht="21" customHeight="1" spans="1:30">
      <c r="A136" s="6" t="s">
        <v>207</v>
      </c>
      <c r="B136" s="158">
        <v>45890</v>
      </c>
      <c r="C136" s="104" t="str">
        <f t="shared" si="2"/>
        <v>2025年8月</v>
      </c>
      <c r="D136" s="104" t="s">
        <v>12</v>
      </c>
      <c r="E136" s="159" t="s">
        <v>1101</v>
      </c>
      <c r="F136" s="104" t="s">
        <v>1029</v>
      </c>
      <c r="G136" s="195" t="s">
        <v>1007</v>
      </c>
      <c r="H136" s="40" t="s">
        <v>39</v>
      </c>
      <c r="I136" s="152" t="s">
        <v>1489</v>
      </c>
      <c r="J136" s="109" t="s">
        <v>82</v>
      </c>
      <c r="K136" s="104"/>
      <c r="L136" s="159" t="s">
        <v>1210</v>
      </c>
      <c r="M136" s="104" t="s">
        <v>1211</v>
      </c>
      <c r="N136" s="104" t="s">
        <v>1479</v>
      </c>
      <c r="O136" s="197">
        <v>2385.5</v>
      </c>
      <c r="P136" s="104" t="s">
        <v>173</v>
      </c>
      <c r="Q136" s="104" t="s">
        <v>105</v>
      </c>
      <c r="R136" s="198" t="s">
        <v>111</v>
      </c>
      <c r="S136" s="198"/>
      <c r="T136" s="104"/>
      <c r="U136" s="104"/>
      <c r="V136" s="104"/>
      <c r="W136" s="104"/>
      <c r="X136" s="104"/>
      <c r="Y136" s="104"/>
      <c r="Z136" s="104"/>
      <c r="AA136" s="104"/>
      <c r="AB136" s="104"/>
      <c r="AC136" s="104"/>
      <c r="AD136" s="104"/>
    </row>
    <row r="137" ht="21" customHeight="1" spans="1:30">
      <c r="A137" s="6" t="s">
        <v>207</v>
      </c>
      <c r="B137" s="158">
        <v>45890</v>
      </c>
      <c r="C137" s="104" t="str">
        <f t="shared" si="2"/>
        <v>2025年8月</v>
      </c>
      <c r="D137" s="104" t="s">
        <v>10</v>
      </c>
      <c r="E137" s="159" t="s">
        <v>1490</v>
      </c>
      <c r="F137" s="104" t="s">
        <v>1029</v>
      </c>
      <c r="G137" s="195" t="s">
        <v>1011</v>
      </c>
      <c r="H137" s="40" t="s">
        <v>44</v>
      </c>
      <c r="I137" s="152" t="s">
        <v>1491</v>
      </c>
      <c r="J137" s="109" t="s">
        <v>82</v>
      </c>
      <c r="K137" s="104"/>
      <c r="L137" s="159" t="s">
        <v>1492</v>
      </c>
      <c r="M137" s="104" t="s">
        <v>1493</v>
      </c>
      <c r="N137" s="104" t="s">
        <v>1494</v>
      </c>
      <c r="O137" s="197">
        <v>4000000</v>
      </c>
      <c r="P137" s="104" t="s">
        <v>1172</v>
      </c>
      <c r="Q137" s="104" t="s">
        <v>7</v>
      </c>
      <c r="R137" s="198" t="s">
        <v>120</v>
      </c>
      <c r="S137" s="198"/>
      <c r="T137" s="104"/>
      <c r="U137" s="104"/>
      <c r="V137" s="104"/>
      <c r="W137" s="104"/>
      <c r="X137" s="104"/>
      <c r="Y137" s="104"/>
      <c r="Z137" s="104"/>
      <c r="AA137" s="104"/>
      <c r="AB137" s="104"/>
      <c r="AC137" s="104"/>
      <c r="AD137" s="104"/>
    </row>
    <row r="138" ht="21" customHeight="1" spans="1:30">
      <c r="A138" s="6" t="s">
        <v>142</v>
      </c>
      <c r="B138" s="158">
        <v>45891</v>
      </c>
      <c r="C138" s="104" t="str">
        <f t="shared" si="2"/>
        <v>2025年8月</v>
      </c>
      <c r="D138" s="104" t="s">
        <v>10</v>
      </c>
      <c r="E138" s="159" t="s">
        <v>1167</v>
      </c>
      <c r="F138" s="104" t="s">
        <v>1029</v>
      </c>
      <c r="G138" s="195" t="s">
        <v>1007</v>
      </c>
      <c r="H138" s="40" t="s">
        <v>44</v>
      </c>
      <c r="I138" s="152" t="s">
        <v>1495</v>
      </c>
      <c r="J138" s="109" t="s">
        <v>82</v>
      </c>
      <c r="K138" s="104"/>
      <c r="L138" s="159" t="s">
        <v>1169</v>
      </c>
      <c r="M138" s="104" t="s">
        <v>1170</v>
      </c>
      <c r="N138" s="104" t="s">
        <v>1496</v>
      </c>
      <c r="O138" s="197">
        <v>48659.48</v>
      </c>
      <c r="P138" s="104" t="s">
        <v>173</v>
      </c>
      <c r="Q138" s="104" t="s">
        <v>7</v>
      </c>
      <c r="R138" s="198" t="s">
        <v>120</v>
      </c>
      <c r="S138" s="198"/>
      <c r="T138" s="104"/>
      <c r="U138" s="104"/>
      <c r="V138" s="104"/>
      <c r="W138" s="104"/>
      <c r="X138" s="104"/>
      <c r="Y138" s="104"/>
      <c r="Z138" s="104"/>
      <c r="AA138" s="104"/>
      <c r="AB138" s="104"/>
      <c r="AC138" s="104"/>
      <c r="AD138" s="104"/>
    </row>
    <row r="139" ht="21" customHeight="1" spans="1:30">
      <c r="A139" s="6" t="s">
        <v>142</v>
      </c>
      <c r="B139" s="158">
        <v>45891</v>
      </c>
      <c r="C139" s="104" t="str">
        <f t="shared" si="2"/>
        <v>2025年8月</v>
      </c>
      <c r="D139" s="104" t="s">
        <v>10</v>
      </c>
      <c r="E139" s="159"/>
      <c r="F139" s="104" t="s">
        <v>1006</v>
      </c>
      <c r="G139" s="195" t="s">
        <v>1007</v>
      </c>
      <c r="H139" s="40" t="s">
        <v>39</v>
      </c>
      <c r="I139" s="152" t="s">
        <v>1497</v>
      </c>
      <c r="J139" s="109" t="s">
        <v>82</v>
      </c>
      <c r="K139" s="104"/>
      <c r="L139" s="159" t="s">
        <v>1375</v>
      </c>
      <c r="M139" s="104" t="s">
        <v>1498</v>
      </c>
      <c r="N139" s="104" t="s">
        <v>1447</v>
      </c>
      <c r="O139" s="197">
        <v>100</v>
      </c>
      <c r="P139" s="104" t="s">
        <v>139</v>
      </c>
      <c r="Q139" s="104" t="s">
        <v>105</v>
      </c>
      <c r="R139" s="198" t="s">
        <v>85</v>
      </c>
      <c r="S139" s="198"/>
      <c r="T139" s="104"/>
      <c r="U139" s="104"/>
      <c r="V139" s="104"/>
      <c r="W139" s="104"/>
      <c r="X139" s="104"/>
      <c r="Y139" s="104"/>
      <c r="Z139" s="104"/>
      <c r="AA139" s="104"/>
      <c r="AB139" s="104"/>
      <c r="AC139" s="104"/>
      <c r="AD139" s="104"/>
    </row>
    <row r="140" ht="21" customHeight="1" spans="1:30">
      <c r="A140" s="6" t="s">
        <v>207</v>
      </c>
      <c r="B140" s="158">
        <v>45895</v>
      </c>
      <c r="C140" s="104" t="str">
        <f t="shared" si="2"/>
        <v>2025年8月</v>
      </c>
      <c r="D140" s="104" t="s">
        <v>12</v>
      </c>
      <c r="E140" s="159" t="s">
        <v>1101</v>
      </c>
      <c r="F140" s="104" t="s">
        <v>1029</v>
      </c>
      <c r="G140" s="195" t="s">
        <v>1007</v>
      </c>
      <c r="H140" s="40" t="s">
        <v>48</v>
      </c>
      <c r="I140" s="152" t="s">
        <v>1499</v>
      </c>
      <c r="J140" s="109" t="s">
        <v>82</v>
      </c>
      <c r="K140" s="158">
        <v>45895</v>
      </c>
      <c r="L140" s="159" t="s">
        <v>1210</v>
      </c>
      <c r="M140" s="104" t="s">
        <v>1211</v>
      </c>
      <c r="N140" s="104" t="s">
        <v>1479</v>
      </c>
      <c r="O140" s="197">
        <v>6165.7</v>
      </c>
      <c r="P140" s="104" t="s">
        <v>173</v>
      </c>
      <c r="Q140" s="104" t="s">
        <v>105</v>
      </c>
      <c r="R140" s="198" t="s">
        <v>1500</v>
      </c>
      <c r="S140" s="198"/>
      <c r="T140" s="104"/>
      <c r="U140" s="104"/>
      <c r="V140" s="104"/>
      <c r="W140" s="104"/>
      <c r="X140" s="104"/>
      <c r="Y140" s="104"/>
      <c r="Z140" s="104"/>
      <c r="AA140" s="104"/>
      <c r="AB140" s="104"/>
      <c r="AC140" s="104"/>
      <c r="AD140" s="104"/>
    </row>
    <row r="141" ht="21" customHeight="1" spans="1:30">
      <c r="A141" s="6" t="s">
        <v>207</v>
      </c>
      <c r="B141" s="158">
        <v>45896</v>
      </c>
      <c r="C141" s="104" t="str">
        <f t="shared" si="2"/>
        <v>2025年8月</v>
      </c>
      <c r="D141" s="104" t="s">
        <v>11</v>
      </c>
      <c r="E141" s="159" t="s">
        <v>1352</v>
      </c>
      <c r="F141" s="104" t="s">
        <v>1029</v>
      </c>
      <c r="G141" s="195" t="s">
        <v>1007</v>
      </c>
      <c r="H141" s="40" t="s">
        <v>39</v>
      </c>
      <c r="I141" s="153" t="s">
        <v>1501</v>
      </c>
      <c r="J141" s="109" t="s">
        <v>82</v>
      </c>
      <c r="K141" s="104"/>
      <c r="L141" s="159" t="s">
        <v>1473</v>
      </c>
      <c r="M141" s="104" t="s">
        <v>1474</v>
      </c>
      <c r="N141" s="104" t="s">
        <v>1475</v>
      </c>
      <c r="O141" s="197">
        <v>398391.43</v>
      </c>
      <c r="P141" s="104" t="s">
        <v>173</v>
      </c>
      <c r="Q141" s="104" t="s">
        <v>105</v>
      </c>
      <c r="R141" s="198" t="s">
        <v>1502</v>
      </c>
      <c r="S141" s="198"/>
      <c r="T141" s="104"/>
      <c r="U141" s="104"/>
      <c r="V141" s="104"/>
      <c r="W141" s="104"/>
      <c r="X141" s="104"/>
      <c r="Y141" s="104"/>
      <c r="Z141" s="104"/>
      <c r="AA141" s="104"/>
      <c r="AB141" s="104"/>
      <c r="AC141" s="104"/>
      <c r="AD141" s="104"/>
    </row>
    <row r="142" ht="21" customHeight="1" spans="1:30">
      <c r="A142" s="6" t="s">
        <v>207</v>
      </c>
      <c r="B142" s="158">
        <v>45896</v>
      </c>
      <c r="C142" s="104" t="str">
        <f t="shared" si="2"/>
        <v>2025年8月</v>
      </c>
      <c r="D142" s="104" t="s">
        <v>11</v>
      </c>
      <c r="E142" s="159" t="s">
        <v>1352</v>
      </c>
      <c r="F142" s="104" t="s">
        <v>1029</v>
      </c>
      <c r="G142" s="195" t="s">
        <v>1007</v>
      </c>
      <c r="H142" s="40" t="s">
        <v>39</v>
      </c>
      <c r="I142" s="153" t="s">
        <v>1503</v>
      </c>
      <c r="J142" s="109" t="s">
        <v>82</v>
      </c>
      <c r="K142" s="104"/>
      <c r="L142" s="159" t="s">
        <v>1473</v>
      </c>
      <c r="M142" s="104" t="s">
        <v>1474</v>
      </c>
      <c r="N142" s="104" t="s">
        <v>1475</v>
      </c>
      <c r="O142" s="197">
        <v>298789.84</v>
      </c>
      <c r="P142" s="104" t="s">
        <v>173</v>
      </c>
      <c r="Q142" s="104" t="s">
        <v>105</v>
      </c>
      <c r="R142" s="198" t="s">
        <v>1502</v>
      </c>
      <c r="S142" s="198"/>
      <c r="T142" s="104"/>
      <c r="U142" s="104"/>
      <c r="V142" s="104"/>
      <c r="W142" s="104"/>
      <c r="X142" s="104"/>
      <c r="Y142" s="104"/>
      <c r="Z142" s="104"/>
      <c r="AA142" s="104"/>
      <c r="AB142" s="104"/>
      <c r="AC142" s="104"/>
      <c r="AD142" s="104"/>
    </row>
    <row r="143" ht="21" customHeight="1" spans="1:30">
      <c r="A143" s="6" t="s">
        <v>207</v>
      </c>
      <c r="B143" s="158">
        <v>45896</v>
      </c>
      <c r="C143" s="104" t="str">
        <f t="shared" si="2"/>
        <v>2025年8月</v>
      </c>
      <c r="D143" s="104" t="s">
        <v>10</v>
      </c>
      <c r="E143" s="159" t="s">
        <v>1504</v>
      </c>
      <c r="F143" s="104" t="s">
        <v>1029</v>
      </c>
      <c r="G143" s="195" t="s">
        <v>1011</v>
      </c>
      <c r="H143" s="40" t="s">
        <v>51</v>
      </c>
      <c r="I143" s="152" t="s">
        <v>1505</v>
      </c>
      <c r="J143" s="109" t="s">
        <v>82</v>
      </c>
      <c r="K143" s="104"/>
      <c r="L143" s="159" t="s">
        <v>1506</v>
      </c>
      <c r="M143" s="104" t="s">
        <v>1507</v>
      </c>
      <c r="N143" s="104" t="s">
        <v>1508</v>
      </c>
      <c r="O143" s="197">
        <v>54894.75</v>
      </c>
      <c r="P143" s="104" t="s">
        <v>173</v>
      </c>
      <c r="Q143" s="104" t="s">
        <v>7</v>
      </c>
      <c r="R143" s="198" t="s">
        <v>1509</v>
      </c>
      <c r="S143" s="198"/>
      <c r="T143" s="104"/>
      <c r="U143" s="104"/>
      <c r="V143" s="104"/>
      <c r="W143" s="104"/>
      <c r="X143" s="104"/>
      <c r="Y143" s="104"/>
      <c r="Z143" s="104"/>
      <c r="AA143" s="104"/>
      <c r="AB143" s="104"/>
      <c r="AC143" s="104"/>
      <c r="AD143" s="104"/>
    </row>
    <row r="144" ht="21" customHeight="1" spans="1:30">
      <c r="A144" s="6" t="s">
        <v>142</v>
      </c>
      <c r="B144" s="158">
        <v>45902</v>
      </c>
      <c r="C144" s="104" t="str">
        <f t="shared" si="2"/>
        <v>2025年9月</v>
      </c>
      <c r="D144" s="104" t="s">
        <v>12</v>
      </c>
      <c r="E144" s="159"/>
      <c r="F144" s="104" t="s">
        <v>1029</v>
      </c>
      <c r="G144" s="195" t="s">
        <v>1007</v>
      </c>
      <c r="H144" s="40" t="s">
        <v>46</v>
      </c>
      <c r="I144" s="152" t="s">
        <v>1510</v>
      </c>
      <c r="J144" s="109" t="s">
        <v>82</v>
      </c>
      <c r="K144" s="104"/>
      <c r="L144" s="159" t="s">
        <v>1511</v>
      </c>
      <c r="M144" s="104" t="s">
        <v>1512</v>
      </c>
      <c r="N144" s="104" t="s">
        <v>1513</v>
      </c>
      <c r="O144" s="197">
        <v>72422.43</v>
      </c>
      <c r="P144" s="104" t="s">
        <v>1062</v>
      </c>
      <c r="Q144" s="104" t="s">
        <v>105</v>
      </c>
      <c r="R144" s="198"/>
      <c r="S144" s="198"/>
      <c r="T144" s="104"/>
      <c r="U144" s="104"/>
      <c r="V144" s="104"/>
      <c r="W144" s="104"/>
      <c r="X144" s="104"/>
      <c r="Y144" s="104"/>
      <c r="Z144" s="104"/>
      <c r="AA144" s="104"/>
      <c r="AB144" s="104"/>
      <c r="AC144" s="104"/>
      <c r="AD144" s="104"/>
    </row>
    <row r="145" ht="21" customHeight="1" spans="1:30">
      <c r="A145" s="6" t="s">
        <v>207</v>
      </c>
      <c r="B145" s="158">
        <v>45902</v>
      </c>
      <c r="C145" s="104" t="str">
        <f t="shared" si="2"/>
        <v>2025年9月</v>
      </c>
      <c r="D145" s="104" t="s">
        <v>10</v>
      </c>
      <c r="E145" s="159" t="s">
        <v>1514</v>
      </c>
      <c r="F145" s="104" t="s">
        <v>1006</v>
      </c>
      <c r="G145" s="195" t="s">
        <v>1007</v>
      </c>
      <c r="H145" s="40" t="s">
        <v>40</v>
      </c>
      <c r="I145" s="152" t="s">
        <v>1515</v>
      </c>
      <c r="J145" s="109" t="s">
        <v>82</v>
      </c>
      <c r="K145" s="104"/>
      <c r="L145" s="159" t="s">
        <v>1022</v>
      </c>
      <c r="M145" s="104" t="s">
        <v>1023</v>
      </c>
      <c r="N145" s="104" t="s">
        <v>1516</v>
      </c>
      <c r="O145" s="197">
        <v>275.31</v>
      </c>
      <c r="P145" s="104" t="s">
        <v>149</v>
      </c>
      <c r="Q145" s="104" t="s">
        <v>7</v>
      </c>
      <c r="R145" s="198" t="s">
        <v>1509</v>
      </c>
      <c r="S145" s="198"/>
      <c r="T145" s="104"/>
      <c r="U145" s="104"/>
      <c r="V145" s="104"/>
      <c r="W145" s="104"/>
      <c r="X145" s="104"/>
      <c r="Y145" s="104"/>
      <c r="Z145" s="104"/>
      <c r="AA145" s="104"/>
      <c r="AB145" s="104"/>
      <c r="AC145" s="104"/>
      <c r="AD145" s="104"/>
    </row>
    <row r="146" ht="21" customHeight="1" spans="1:30">
      <c r="A146" s="6" t="s">
        <v>207</v>
      </c>
      <c r="B146" s="158">
        <v>45902</v>
      </c>
      <c r="C146" s="104" t="str">
        <f t="shared" si="2"/>
        <v>2025年9月</v>
      </c>
      <c r="D146" s="104" t="s">
        <v>12</v>
      </c>
      <c r="E146" s="159" t="s">
        <v>1101</v>
      </c>
      <c r="F146" s="104" t="s">
        <v>1029</v>
      </c>
      <c r="G146" s="195" t="s">
        <v>1007</v>
      </c>
      <c r="H146" s="40" t="s">
        <v>39</v>
      </c>
      <c r="I146" s="152" t="s">
        <v>1517</v>
      </c>
      <c r="J146" s="109" t="s">
        <v>82</v>
      </c>
      <c r="K146" s="104"/>
      <c r="L146" s="159" t="s">
        <v>1210</v>
      </c>
      <c r="M146" s="104" t="s">
        <v>1211</v>
      </c>
      <c r="N146" s="104" t="s">
        <v>1479</v>
      </c>
      <c r="O146" s="197">
        <v>6165.7</v>
      </c>
      <c r="P146" s="104" t="s">
        <v>173</v>
      </c>
      <c r="Q146" s="104" t="s">
        <v>105</v>
      </c>
      <c r="R146" s="198" t="s">
        <v>1500</v>
      </c>
      <c r="S146" s="198"/>
      <c r="T146" s="104"/>
      <c r="U146" s="104"/>
      <c r="V146" s="104"/>
      <c r="W146" s="104"/>
      <c r="X146" s="104"/>
      <c r="Y146" s="104"/>
      <c r="Z146" s="104"/>
      <c r="AA146" s="104"/>
      <c r="AB146" s="104"/>
      <c r="AC146" s="104"/>
      <c r="AD146" s="104"/>
    </row>
    <row r="147" ht="21" customHeight="1" spans="1:30">
      <c r="A147" s="6" t="s">
        <v>142</v>
      </c>
      <c r="B147" s="158">
        <v>45903</v>
      </c>
      <c r="C147" s="104" t="str">
        <f t="shared" si="2"/>
        <v>2025年9月</v>
      </c>
      <c r="D147" s="104" t="s">
        <v>12</v>
      </c>
      <c r="E147" s="159"/>
      <c r="F147" s="104" t="s">
        <v>1029</v>
      </c>
      <c r="G147" s="195" t="s">
        <v>1007</v>
      </c>
      <c r="H147" s="40" t="s">
        <v>46</v>
      </c>
      <c r="I147" s="152" t="s">
        <v>1518</v>
      </c>
      <c r="J147" s="109" t="s">
        <v>82</v>
      </c>
      <c r="K147" s="104"/>
      <c r="L147" s="159" t="s">
        <v>1519</v>
      </c>
      <c r="M147" s="104" t="s">
        <v>1520</v>
      </c>
      <c r="N147" s="104" t="s">
        <v>1521</v>
      </c>
      <c r="O147" s="197">
        <v>26262.22</v>
      </c>
      <c r="P147" s="104" t="s">
        <v>173</v>
      </c>
      <c r="Q147" s="104" t="s">
        <v>7</v>
      </c>
      <c r="R147" s="198"/>
      <c r="S147" s="198"/>
      <c r="T147" s="104"/>
      <c r="U147" s="104"/>
      <c r="V147" s="104"/>
      <c r="W147" s="104"/>
      <c r="X147" s="104"/>
      <c r="Y147" s="104"/>
      <c r="Z147" s="104"/>
      <c r="AA147" s="104"/>
      <c r="AB147" s="104"/>
      <c r="AC147" s="104"/>
      <c r="AD147" s="104"/>
    </row>
    <row r="148" ht="21" customHeight="1" spans="1:30">
      <c r="A148" s="6" t="s">
        <v>207</v>
      </c>
      <c r="B148" s="158">
        <v>45903</v>
      </c>
      <c r="C148" s="104" t="str">
        <f t="shared" si="2"/>
        <v>2025年9月</v>
      </c>
      <c r="D148" s="104" t="s">
        <v>12</v>
      </c>
      <c r="E148" s="159" t="s">
        <v>1437</v>
      </c>
      <c r="F148" s="104" t="s">
        <v>1029</v>
      </c>
      <c r="G148" s="195" t="s">
        <v>1007</v>
      </c>
      <c r="H148" s="40" t="s">
        <v>48</v>
      </c>
      <c r="I148" s="152" t="s">
        <v>1522</v>
      </c>
      <c r="J148" s="109" t="s">
        <v>82</v>
      </c>
      <c r="K148" s="158">
        <v>45903</v>
      </c>
      <c r="L148" s="159" t="s">
        <v>1439</v>
      </c>
      <c r="M148" s="104" t="s">
        <v>1440</v>
      </c>
      <c r="N148" s="104" t="s">
        <v>1441</v>
      </c>
      <c r="O148" s="197">
        <v>81178.74</v>
      </c>
      <c r="P148" s="104" t="s">
        <v>149</v>
      </c>
      <c r="Q148" s="104" t="s">
        <v>7</v>
      </c>
      <c r="R148" s="198" t="s">
        <v>1523</v>
      </c>
      <c r="S148" s="198"/>
      <c r="T148" s="104"/>
      <c r="U148" s="104"/>
      <c r="V148" s="104"/>
      <c r="W148" s="104"/>
      <c r="X148" s="104"/>
      <c r="Y148" s="104"/>
      <c r="Z148" s="104"/>
      <c r="AA148" s="104"/>
      <c r="AB148" s="104"/>
      <c r="AC148" s="104"/>
      <c r="AD148" s="104"/>
    </row>
    <row r="149" ht="21" customHeight="1" spans="1:30">
      <c r="A149" s="6" t="s">
        <v>207</v>
      </c>
      <c r="B149" s="158">
        <v>45904</v>
      </c>
      <c r="C149" s="104" t="str">
        <f t="shared" si="2"/>
        <v>2025年9月</v>
      </c>
      <c r="D149" s="104" t="s">
        <v>10</v>
      </c>
      <c r="E149" s="159" t="s">
        <v>1524</v>
      </c>
      <c r="F149" s="104" t="s">
        <v>1006</v>
      </c>
      <c r="G149" s="195" t="s">
        <v>1007</v>
      </c>
      <c r="H149" s="40" t="s">
        <v>40</v>
      </c>
      <c r="I149" s="152" t="s">
        <v>1525</v>
      </c>
      <c r="J149" s="109" t="s">
        <v>82</v>
      </c>
      <c r="K149" s="104"/>
      <c r="L149" s="159" t="s">
        <v>1526</v>
      </c>
      <c r="M149" s="104" t="s">
        <v>1527</v>
      </c>
      <c r="N149" s="104" t="s">
        <v>1528</v>
      </c>
      <c r="O149" s="197">
        <v>150</v>
      </c>
      <c r="P149" s="104" t="s">
        <v>139</v>
      </c>
      <c r="Q149" s="104" t="s">
        <v>105</v>
      </c>
      <c r="R149" s="198" t="s">
        <v>689</v>
      </c>
      <c r="S149" s="198"/>
      <c r="T149" s="104"/>
      <c r="U149" s="104"/>
      <c r="V149" s="104"/>
      <c r="W149" s="104"/>
      <c r="X149" s="104"/>
      <c r="Y149" s="104"/>
      <c r="Z149" s="104"/>
      <c r="AA149" s="104"/>
      <c r="AB149" s="104"/>
      <c r="AC149" s="104"/>
      <c r="AD149" s="104"/>
    </row>
    <row r="150" ht="21" customHeight="1" spans="1:30">
      <c r="A150" s="6" t="s">
        <v>207</v>
      </c>
      <c r="B150" s="158">
        <v>45904</v>
      </c>
      <c r="C150" s="104" t="str">
        <f t="shared" si="2"/>
        <v>2025年9月</v>
      </c>
      <c r="D150" s="104" t="s">
        <v>11</v>
      </c>
      <c r="E150" s="159" t="s">
        <v>1529</v>
      </c>
      <c r="F150" s="104" t="s">
        <v>1006</v>
      </c>
      <c r="G150" s="195" t="s">
        <v>1007</v>
      </c>
      <c r="H150" s="40" t="s">
        <v>40</v>
      </c>
      <c r="I150" s="152" t="s">
        <v>1530</v>
      </c>
      <c r="J150" s="109" t="s">
        <v>82</v>
      </c>
      <c r="K150" s="104"/>
      <c r="L150" s="159" t="s">
        <v>1450</v>
      </c>
      <c r="M150" s="104" t="s">
        <v>1531</v>
      </c>
      <c r="N150" s="104" t="s">
        <v>1532</v>
      </c>
      <c r="O150" s="197">
        <v>19978.7</v>
      </c>
      <c r="P150" s="104" t="s">
        <v>149</v>
      </c>
      <c r="Q150" s="104" t="s">
        <v>105</v>
      </c>
      <c r="R150" s="198" t="s">
        <v>685</v>
      </c>
      <c r="S150" s="198"/>
      <c r="T150" s="104"/>
      <c r="U150" s="104"/>
      <c r="V150" s="104"/>
      <c r="W150" s="104"/>
      <c r="X150" s="104"/>
      <c r="Y150" s="104"/>
      <c r="Z150" s="104"/>
      <c r="AA150" s="104"/>
      <c r="AB150" s="104"/>
      <c r="AC150" s="104"/>
      <c r="AD150" s="104"/>
    </row>
    <row r="151" ht="21" customHeight="1" spans="1:30">
      <c r="A151" s="6" t="s">
        <v>207</v>
      </c>
      <c r="B151" s="158">
        <v>45905</v>
      </c>
      <c r="C151" s="104" t="str">
        <f t="shared" si="2"/>
        <v>2025年9月</v>
      </c>
      <c r="D151" s="104" t="s">
        <v>11</v>
      </c>
      <c r="E151" s="159" t="s">
        <v>1084</v>
      </c>
      <c r="F151" s="104" t="s">
        <v>1029</v>
      </c>
      <c r="G151" s="195" t="s">
        <v>1007</v>
      </c>
      <c r="H151" s="40" t="s">
        <v>48</v>
      </c>
      <c r="I151" s="152" t="s">
        <v>1533</v>
      </c>
      <c r="J151" s="109" t="s">
        <v>82</v>
      </c>
      <c r="K151" s="158">
        <v>45910</v>
      </c>
      <c r="L151" s="159" t="s">
        <v>1534</v>
      </c>
      <c r="M151" s="104" t="s">
        <v>1535</v>
      </c>
      <c r="N151" s="104" t="s">
        <v>1536</v>
      </c>
      <c r="O151" s="197">
        <v>17050</v>
      </c>
      <c r="P151" s="104" t="s">
        <v>173</v>
      </c>
      <c r="Q151" s="104" t="s">
        <v>7</v>
      </c>
      <c r="R151" s="198" t="s">
        <v>1537</v>
      </c>
      <c r="S151" s="198" t="s">
        <v>1538</v>
      </c>
      <c r="T151" s="104"/>
      <c r="U151" s="104"/>
      <c r="V151" s="104"/>
      <c r="W151" s="104"/>
      <c r="X151" s="104"/>
      <c r="Y151" s="104"/>
      <c r="Z151" s="104"/>
      <c r="AA151" s="104"/>
      <c r="AB151" s="104"/>
      <c r="AC151" s="104"/>
      <c r="AD151" s="104"/>
    </row>
    <row r="152" ht="21" customHeight="1" spans="1:30">
      <c r="A152" s="6" t="s">
        <v>207</v>
      </c>
      <c r="B152" s="158">
        <v>45908</v>
      </c>
      <c r="C152" s="104" t="str">
        <f t="shared" si="2"/>
        <v>2025年9月</v>
      </c>
      <c r="D152" s="104" t="s">
        <v>12</v>
      </c>
      <c r="E152" s="159" t="s">
        <v>1101</v>
      </c>
      <c r="F152" s="104" t="s">
        <v>1029</v>
      </c>
      <c r="G152" s="195" t="s">
        <v>1007</v>
      </c>
      <c r="H152" s="40" t="s">
        <v>39</v>
      </c>
      <c r="I152" s="153" t="s">
        <v>1539</v>
      </c>
      <c r="J152" s="109" t="s">
        <v>82</v>
      </c>
      <c r="K152" s="104"/>
      <c r="L152" s="159" t="s">
        <v>1210</v>
      </c>
      <c r="M152" s="104" t="s">
        <v>1211</v>
      </c>
      <c r="N152" s="104" t="s">
        <v>1479</v>
      </c>
      <c r="O152" s="197">
        <v>6165.7</v>
      </c>
      <c r="P152" s="104" t="s">
        <v>173</v>
      </c>
      <c r="Q152" s="104" t="s">
        <v>105</v>
      </c>
      <c r="R152" s="198" t="s">
        <v>1500</v>
      </c>
      <c r="S152" s="198" t="s">
        <v>1540</v>
      </c>
      <c r="T152" s="104"/>
      <c r="U152" s="104"/>
      <c r="V152" s="104"/>
      <c r="W152" s="104"/>
      <c r="X152" s="104"/>
      <c r="Y152" s="104"/>
      <c r="Z152" s="104"/>
      <c r="AA152" s="104"/>
      <c r="AB152" s="104"/>
      <c r="AC152" s="104"/>
      <c r="AD152" s="104"/>
    </row>
    <row r="153" ht="21" customHeight="1" spans="1:30">
      <c r="A153" s="6" t="s">
        <v>142</v>
      </c>
      <c r="B153" s="158">
        <v>45909</v>
      </c>
      <c r="C153" s="104" t="str">
        <f t="shared" si="2"/>
        <v>2025年9月</v>
      </c>
      <c r="D153" s="104" t="s">
        <v>11</v>
      </c>
      <c r="E153" s="159" t="s">
        <v>1321</v>
      </c>
      <c r="F153" s="104" t="s">
        <v>1006</v>
      </c>
      <c r="G153" s="195" t="s">
        <v>1007</v>
      </c>
      <c r="H153" s="40" t="s">
        <v>40</v>
      </c>
      <c r="I153" s="152" t="s">
        <v>1541</v>
      </c>
      <c r="J153" s="109" t="s">
        <v>82</v>
      </c>
      <c r="K153" s="104"/>
      <c r="L153" s="159" t="s">
        <v>1542</v>
      </c>
      <c r="M153" s="104" t="s">
        <v>1543</v>
      </c>
      <c r="N153" s="104" t="s">
        <v>1544</v>
      </c>
      <c r="O153" s="197">
        <v>5800</v>
      </c>
      <c r="P153" s="104" t="s">
        <v>149</v>
      </c>
      <c r="Q153" s="104" t="s">
        <v>105</v>
      </c>
      <c r="R153" s="198"/>
      <c r="S153" s="198"/>
      <c r="T153" s="104"/>
      <c r="U153" s="104"/>
      <c r="V153" s="104"/>
      <c r="W153" s="104"/>
      <c r="X153" s="104"/>
      <c r="Y153" s="104"/>
      <c r="Z153" s="104"/>
      <c r="AA153" s="104"/>
      <c r="AB153" s="104"/>
      <c r="AC153" s="104"/>
      <c r="AD153" s="104"/>
    </row>
    <row r="154" ht="21" customHeight="1" spans="1:30">
      <c r="A154" s="6" t="s">
        <v>207</v>
      </c>
      <c r="B154" s="158">
        <v>45909</v>
      </c>
      <c r="C154" s="104" t="str">
        <f t="shared" si="2"/>
        <v>2025年9月</v>
      </c>
      <c r="D154" s="104" t="s">
        <v>12</v>
      </c>
      <c r="E154" s="159" t="s">
        <v>1028</v>
      </c>
      <c r="F154" s="104" t="s">
        <v>1029</v>
      </c>
      <c r="G154" s="195" t="s">
        <v>1007</v>
      </c>
      <c r="H154" s="40" t="s">
        <v>48</v>
      </c>
      <c r="I154" s="152" t="s">
        <v>1545</v>
      </c>
      <c r="J154" s="109" t="s">
        <v>82</v>
      </c>
      <c r="K154" s="158">
        <v>45910</v>
      </c>
      <c r="L154" s="159" t="s">
        <v>1071</v>
      </c>
      <c r="M154" s="104" t="s">
        <v>1072</v>
      </c>
      <c r="N154" s="104" t="s">
        <v>1546</v>
      </c>
      <c r="O154" s="197">
        <v>41631.49</v>
      </c>
      <c r="P154" s="104" t="s">
        <v>149</v>
      </c>
      <c r="Q154" s="104" t="s">
        <v>105</v>
      </c>
      <c r="R154" s="198" t="s">
        <v>715</v>
      </c>
      <c r="S154" s="198"/>
      <c r="T154" s="104"/>
      <c r="U154" s="104"/>
      <c r="V154" s="104"/>
      <c r="W154" s="104"/>
      <c r="X154" s="104"/>
      <c r="Y154" s="104"/>
      <c r="Z154" s="104"/>
      <c r="AA154" s="104"/>
      <c r="AB154" s="104"/>
      <c r="AC154" s="104"/>
      <c r="AD154" s="104"/>
    </row>
    <row r="155" ht="21" customHeight="1" spans="1:30">
      <c r="A155" s="6" t="s">
        <v>207</v>
      </c>
      <c r="B155" s="158">
        <v>45910</v>
      </c>
      <c r="C155" s="104" t="str">
        <f t="shared" si="2"/>
        <v>2025年9月</v>
      </c>
      <c r="D155" s="104" t="s">
        <v>12</v>
      </c>
      <c r="E155" s="159" t="s">
        <v>1028</v>
      </c>
      <c r="F155" s="104" t="s">
        <v>1029</v>
      </c>
      <c r="G155" s="195" t="s">
        <v>1007</v>
      </c>
      <c r="H155" s="40" t="s">
        <v>48</v>
      </c>
      <c r="I155" s="152" t="s">
        <v>1547</v>
      </c>
      <c r="J155" s="109" t="s">
        <v>82</v>
      </c>
      <c r="K155" s="158">
        <v>45912</v>
      </c>
      <c r="L155" s="159" t="s">
        <v>1071</v>
      </c>
      <c r="M155" s="104" t="s">
        <v>1072</v>
      </c>
      <c r="N155" s="198" t="s">
        <v>1548</v>
      </c>
      <c r="O155" s="197">
        <v>206274.6</v>
      </c>
      <c r="P155" s="104" t="s">
        <v>1062</v>
      </c>
      <c r="Q155" s="104" t="s">
        <v>7</v>
      </c>
      <c r="R155" s="198" t="s">
        <v>715</v>
      </c>
      <c r="S155" s="198"/>
      <c r="T155" s="104"/>
      <c r="U155" s="104"/>
      <c r="V155" s="104"/>
      <c r="W155" s="104"/>
      <c r="X155" s="104"/>
      <c r="Y155" s="104"/>
      <c r="Z155" s="104"/>
      <c r="AA155" s="104"/>
      <c r="AB155" s="104"/>
      <c r="AC155" s="104"/>
      <c r="AD155" s="104"/>
    </row>
    <row r="156" ht="21" customHeight="1" spans="1:30">
      <c r="A156" s="6" t="s">
        <v>142</v>
      </c>
      <c r="B156" s="158">
        <v>45910</v>
      </c>
      <c r="C156" s="104" t="str">
        <f t="shared" si="2"/>
        <v>2025年9月</v>
      </c>
      <c r="D156" s="104" t="s">
        <v>10</v>
      </c>
      <c r="E156" s="159" t="s">
        <v>1428</v>
      </c>
      <c r="F156" s="104" t="s">
        <v>1006</v>
      </c>
      <c r="G156" s="195" t="s">
        <v>1007</v>
      </c>
      <c r="H156" s="40" t="s">
        <v>40</v>
      </c>
      <c r="I156" s="152" t="s">
        <v>1549</v>
      </c>
      <c r="J156" s="109" t="s">
        <v>82</v>
      </c>
      <c r="K156" s="104"/>
      <c r="L156" s="159" t="s">
        <v>1550</v>
      </c>
      <c r="M156" s="104" t="s">
        <v>1551</v>
      </c>
      <c r="N156" s="104" t="s">
        <v>1552</v>
      </c>
      <c r="O156" s="197">
        <v>445</v>
      </c>
      <c r="P156" s="104" t="s">
        <v>149</v>
      </c>
      <c r="Q156" s="104" t="s">
        <v>105</v>
      </c>
      <c r="R156" s="198"/>
      <c r="S156" s="198" t="s">
        <v>1553</v>
      </c>
      <c r="T156" s="104"/>
      <c r="U156" s="104"/>
      <c r="V156" s="104"/>
      <c r="W156" s="104"/>
      <c r="X156" s="104"/>
      <c r="Y156" s="104"/>
      <c r="Z156" s="104"/>
      <c r="AA156" s="104"/>
      <c r="AB156" s="104"/>
      <c r="AC156" s="104"/>
      <c r="AD156" s="104"/>
    </row>
    <row r="157" ht="21" customHeight="1" spans="1:30">
      <c r="A157" s="6" t="s">
        <v>142</v>
      </c>
      <c r="B157" s="158">
        <v>45910</v>
      </c>
      <c r="C157" s="104" t="str">
        <f t="shared" si="2"/>
        <v>2025年9月</v>
      </c>
      <c r="D157" s="104" t="s">
        <v>10</v>
      </c>
      <c r="E157" s="159"/>
      <c r="F157" s="104" t="s">
        <v>1006</v>
      </c>
      <c r="G157" s="195" t="s">
        <v>1007</v>
      </c>
      <c r="H157" s="40" t="s">
        <v>40</v>
      </c>
      <c r="I157" s="152" t="s">
        <v>1554</v>
      </c>
      <c r="J157" s="109" t="s">
        <v>82</v>
      </c>
      <c r="K157" s="104"/>
      <c r="L157" s="159" t="s">
        <v>1555</v>
      </c>
      <c r="M157" s="104" t="s">
        <v>1411</v>
      </c>
      <c r="N157" s="104" t="s">
        <v>1556</v>
      </c>
      <c r="O157" s="197">
        <v>29.91</v>
      </c>
      <c r="P157" s="104" t="s">
        <v>139</v>
      </c>
      <c r="Q157" s="104" t="s">
        <v>105</v>
      </c>
      <c r="R157" s="198"/>
      <c r="S157" s="198" t="s">
        <v>1557</v>
      </c>
      <c r="T157" s="104"/>
      <c r="U157" s="104"/>
      <c r="V157" s="104"/>
      <c r="W157" s="104"/>
      <c r="X157" s="104"/>
      <c r="Y157" s="104"/>
      <c r="Z157" s="104"/>
      <c r="AA157" s="104"/>
      <c r="AB157" s="104"/>
      <c r="AC157" s="104"/>
      <c r="AD157" s="104"/>
    </row>
    <row r="158" ht="21" customHeight="1" spans="1:30">
      <c r="A158" s="6" t="s">
        <v>207</v>
      </c>
      <c r="B158" s="158">
        <v>45915</v>
      </c>
      <c r="C158" s="104" t="str">
        <f t="shared" si="2"/>
        <v>2025年9月</v>
      </c>
      <c r="D158" s="104" t="s">
        <v>11</v>
      </c>
      <c r="E158" s="159" t="s">
        <v>1056</v>
      </c>
      <c r="F158" s="104" t="s">
        <v>1029</v>
      </c>
      <c r="G158" s="195" t="s">
        <v>1007</v>
      </c>
      <c r="H158" s="40" t="s">
        <v>48</v>
      </c>
      <c r="I158" s="152" t="s">
        <v>1558</v>
      </c>
      <c r="J158" s="109" t="s">
        <v>82</v>
      </c>
      <c r="K158" s="104"/>
      <c r="L158" s="159" t="s">
        <v>1559</v>
      </c>
      <c r="M158" s="104" t="s">
        <v>1560</v>
      </c>
      <c r="N158" s="104" t="s">
        <v>1561</v>
      </c>
      <c r="O158" s="197">
        <v>290000</v>
      </c>
      <c r="P158" s="104" t="s">
        <v>173</v>
      </c>
      <c r="Q158" s="104" t="s">
        <v>105</v>
      </c>
      <c r="R158" s="198" t="s">
        <v>685</v>
      </c>
      <c r="S158" s="198"/>
      <c r="T158" s="104"/>
      <c r="U158" s="104"/>
      <c r="V158" s="104"/>
      <c r="W158" s="104"/>
      <c r="X158" s="104"/>
      <c r="Y158" s="104"/>
      <c r="Z158" s="104"/>
      <c r="AA158" s="104"/>
      <c r="AB158" s="104"/>
      <c r="AC158" s="104"/>
      <c r="AD158" s="104"/>
    </row>
    <row r="159" ht="21" customHeight="1" spans="1:30">
      <c r="A159" s="6" t="s">
        <v>207</v>
      </c>
      <c r="B159" s="158">
        <v>45915</v>
      </c>
      <c r="C159" s="104" t="str">
        <f t="shared" si="2"/>
        <v>2025年9月</v>
      </c>
      <c r="D159" s="104" t="s">
        <v>12</v>
      </c>
      <c r="E159" s="159" t="s">
        <v>1562</v>
      </c>
      <c r="F159" s="104" t="s">
        <v>1029</v>
      </c>
      <c r="G159" s="195" t="s">
        <v>1007</v>
      </c>
      <c r="H159" s="40" t="s">
        <v>48</v>
      </c>
      <c r="I159" s="152" t="s">
        <v>1563</v>
      </c>
      <c r="J159" s="109" t="s">
        <v>82</v>
      </c>
      <c r="K159" s="104"/>
      <c r="L159" s="159" t="s">
        <v>1564</v>
      </c>
      <c r="M159" s="104" t="s">
        <v>1565</v>
      </c>
      <c r="N159" s="104" t="s">
        <v>1566</v>
      </c>
      <c r="O159" s="197">
        <v>146530</v>
      </c>
      <c r="P159" s="104" t="s">
        <v>1567</v>
      </c>
      <c r="Q159" s="104" t="s">
        <v>7</v>
      </c>
      <c r="R159" s="198" t="s">
        <v>1568</v>
      </c>
      <c r="S159" s="198"/>
      <c r="T159" s="104"/>
      <c r="U159" s="104"/>
      <c r="V159" s="104"/>
      <c r="W159" s="104"/>
      <c r="X159" s="104"/>
      <c r="Y159" s="104"/>
      <c r="Z159" s="104"/>
      <c r="AA159" s="104"/>
      <c r="AB159" s="104"/>
      <c r="AC159" s="104"/>
      <c r="AD159" s="104"/>
    </row>
    <row r="160" ht="21" customHeight="1" spans="1:30">
      <c r="A160" s="6" t="s">
        <v>207</v>
      </c>
      <c r="B160" s="158">
        <v>45916</v>
      </c>
      <c r="C160" s="104" t="str">
        <f t="shared" si="2"/>
        <v>2025年9月</v>
      </c>
      <c r="D160" s="104" t="s">
        <v>11</v>
      </c>
      <c r="E160" s="159" t="s">
        <v>1056</v>
      </c>
      <c r="F160" s="104" t="s">
        <v>1006</v>
      </c>
      <c r="G160" s="195" t="s">
        <v>1007</v>
      </c>
      <c r="H160" s="40" t="s">
        <v>52</v>
      </c>
      <c r="I160" s="152" t="s">
        <v>1569</v>
      </c>
      <c r="J160" s="109" t="s">
        <v>82</v>
      </c>
      <c r="K160" s="104"/>
      <c r="L160" s="159" t="s">
        <v>1570</v>
      </c>
      <c r="M160" s="104" t="s">
        <v>1571</v>
      </c>
      <c r="N160" s="104" t="s">
        <v>1572</v>
      </c>
      <c r="O160" s="197">
        <v>5008.71</v>
      </c>
      <c r="P160" s="104" t="s">
        <v>149</v>
      </c>
      <c r="Q160" s="104" t="s">
        <v>7</v>
      </c>
      <c r="R160" s="198" t="s">
        <v>685</v>
      </c>
      <c r="S160" s="198"/>
      <c r="T160" s="104"/>
      <c r="U160" s="104"/>
      <c r="V160" s="104"/>
      <c r="W160" s="104"/>
      <c r="X160" s="104"/>
      <c r="Y160" s="104"/>
      <c r="Z160" s="104"/>
      <c r="AA160" s="104"/>
      <c r="AB160" s="104"/>
      <c r="AC160" s="104"/>
      <c r="AD160" s="104"/>
    </row>
    <row r="161" ht="21" customHeight="1" spans="1:30">
      <c r="A161" s="6" t="s">
        <v>207</v>
      </c>
      <c r="B161" s="158">
        <v>45916</v>
      </c>
      <c r="C161" s="104" t="str">
        <f t="shared" si="2"/>
        <v>2025年9月</v>
      </c>
      <c r="D161" s="104" t="s">
        <v>12</v>
      </c>
      <c r="E161" s="159" t="s">
        <v>1573</v>
      </c>
      <c r="F161" s="104" t="s">
        <v>1029</v>
      </c>
      <c r="G161" s="195" t="s">
        <v>1007</v>
      </c>
      <c r="H161" s="40" t="s">
        <v>48</v>
      </c>
      <c r="I161" s="152" t="s">
        <v>1574</v>
      </c>
      <c r="J161" s="109" t="s">
        <v>82</v>
      </c>
      <c r="K161" s="158">
        <v>45923</v>
      </c>
      <c r="L161" s="159" t="s">
        <v>1071</v>
      </c>
      <c r="M161" s="104" t="s">
        <v>1072</v>
      </c>
      <c r="N161" s="104" t="s">
        <v>1575</v>
      </c>
      <c r="O161" s="197">
        <v>45580.32</v>
      </c>
      <c r="P161" s="104" t="s">
        <v>149</v>
      </c>
      <c r="Q161" s="104" t="s">
        <v>7</v>
      </c>
      <c r="R161" s="198" t="s">
        <v>715</v>
      </c>
      <c r="S161" s="198"/>
      <c r="T161" s="104"/>
      <c r="U161" s="104"/>
      <c r="V161" s="104"/>
      <c r="W161" s="104"/>
      <c r="X161" s="104"/>
      <c r="Y161" s="104"/>
      <c r="Z161" s="104"/>
      <c r="AA161" s="104"/>
      <c r="AB161" s="104"/>
      <c r="AC161" s="104"/>
      <c r="AD161" s="104"/>
    </row>
    <row r="162" ht="21" customHeight="1" spans="1:30">
      <c r="A162" s="6" t="s">
        <v>207</v>
      </c>
      <c r="B162" s="158">
        <v>45917</v>
      </c>
      <c r="C162" s="104" t="str">
        <f t="shared" si="2"/>
        <v>2025年9月</v>
      </c>
      <c r="D162" s="104" t="s">
        <v>12</v>
      </c>
      <c r="E162" s="159" t="s">
        <v>1573</v>
      </c>
      <c r="F162" s="104" t="s">
        <v>1029</v>
      </c>
      <c r="G162" s="195" t="s">
        <v>1007</v>
      </c>
      <c r="H162" s="40" t="s">
        <v>48</v>
      </c>
      <c r="I162" s="152" t="s">
        <v>1576</v>
      </c>
      <c r="J162" s="109" t="s">
        <v>82</v>
      </c>
      <c r="K162" s="158">
        <v>45919</v>
      </c>
      <c r="L162" s="159" t="s">
        <v>1071</v>
      </c>
      <c r="M162" s="104" t="s">
        <v>1072</v>
      </c>
      <c r="N162" s="104" t="s">
        <v>1577</v>
      </c>
      <c r="O162" s="197">
        <v>72288.19</v>
      </c>
      <c r="P162" s="104" t="s">
        <v>173</v>
      </c>
      <c r="Q162" s="104" t="s">
        <v>7</v>
      </c>
      <c r="R162" s="198" t="s">
        <v>715</v>
      </c>
      <c r="S162" s="198"/>
      <c r="T162" s="104"/>
      <c r="U162" s="104"/>
      <c r="V162" s="104"/>
      <c r="W162" s="104"/>
      <c r="X162" s="104"/>
      <c r="Y162" s="104"/>
      <c r="Z162" s="104"/>
      <c r="AA162" s="104"/>
      <c r="AB162" s="104"/>
      <c r="AC162" s="104"/>
      <c r="AD162" s="104"/>
    </row>
    <row r="163" ht="21" customHeight="1" spans="1:30">
      <c r="A163" s="6" t="s">
        <v>142</v>
      </c>
      <c r="B163" s="158">
        <v>45917</v>
      </c>
      <c r="C163" s="104" t="str">
        <f t="shared" si="2"/>
        <v>2025年9月</v>
      </c>
      <c r="D163" s="104" t="s">
        <v>11</v>
      </c>
      <c r="E163" s="159" t="s">
        <v>1578</v>
      </c>
      <c r="F163" s="104" t="s">
        <v>1029</v>
      </c>
      <c r="G163" s="195" t="s">
        <v>1007</v>
      </c>
      <c r="H163" s="40" t="s">
        <v>44</v>
      </c>
      <c r="I163" s="152" t="s">
        <v>1579</v>
      </c>
      <c r="J163" s="109" t="s">
        <v>422</v>
      </c>
      <c r="K163" s="104"/>
      <c r="L163" s="159" t="s">
        <v>1580</v>
      </c>
      <c r="M163" s="104" t="s">
        <v>1581</v>
      </c>
      <c r="N163" s="104" t="s">
        <v>1582</v>
      </c>
      <c r="O163" s="197">
        <v>9765</v>
      </c>
      <c r="P163" s="104" t="s">
        <v>173</v>
      </c>
      <c r="Q163" s="104" t="s">
        <v>7</v>
      </c>
      <c r="R163" s="198"/>
      <c r="S163" s="198"/>
      <c r="T163" s="104"/>
      <c r="U163" s="104"/>
      <c r="V163" s="104"/>
      <c r="W163" s="104"/>
      <c r="X163" s="104"/>
      <c r="Y163" s="104"/>
      <c r="Z163" s="104"/>
      <c r="AA163" s="104"/>
      <c r="AB163" s="104"/>
      <c r="AC163" s="104"/>
      <c r="AD163" s="104"/>
    </row>
    <row r="164" ht="21" customHeight="1" spans="1:30">
      <c r="A164" s="6" t="s">
        <v>207</v>
      </c>
      <c r="B164" s="158">
        <v>45918</v>
      </c>
      <c r="C164" s="104" t="str">
        <f t="shared" si="2"/>
        <v>2025年9月</v>
      </c>
      <c r="D164" s="104" t="s">
        <v>12</v>
      </c>
      <c r="E164" s="159" t="s">
        <v>1573</v>
      </c>
      <c r="F164" s="104" t="s">
        <v>1029</v>
      </c>
      <c r="G164" s="195" t="s">
        <v>1007</v>
      </c>
      <c r="H164" s="40" t="s">
        <v>48</v>
      </c>
      <c r="I164" s="152" t="s">
        <v>1583</v>
      </c>
      <c r="J164" s="109" t="s">
        <v>82</v>
      </c>
      <c r="K164" s="158">
        <v>45924</v>
      </c>
      <c r="L164" s="159" t="s">
        <v>1071</v>
      </c>
      <c r="M164" s="104" t="s">
        <v>1072</v>
      </c>
      <c r="N164" s="104" t="s">
        <v>1584</v>
      </c>
      <c r="O164" s="197">
        <v>99000</v>
      </c>
      <c r="P164" s="104" t="s">
        <v>1062</v>
      </c>
      <c r="Q164" s="104" t="s">
        <v>7</v>
      </c>
      <c r="R164" s="198" t="s">
        <v>715</v>
      </c>
      <c r="S164" s="198"/>
      <c r="T164" s="104"/>
      <c r="U164" s="104"/>
      <c r="V164" s="104"/>
      <c r="W164" s="104"/>
      <c r="X164" s="104"/>
      <c r="Y164" s="104"/>
      <c r="Z164" s="104"/>
      <c r="AA164" s="104"/>
      <c r="AB164" s="104"/>
      <c r="AC164" s="104"/>
      <c r="AD164" s="104"/>
    </row>
    <row r="165" ht="21" customHeight="1" spans="1:30">
      <c r="A165" s="10"/>
      <c r="B165" s="10"/>
      <c r="C165" s="10"/>
      <c r="D165" s="10"/>
      <c r="E165" s="10"/>
      <c r="F165" s="104" t="s">
        <v>1029</v>
      </c>
      <c r="G165" s="195" t="s">
        <v>1007</v>
      </c>
      <c r="H165" s="40"/>
      <c r="I165" s="10"/>
      <c r="J165" s="10"/>
      <c r="K165" s="158">
        <v>45919</v>
      </c>
      <c r="L165" s="159" t="s">
        <v>1071</v>
      </c>
      <c r="M165" s="104" t="s">
        <v>1072</v>
      </c>
      <c r="N165" s="104" t="s">
        <v>1585</v>
      </c>
      <c r="O165" s="197">
        <v>463850.32</v>
      </c>
      <c r="P165" s="104" t="s">
        <v>1062</v>
      </c>
      <c r="Q165" s="10"/>
      <c r="R165" s="198" t="s">
        <v>715</v>
      </c>
      <c r="S165" s="198"/>
      <c r="T165" s="104"/>
      <c r="U165" s="104"/>
      <c r="V165" s="104"/>
      <c r="W165" s="104"/>
      <c r="X165" s="104"/>
      <c r="Y165" s="104"/>
      <c r="Z165" s="104"/>
      <c r="AA165" s="104"/>
      <c r="AB165" s="104"/>
      <c r="AC165" s="104"/>
      <c r="AD165" s="104"/>
    </row>
    <row r="166" ht="21" customHeight="1" spans="1:30">
      <c r="A166" s="6" t="s">
        <v>584</v>
      </c>
      <c r="B166" s="158">
        <v>45918</v>
      </c>
      <c r="C166" s="104" t="str">
        <f>YEAR(B166)&amp;"年"&amp;MONTH(B166)&amp;"月"</f>
        <v>2025年9月</v>
      </c>
      <c r="D166" s="104" t="s">
        <v>10</v>
      </c>
      <c r="E166" s="159" t="s">
        <v>1586</v>
      </c>
      <c r="F166" s="104" t="s">
        <v>1029</v>
      </c>
      <c r="G166" s="195" t="s">
        <v>1007</v>
      </c>
      <c r="H166" s="40" t="s">
        <v>44</v>
      </c>
      <c r="I166" s="152" t="s">
        <v>1587</v>
      </c>
      <c r="J166" s="109" t="s">
        <v>82</v>
      </c>
      <c r="K166" s="104"/>
      <c r="L166" s="159" t="s">
        <v>1169</v>
      </c>
      <c r="M166" s="104" t="s">
        <v>1170</v>
      </c>
      <c r="N166" s="104" t="s">
        <v>1171</v>
      </c>
      <c r="O166" s="197">
        <v>36350000</v>
      </c>
      <c r="P166" s="104" t="s">
        <v>1172</v>
      </c>
      <c r="Q166" s="104" t="s">
        <v>105</v>
      </c>
      <c r="R166" s="198" t="s">
        <v>678</v>
      </c>
      <c r="S166" s="198"/>
      <c r="T166" s="158">
        <v>45919</v>
      </c>
      <c r="U166" s="158">
        <v>45922</v>
      </c>
      <c r="V166" s="104"/>
      <c r="W166" s="104"/>
      <c r="X166" s="104"/>
      <c r="Y166" s="104"/>
      <c r="Z166" s="104"/>
      <c r="AA166" s="104"/>
      <c r="AB166" s="104"/>
      <c r="AC166" s="104"/>
      <c r="AD166" s="104"/>
    </row>
    <row r="167" ht="21" customHeight="1" spans="1:30">
      <c r="A167" s="6" t="s">
        <v>207</v>
      </c>
      <c r="B167" s="158">
        <v>45919</v>
      </c>
      <c r="C167" s="104" t="str">
        <f>YEAR(B167)&amp;"年"&amp;MONTH(B167)&amp;"月"</f>
        <v>2025年9月</v>
      </c>
      <c r="D167" s="104" t="s">
        <v>12</v>
      </c>
      <c r="E167" s="159" t="s">
        <v>1573</v>
      </c>
      <c r="F167" s="104" t="s">
        <v>1029</v>
      </c>
      <c r="G167" s="195" t="s">
        <v>1007</v>
      </c>
      <c r="H167" s="40" t="s">
        <v>48</v>
      </c>
      <c r="I167" s="152" t="s">
        <v>1588</v>
      </c>
      <c r="J167" s="109" t="s">
        <v>82</v>
      </c>
      <c r="K167" s="158">
        <v>45924</v>
      </c>
      <c r="L167" s="159" t="s">
        <v>1071</v>
      </c>
      <c r="M167" s="104" t="s">
        <v>1072</v>
      </c>
      <c r="N167" s="104" t="s">
        <v>1589</v>
      </c>
      <c r="O167" s="197">
        <v>50127.6</v>
      </c>
      <c r="P167" s="104" t="s">
        <v>149</v>
      </c>
      <c r="Q167" s="104" t="s">
        <v>7</v>
      </c>
      <c r="R167" s="198" t="s">
        <v>715</v>
      </c>
      <c r="S167" s="198"/>
      <c r="T167" s="104"/>
      <c r="U167" s="104"/>
      <c r="V167" s="104"/>
      <c r="W167" s="104"/>
      <c r="X167" s="104"/>
      <c r="Y167" s="104"/>
      <c r="Z167" s="104"/>
      <c r="AA167" s="104"/>
      <c r="AB167" s="104"/>
      <c r="AC167" s="104"/>
      <c r="AD167" s="104"/>
    </row>
    <row r="168" ht="21" customHeight="1" spans="1:30">
      <c r="A168" s="6" t="s">
        <v>207</v>
      </c>
      <c r="B168" s="158">
        <v>45922</v>
      </c>
      <c r="C168" s="104" t="str">
        <f>YEAR(B168)&amp;"年"&amp;MONTH(B168)&amp;"月"</f>
        <v>2025年9月</v>
      </c>
      <c r="D168" s="104" t="s">
        <v>11</v>
      </c>
      <c r="E168" s="159" t="s">
        <v>1056</v>
      </c>
      <c r="F168" s="104" t="s">
        <v>1006</v>
      </c>
      <c r="G168" s="195" t="s">
        <v>1007</v>
      </c>
      <c r="H168" s="40" t="s">
        <v>52</v>
      </c>
      <c r="I168" s="152" t="s">
        <v>1590</v>
      </c>
      <c r="J168" s="109" t="s">
        <v>82</v>
      </c>
      <c r="K168" s="104"/>
      <c r="L168" s="159" t="s">
        <v>1591</v>
      </c>
      <c r="M168" s="104" t="s">
        <v>1592</v>
      </c>
      <c r="N168" s="104" t="s">
        <v>1593</v>
      </c>
      <c r="O168" s="197">
        <v>36039.2</v>
      </c>
      <c r="P168" s="104" t="s">
        <v>149</v>
      </c>
      <c r="Q168" s="104" t="s">
        <v>7</v>
      </c>
      <c r="R168" s="198" t="s">
        <v>685</v>
      </c>
      <c r="S168" s="198"/>
      <c r="T168" s="104"/>
      <c r="U168" s="104"/>
      <c r="V168" s="104"/>
      <c r="W168" s="104"/>
      <c r="X168" s="104"/>
      <c r="Y168" s="104"/>
      <c r="Z168" s="104"/>
      <c r="AA168" s="104"/>
      <c r="AB168" s="104"/>
      <c r="AC168" s="104"/>
      <c r="AD168" s="104"/>
    </row>
    <row r="169" ht="21" customHeight="1" spans="1:30">
      <c r="A169" s="10"/>
      <c r="B169" s="10"/>
      <c r="C169" s="10"/>
      <c r="D169" s="10"/>
      <c r="E169" s="10"/>
      <c r="F169" s="10"/>
      <c r="G169" s="10"/>
      <c r="H169" s="40"/>
      <c r="I169" s="10"/>
      <c r="J169" s="10"/>
      <c r="K169" s="104"/>
      <c r="L169" s="10"/>
      <c r="M169" s="104" t="s">
        <v>1594</v>
      </c>
      <c r="N169" s="10"/>
      <c r="O169" s="197">
        <v>14650</v>
      </c>
      <c r="P169" s="104" t="s">
        <v>149</v>
      </c>
      <c r="Q169" s="10"/>
      <c r="R169" s="10"/>
      <c r="S169" s="198"/>
      <c r="T169" s="104"/>
      <c r="U169" s="104"/>
      <c r="V169" s="104"/>
      <c r="W169" s="104"/>
      <c r="X169" s="104"/>
      <c r="Y169" s="104"/>
      <c r="Z169" s="104"/>
      <c r="AA169" s="104"/>
      <c r="AB169" s="104"/>
      <c r="AC169" s="104"/>
      <c r="AD169" s="104"/>
    </row>
    <row r="170" ht="21" customHeight="1" spans="1:30">
      <c r="A170" s="6" t="s">
        <v>142</v>
      </c>
      <c r="B170" s="158">
        <v>45922</v>
      </c>
      <c r="C170" s="104" t="str">
        <f t="shared" ref="C170:C233" si="3">YEAR(B170)&amp;"年"&amp;MONTH(B170)&amp;"月"</f>
        <v>2025年9月</v>
      </c>
      <c r="D170" s="104" t="s">
        <v>12</v>
      </c>
      <c r="E170" s="159" t="s">
        <v>1595</v>
      </c>
      <c r="F170" s="104" t="s">
        <v>1029</v>
      </c>
      <c r="G170" s="195" t="s">
        <v>1007</v>
      </c>
      <c r="H170" s="40" t="s">
        <v>48</v>
      </c>
      <c r="I170" s="152" t="s">
        <v>1596</v>
      </c>
      <c r="J170" s="109" t="s">
        <v>82</v>
      </c>
      <c r="K170" s="158">
        <v>45924</v>
      </c>
      <c r="L170" s="159" t="s">
        <v>1071</v>
      </c>
      <c r="M170" s="198" t="s">
        <v>1584</v>
      </c>
      <c r="N170" s="104" t="s">
        <v>1584</v>
      </c>
      <c r="O170" s="197">
        <v>99000</v>
      </c>
      <c r="P170" s="104" t="s">
        <v>1062</v>
      </c>
      <c r="Q170" s="104" t="s">
        <v>7</v>
      </c>
      <c r="R170" s="198"/>
      <c r="S170" s="198"/>
      <c r="T170" s="104"/>
      <c r="U170" s="104"/>
      <c r="V170" s="104"/>
      <c r="W170" s="104"/>
      <c r="X170" s="104"/>
      <c r="Y170" s="104"/>
      <c r="Z170" s="104"/>
      <c r="AA170" s="104"/>
      <c r="AB170" s="104"/>
      <c r="AC170" s="104"/>
      <c r="AD170" s="104"/>
    </row>
    <row r="171" ht="21" customHeight="1" spans="1:30">
      <c r="A171" s="6" t="s">
        <v>207</v>
      </c>
      <c r="B171" s="158">
        <v>45922</v>
      </c>
      <c r="C171" s="104" t="str">
        <f t="shared" si="3"/>
        <v>2025年9月</v>
      </c>
      <c r="D171" s="104" t="s">
        <v>11</v>
      </c>
      <c r="E171" s="159" t="s">
        <v>1524</v>
      </c>
      <c r="F171" s="104" t="s">
        <v>1006</v>
      </c>
      <c r="G171" s="195" t="s">
        <v>1007</v>
      </c>
      <c r="H171" s="40" t="s">
        <v>52</v>
      </c>
      <c r="I171" s="152" t="s">
        <v>1597</v>
      </c>
      <c r="J171" s="109" t="s">
        <v>82</v>
      </c>
      <c r="K171" s="104"/>
      <c r="L171" s="159" t="s">
        <v>1598</v>
      </c>
      <c r="M171" s="104" t="s">
        <v>1599</v>
      </c>
      <c r="N171" s="104" t="s">
        <v>1600</v>
      </c>
      <c r="O171" s="205">
        <v>5984</v>
      </c>
      <c r="P171" s="104" t="s">
        <v>149</v>
      </c>
      <c r="Q171" s="104" t="s">
        <v>7</v>
      </c>
      <c r="R171" s="198" t="s">
        <v>685</v>
      </c>
      <c r="S171" s="198"/>
      <c r="T171" s="104"/>
      <c r="U171" s="104"/>
      <c r="V171" s="104"/>
      <c r="W171" s="104"/>
      <c r="X171" s="104"/>
      <c r="Y171" s="104"/>
      <c r="Z171" s="104"/>
      <c r="AA171" s="104"/>
      <c r="AB171" s="104"/>
      <c r="AC171" s="104"/>
      <c r="AD171" s="104"/>
    </row>
    <row r="172" ht="21" customHeight="1" spans="1:30">
      <c r="A172" s="6" t="s">
        <v>207</v>
      </c>
      <c r="B172" s="158">
        <v>45923</v>
      </c>
      <c r="C172" s="104" t="str">
        <f t="shared" si="3"/>
        <v>2025年9月</v>
      </c>
      <c r="D172" s="104" t="s">
        <v>12</v>
      </c>
      <c r="E172" s="159" t="s">
        <v>1595</v>
      </c>
      <c r="F172" s="104" t="s">
        <v>1029</v>
      </c>
      <c r="G172" s="195" t="s">
        <v>1007</v>
      </c>
      <c r="H172" s="40" t="s">
        <v>48</v>
      </c>
      <c r="I172" s="152" t="s">
        <v>1601</v>
      </c>
      <c r="J172" s="109" t="s">
        <v>82</v>
      </c>
      <c r="K172" s="158">
        <v>45926</v>
      </c>
      <c r="L172" s="159" t="s">
        <v>1071</v>
      </c>
      <c r="M172" s="104" t="s">
        <v>1072</v>
      </c>
      <c r="N172" s="104" t="s">
        <v>1602</v>
      </c>
      <c r="O172" s="197">
        <v>40000</v>
      </c>
      <c r="P172" s="104" t="s">
        <v>149</v>
      </c>
      <c r="Q172" s="104" t="s">
        <v>7</v>
      </c>
      <c r="R172" s="198" t="s">
        <v>715</v>
      </c>
      <c r="S172" s="198"/>
      <c r="T172" s="104"/>
      <c r="U172" s="104"/>
      <c r="V172" s="104"/>
      <c r="W172" s="104"/>
      <c r="X172" s="104"/>
      <c r="Y172" s="104"/>
      <c r="Z172" s="104"/>
      <c r="AA172" s="104"/>
      <c r="AB172" s="104"/>
      <c r="AC172" s="104"/>
      <c r="AD172" s="104"/>
    </row>
    <row r="173" ht="21" customHeight="1" spans="1:30">
      <c r="A173" s="6" t="s">
        <v>207</v>
      </c>
      <c r="B173" s="158">
        <v>45924</v>
      </c>
      <c r="C173" s="104" t="str">
        <f t="shared" si="3"/>
        <v>2025年9月</v>
      </c>
      <c r="D173" s="104" t="s">
        <v>10</v>
      </c>
      <c r="E173" s="159" t="s">
        <v>1603</v>
      </c>
      <c r="F173" s="104" t="s">
        <v>1006</v>
      </c>
      <c r="G173" s="195" t="s">
        <v>1007</v>
      </c>
      <c r="H173" s="40" t="s">
        <v>40</v>
      </c>
      <c r="I173" s="152" t="s">
        <v>1604</v>
      </c>
      <c r="J173" s="109" t="s">
        <v>82</v>
      </c>
      <c r="K173" s="104"/>
      <c r="L173" s="159" t="s">
        <v>1605</v>
      </c>
      <c r="M173" s="104" t="s">
        <v>1606</v>
      </c>
      <c r="N173" s="104" t="s">
        <v>1607</v>
      </c>
      <c r="O173" s="205">
        <v>11723.13</v>
      </c>
      <c r="P173" s="104" t="s">
        <v>173</v>
      </c>
      <c r="Q173" s="104" t="s">
        <v>105</v>
      </c>
      <c r="R173" s="198" t="s">
        <v>674</v>
      </c>
      <c r="S173" s="198"/>
      <c r="T173" s="104"/>
      <c r="U173" s="104"/>
      <c r="V173" s="104"/>
      <c r="W173" s="104"/>
      <c r="X173" s="104"/>
      <c r="Y173" s="104"/>
      <c r="Z173" s="104"/>
      <c r="AA173" s="104"/>
      <c r="AB173" s="104"/>
      <c r="AC173" s="104"/>
      <c r="AD173" s="104"/>
    </row>
    <row r="174" ht="21" customHeight="1" spans="1:30">
      <c r="A174" s="6" t="s">
        <v>142</v>
      </c>
      <c r="B174" s="158">
        <v>45925</v>
      </c>
      <c r="C174" s="104" t="str">
        <f t="shared" si="3"/>
        <v>2025年9月</v>
      </c>
      <c r="D174" s="104" t="s">
        <v>12</v>
      </c>
      <c r="E174" s="159"/>
      <c r="F174" s="104" t="s">
        <v>1029</v>
      </c>
      <c r="G174" s="195" t="s">
        <v>1007</v>
      </c>
      <c r="H174" s="40" t="s">
        <v>44</v>
      </c>
      <c r="I174" s="152" t="s">
        <v>1608</v>
      </c>
      <c r="J174" s="109" t="s">
        <v>82</v>
      </c>
      <c r="K174" s="104"/>
      <c r="L174" s="159" t="s">
        <v>1609</v>
      </c>
      <c r="M174" s="198" t="s">
        <v>1610</v>
      </c>
      <c r="N174" s="104" t="s">
        <v>1611</v>
      </c>
      <c r="O174" s="197">
        <v>469379.1</v>
      </c>
      <c r="P174" s="104" t="s">
        <v>1062</v>
      </c>
      <c r="Q174" s="104" t="s">
        <v>7</v>
      </c>
      <c r="R174" s="198"/>
      <c r="S174" s="198"/>
      <c r="T174" s="158"/>
      <c r="U174" s="104"/>
      <c r="V174" s="104"/>
      <c r="W174" s="104"/>
      <c r="X174" s="104"/>
      <c r="Y174" s="104"/>
      <c r="Z174" s="104"/>
      <c r="AA174" s="104"/>
      <c r="AB174" s="104"/>
      <c r="AC174" s="104"/>
      <c r="AD174" s="104"/>
    </row>
    <row r="175" ht="21" customHeight="1" spans="1:30">
      <c r="A175" s="6" t="s">
        <v>142</v>
      </c>
      <c r="B175" s="158">
        <v>45926</v>
      </c>
      <c r="C175" s="104" t="str">
        <f t="shared" si="3"/>
        <v>2025年9月</v>
      </c>
      <c r="D175" s="104" t="s">
        <v>12</v>
      </c>
      <c r="E175" s="159"/>
      <c r="F175" s="104" t="s">
        <v>1029</v>
      </c>
      <c r="G175" s="195" t="s">
        <v>1007</v>
      </c>
      <c r="H175" s="40" t="s">
        <v>39</v>
      </c>
      <c r="I175" s="152" t="s">
        <v>1612</v>
      </c>
      <c r="J175" s="109" t="s">
        <v>82</v>
      </c>
      <c r="K175" s="104"/>
      <c r="L175" s="159" t="s">
        <v>1613</v>
      </c>
      <c r="M175" s="104" t="s">
        <v>1614</v>
      </c>
      <c r="N175" s="104" t="s">
        <v>1615</v>
      </c>
      <c r="O175" s="197">
        <v>8656.46</v>
      </c>
      <c r="P175" s="104" t="s">
        <v>173</v>
      </c>
      <c r="Q175" s="104" t="s">
        <v>7</v>
      </c>
      <c r="R175" s="198"/>
      <c r="S175" s="198" t="s">
        <v>1327</v>
      </c>
      <c r="T175" s="104"/>
      <c r="U175" s="104"/>
      <c r="V175" s="104"/>
      <c r="W175" s="104"/>
      <c r="X175" s="104"/>
      <c r="Y175" s="104"/>
      <c r="Z175" s="104"/>
      <c r="AA175" s="104"/>
      <c r="AB175" s="104"/>
      <c r="AC175" s="104"/>
      <c r="AD175" s="104"/>
    </row>
    <row r="176" ht="21" customHeight="1" spans="1:30">
      <c r="A176" s="6" t="s">
        <v>207</v>
      </c>
      <c r="B176" s="158">
        <v>45926</v>
      </c>
      <c r="C176" s="104" t="str">
        <f t="shared" si="3"/>
        <v>2025年9月</v>
      </c>
      <c r="D176" s="104" t="s">
        <v>12</v>
      </c>
      <c r="E176" s="159" t="s">
        <v>1616</v>
      </c>
      <c r="F176" s="104" t="s">
        <v>1029</v>
      </c>
      <c r="G176" s="195" t="s">
        <v>1007</v>
      </c>
      <c r="H176" s="40" t="s">
        <v>48</v>
      </c>
      <c r="I176" s="152" t="s">
        <v>1617</v>
      </c>
      <c r="J176" s="109" t="s">
        <v>82</v>
      </c>
      <c r="K176" s="104"/>
      <c r="L176" s="159" t="s">
        <v>1618</v>
      </c>
      <c r="M176" s="104" t="s">
        <v>1619</v>
      </c>
      <c r="N176" s="104" t="s">
        <v>1620</v>
      </c>
      <c r="O176" s="197">
        <v>31.86</v>
      </c>
      <c r="P176" s="104" t="s">
        <v>173</v>
      </c>
      <c r="Q176" s="104" t="s">
        <v>7</v>
      </c>
      <c r="R176" s="198" t="s">
        <v>129</v>
      </c>
      <c r="S176" s="198"/>
      <c r="T176" s="104"/>
      <c r="U176" s="104"/>
      <c r="V176" s="104"/>
      <c r="W176" s="104"/>
      <c r="X176" s="104"/>
      <c r="Y176" s="104"/>
      <c r="Z176" s="104"/>
      <c r="AA176" s="104"/>
      <c r="AB176" s="104"/>
      <c r="AC176" s="104"/>
      <c r="AD176" s="104"/>
    </row>
    <row r="177" ht="21" customHeight="1" spans="1:30">
      <c r="A177" s="6" t="s">
        <v>142</v>
      </c>
      <c r="B177" s="158">
        <v>45929</v>
      </c>
      <c r="C177" s="104" t="str">
        <f t="shared" si="3"/>
        <v>2025年9月</v>
      </c>
      <c r="D177" s="104" t="s">
        <v>12</v>
      </c>
      <c r="E177" s="159"/>
      <c r="F177" s="104" t="s">
        <v>1006</v>
      </c>
      <c r="G177" s="195" t="s">
        <v>1007</v>
      </c>
      <c r="H177" s="40" t="s">
        <v>39</v>
      </c>
      <c r="I177" s="152" t="s">
        <v>1621</v>
      </c>
      <c r="J177" s="109" t="s">
        <v>82</v>
      </c>
      <c r="K177" s="104"/>
      <c r="L177" s="159" t="s">
        <v>1210</v>
      </c>
      <c r="M177" s="104" t="s">
        <v>1622</v>
      </c>
      <c r="N177" s="104" t="s">
        <v>1211</v>
      </c>
      <c r="O177" s="197">
        <v>6165.7</v>
      </c>
      <c r="P177" s="104" t="s">
        <v>173</v>
      </c>
      <c r="Q177" s="104" t="s">
        <v>105</v>
      </c>
      <c r="R177" s="198"/>
      <c r="S177" s="198"/>
      <c r="T177" s="104"/>
      <c r="U177" s="104"/>
      <c r="V177" s="104"/>
      <c r="W177" s="104"/>
      <c r="X177" s="104"/>
      <c r="Y177" s="104"/>
      <c r="Z177" s="104"/>
      <c r="AA177" s="104"/>
      <c r="AB177" s="104"/>
      <c r="AC177" s="104"/>
      <c r="AD177" s="104"/>
    </row>
    <row r="178" ht="29.25" customHeight="1" spans="1:30">
      <c r="A178" s="6" t="s">
        <v>207</v>
      </c>
      <c r="B178" s="158">
        <v>45929</v>
      </c>
      <c r="C178" s="104" t="str">
        <f t="shared" si="3"/>
        <v>2025年9月</v>
      </c>
      <c r="D178" s="104" t="s">
        <v>12</v>
      </c>
      <c r="E178" s="159" t="s">
        <v>1573</v>
      </c>
      <c r="F178" s="104" t="s">
        <v>1029</v>
      </c>
      <c r="G178" s="195" t="s">
        <v>1007</v>
      </c>
      <c r="H178" s="40" t="s">
        <v>48</v>
      </c>
      <c r="I178" s="152" t="s">
        <v>1623</v>
      </c>
      <c r="J178" s="109" t="s">
        <v>82</v>
      </c>
      <c r="K178" s="158">
        <v>45941</v>
      </c>
      <c r="L178" s="159" t="s">
        <v>1071</v>
      </c>
      <c r="M178" s="198" t="s">
        <v>1072</v>
      </c>
      <c r="N178" s="198" t="s">
        <v>1602</v>
      </c>
      <c r="O178" s="197">
        <v>40000</v>
      </c>
      <c r="P178" s="104" t="s">
        <v>173</v>
      </c>
      <c r="Q178" s="104" t="s">
        <v>7</v>
      </c>
      <c r="R178" s="198" t="s">
        <v>715</v>
      </c>
      <c r="S178" s="198"/>
      <c r="T178" s="104"/>
      <c r="U178" s="104"/>
      <c r="V178" s="104"/>
      <c r="W178" s="104"/>
      <c r="X178" s="104"/>
      <c r="Y178" s="104"/>
      <c r="Z178" s="104"/>
      <c r="AA178" s="104"/>
      <c r="AB178" s="104"/>
      <c r="AC178" s="104"/>
      <c r="AD178" s="104"/>
    </row>
    <row r="179" ht="21" customHeight="1" spans="1:30">
      <c r="A179" s="6" t="s">
        <v>207</v>
      </c>
      <c r="B179" s="158">
        <v>45930</v>
      </c>
      <c r="C179" s="104" t="str">
        <f t="shared" si="3"/>
        <v>2025年9月</v>
      </c>
      <c r="D179" s="104" t="s">
        <v>10</v>
      </c>
      <c r="E179" s="159" t="s">
        <v>1586</v>
      </c>
      <c r="F179" s="104" t="s">
        <v>1029</v>
      </c>
      <c r="G179" s="195" t="s">
        <v>1007</v>
      </c>
      <c r="H179" s="40" t="s">
        <v>44</v>
      </c>
      <c r="I179" s="153" t="s">
        <v>1624</v>
      </c>
      <c r="J179" s="109" t="s">
        <v>82</v>
      </c>
      <c r="K179" s="104"/>
      <c r="L179" s="159" t="s">
        <v>1169</v>
      </c>
      <c r="M179" s="104" t="s">
        <v>1170</v>
      </c>
      <c r="N179" s="104" t="s">
        <v>1171</v>
      </c>
      <c r="O179" s="197">
        <v>12316946</v>
      </c>
      <c r="P179" s="104" t="s">
        <v>1172</v>
      </c>
      <c r="Q179" s="104" t="s">
        <v>105</v>
      </c>
      <c r="R179" s="198" t="s">
        <v>678</v>
      </c>
      <c r="S179" s="198"/>
      <c r="T179" s="104"/>
      <c r="U179" s="104"/>
      <c r="V179" s="104"/>
      <c r="W179" s="104"/>
      <c r="X179" s="104"/>
      <c r="Y179" s="104"/>
      <c r="Z179" s="104"/>
      <c r="AA179" s="104"/>
      <c r="AB179" s="104"/>
      <c r="AC179" s="104"/>
      <c r="AD179" s="104"/>
    </row>
    <row r="180" ht="21" customHeight="1" spans="1:30">
      <c r="A180" s="6" t="s">
        <v>207</v>
      </c>
      <c r="B180" s="158">
        <v>45930</v>
      </c>
      <c r="C180" s="104" t="str">
        <f t="shared" si="3"/>
        <v>2025年9月</v>
      </c>
      <c r="D180" s="104" t="s">
        <v>12</v>
      </c>
      <c r="E180" s="159" t="s">
        <v>1504</v>
      </c>
      <c r="F180" s="104" t="s">
        <v>1029</v>
      </c>
      <c r="G180" s="195" t="s">
        <v>1276</v>
      </c>
      <c r="H180" s="40" t="s">
        <v>46</v>
      </c>
      <c r="I180" s="152" t="s">
        <v>1625</v>
      </c>
      <c r="J180" s="109" t="s">
        <v>422</v>
      </c>
      <c r="K180" s="104"/>
      <c r="L180" s="159" t="s">
        <v>1519</v>
      </c>
      <c r="M180" s="104" t="s">
        <v>1520</v>
      </c>
      <c r="N180" s="104" t="s">
        <v>1521</v>
      </c>
      <c r="O180" s="197">
        <v>26262.22</v>
      </c>
      <c r="P180" s="104" t="s">
        <v>173</v>
      </c>
      <c r="Q180" s="104" t="s">
        <v>7</v>
      </c>
      <c r="R180" s="198" t="s">
        <v>674</v>
      </c>
      <c r="S180" s="198"/>
      <c r="T180" s="104"/>
      <c r="U180" s="104"/>
      <c r="V180" s="104"/>
      <c r="W180" s="104"/>
      <c r="X180" s="104"/>
      <c r="Y180" s="104"/>
      <c r="Z180" s="104"/>
      <c r="AA180" s="104"/>
      <c r="AB180" s="104"/>
      <c r="AC180" s="104"/>
      <c r="AD180" s="104"/>
    </row>
    <row r="181" ht="21" customHeight="1" spans="1:30">
      <c r="A181" s="6" t="s">
        <v>142</v>
      </c>
      <c r="B181" s="158">
        <v>45933</v>
      </c>
      <c r="C181" s="104" t="str">
        <f t="shared" si="3"/>
        <v>2025年10月</v>
      </c>
      <c r="D181" s="104" t="s">
        <v>10</v>
      </c>
      <c r="E181" s="159" t="s">
        <v>1626</v>
      </c>
      <c r="F181" s="104" t="s">
        <v>1029</v>
      </c>
      <c r="G181" s="195" t="s">
        <v>1007</v>
      </c>
      <c r="H181" s="40" t="s">
        <v>51</v>
      </c>
      <c r="I181" s="152" t="s">
        <v>1627</v>
      </c>
      <c r="J181" s="109" t="s">
        <v>82</v>
      </c>
      <c r="K181" s="104"/>
      <c r="L181" s="159" t="s">
        <v>1628</v>
      </c>
      <c r="M181" s="104" t="s">
        <v>1629</v>
      </c>
      <c r="N181" s="104" t="s">
        <v>1630</v>
      </c>
      <c r="O181" s="197">
        <v>599097.37</v>
      </c>
      <c r="P181" s="104" t="s">
        <v>1186</v>
      </c>
      <c r="Q181" s="104" t="s">
        <v>7</v>
      </c>
      <c r="R181" s="198"/>
      <c r="S181" s="198"/>
      <c r="T181" s="158">
        <v>45985</v>
      </c>
      <c r="U181" s="158">
        <v>45988</v>
      </c>
      <c r="V181" s="104"/>
      <c r="W181" s="104"/>
      <c r="X181" s="104"/>
      <c r="Y181" s="104"/>
      <c r="Z181" s="104"/>
      <c r="AA181" s="104"/>
      <c r="AB181" s="104"/>
      <c r="AC181" s="104"/>
      <c r="AD181" s="104"/>
    </row>
    <row r="182" ht="21" customHeight="1" spans="1:30">
      <c r="A182" s="6" t="s">
        <v>142</v>
      </c>
      <c r="B182" s="158">
        <v>45930</v>
      </c>
      <c r="C182" s="104" t="str">
        <f t="shared" si="3"/>
        <v>2025年9月</v>
      </c>
      <c r="D182" s="104" t="s">
        <v>10</v>
      </c>
      <c r="E182" s="159" t="s">
        <v>1504</v>
      </c>
      <c r="F182" s="104" t="s">
        <v>1029</v>
      </c>
      <c r="G182" s="195" t="s">
        <v>1007</v>
      </c>
      <c r="H182" s="40" t="s">
        <v>51</v>
      </c>
      <c r="I182" s="152" t="s">
        <v>1631</v>
      </c>
      <c r="J182" s="109" t="s">
        <v>82</v>
      </c>
      <c r="K182" s="104"/>
      <c r="L182" s="159" t="s">
        <v>1632</v>
      </c>
      <c r="M182" s="104" t="s">
        <v>1633</v>
      </c>
      <c r="N182" s="104" t="s">
        <v>1634</v>
      </c>
      <c r="O182" s="197">
        <v>83839.2</v>
      </c>
      <c r="P182" s="104" t="s">
        <v>173</v>
      </c>
      <c r="Q182" s="104" t="s">
        <v>7</v>
      </c>
      <c r="R182" s="198"/>
      <c r="S182" s="198"/>
      <c r="T182" s="104"/>
      <c r="U182" s="104"/>
      <c r="V182" s="104"/>
      <c r="W182" s="104"/>
      <c r="X182" s="104"/>
      <c r="Y182" s="104"/>
      <c r="Z182" s="104"/>
      <c r="AA182" s="104"/>
      <c r="AB182" s="104"/>
      <c r="AC182" s="104"/>
      <c r="AD182" s="104"/>
    </row>
    <row r="183" ht="21" customHeight="1" spans="1:30">
      <c r="A183" s="6" t="s">
        <v>142</v>
      </c>
      <c r="B183" s="158">
        <v>45937</v>
      </c>
      <c r="C183" s="104" t="str">
        <f t="shared" si="3"/>
        <v>2025年10月</v>
      </c>
      <c r="D183" s="104" t="s">
        <v>11</v>
      </c>
      <c r="E183" s="159" t="s">
        <v>1635</v>
      </c>
      <c r="F183" s="104" t="s">
        <v>1006</v>
      </c>
      <c r="G183" s="195" t="s">
        <v>1011</v>
      </c>
      <c r="H183" s="40" t="s">
        <v>52</v>
      </c>
      <c r="I183" s="152" t="s">
        <v>1636</v>
      </c>
      <c r="J183" s="109" t="s">
        <v>82</v>
      </c>
      <c r="K183" s="104"/>
      <c r="L183" s="159" t="s">
        <v>1637</v>
      </c>
      <c r="M183" s="104" t="s">
        <v>1638</v>
      </c>
      <c r="N183" s="104" t="s">
        <v>1639</v>
      </c>
      <c r="O183" s="197">
        <v>32008</v>
      </c>
      <c r="P183" s="104" t="s">
        <v>149</v>
      </c>
      <c r="Q183" s="104" t="s">
        <v>7</v>
      </c>
      <c r="R183" s="198"/>
      <c r="S183" s="198"/>
      <c r="T183" s="104"/>
      <c r="U183" s="104"/>
      <c r="V183" s="104"/>
      <c r="W183" s="104"/>
      <c r="X183" s="104"/>
      <c r="Y183" s="104"/>
      <c r="Z183" s="104"/>
      <c r="AA183" s="104"/>
      <c r="AB183" s="104"/>
      <c r="AC183" s="104"/>
      <c r="AD183" s="104"/>
    </row>
    <row r="184" ht="21" customHeight="1" spans="1:30">
      <c r="A184" s="6" t="s">
        <v>142</v>
      </c>
      <c r="B184" s="158">
        <v>45932</v>
      </c>
      <c r="C184" s="104" t="str">
        <f t="shared" si="3"/>
        <v>2025年10月</v>
      </c>
      <c r="D184" s="104" t="s">
        <v>12</v>
      </c>
      <c r="E184" s="159" t="s">
        <v>1045</v>
      </c>
      <c r="F184" s="104" t="s">
        <v>1029</v>
      </c>
      <c r="G184" s="195" t="s">
        <v>1007</v>
      </c>
      <c r="H184" s="40" t="s">
        <v>39</v>
      </c>
      <c r="I184" s="152" t="s">
        <v>1640</v>
      </c>
      <c r="J184" s="109" t="s">
        <v>82</v>
      </c>
      <c r="K184" s="104"/>
      <c r="L184" s="159" t="s">
        <v>1641</v>
      </c>
      <c r="M184" s="104" t="s">
        <v>1642</v>
      </c>
      <c r="N184" s="104" t="s">
        <v>1643</v>
      </c>
      <c r="O184" s="197">
        <v>20000</v>
      </c>
      <c r="P184" s="104" t="s">
        <v>173</v>
      </c>
      <c r="Q184" s="104" t="s">
        <v>7</v>
      </c>
      <c r="R184" s="198"/>
      <c r="S184" s="198"/>
      <c r="T184" s="104"/>
      <c r="U184" s="104"/>
      <c r="V184" s="104"/>
      <c r="W184" s="104"/>
      <c r="X184" s="104"/>
      <c r="Y184" s="104"/>
      <c r="Z184" s="104"/>
      <c r="AA184" s="104"/>
      <c r="AB184" s="104"/>
      <c r="AC184" s="104"/>
      <c r="AD184" s="104"/>
    </row>
    <row r="185" ht="21" customHeight="1" spans="1:30">
      <c r="A185" s="6" t="s">
        <v>142</v>
      </c>
      <c r="B185" s="158">
        <v>45932</v>
      </c>
      <c r="C185" s="104" t="str">
        <f t="shared" si="3"/>
        <v>2025年10月</v>
      </c>
      <c r="D185" s="104" t="s">
        <v>10</v>
      </c>
      <c r="E185" s="159" t="s">
        <v>1644</v>
      </c>
      <c r="F185" s="104" t="s">
        <v>1006</v>
      </c>
      <c r="G185" s="195" t="s">
        <v>1007</v>
      </c>
      <c r="H185" s="40" t="s">
        <v>40</v>
      </c>
      <c r="I185" s="6" t="s">
        <v>1645</v>
      </c>
      <c r="J185" s="109" t="s">
        <v>787</v>
      </c>
      <c r="K185" s="104"/>
      <c r="L185" s="159" t="s">
        <v>1646</v>
      </c>
      <c r="M185" s="6" t="s">
        <v>1647</v>
      </c>
      <c r="N185" s="104" t="s">
        <v>1648</v>
      </c>
      <c r="O185" s="197">
        <v>8.99</v>
      </c>
      <c r="P185" s="104" t="s">
        <v>149</v>
      </c>
      <c r="Q185" s="104" t="s">
        <v>7</v>
      </c>
      <c r="R185" s="198"/>
      <c r="S185" s="198"/>
      <c r="T185" s="104"/>
      <c r="U185" s="104"/>
      <c r="V185" s="104"/>
      <c r="W185" s="104"/>
      <c r="X185" s="104"/>
      <c r="Y185" s="104"/>
      <c r="Z185" s="104"/>
      <c r="AA185" s="104"/>
      <c r="AB185" s="104"/>
      <c r="AC185" s="104"/>
      <c r="AD185" s="104"/>
    </row>
    <row r="186" ht="21" customHeight="1" spans="1:30">
      <c r="A186" s="6" t="s">
        <v>78</v>
      </c>
      <c r="B186" s="158">
        <v>45933</v>
      </c>
      <c r="C186" s="104" t="str">
        <f t="shared" si="3"/>
        <v>2025年10月</v>
      </c>
      <c r="D186" s="104" t="s">
        <v>10</v>
      </c>
      <c r="E186" s="159" t="s">
        <v>1005</v>
      </c>
      <c r="F186" s="104" t="s">
        <v>1006</v>
      </c>
      <c r="G186" s="195" t="s">
        <v>1007</v>
      </c>
      <c r="H186" s="40" t="s">
        <v>40</v>
      </c>
      <c r="I186" s="152" t="s">
        <v>1649</v>
      </c>
      <c r="J186" s="109" t="s">
        <v>82</v>
      </c>
      <c r="K186" s="104"/>
      <c r="L186" s="159" t="s">
        <v>1430</v>
      </c>
      <c r="M186" s="104" t="s">
        <v>1650</v>
      </c>
      <c r="N186" s="104" t="s">
        <v>1651</v>
      </c>
      <c r="O186" s="197">
        <v>200</v>
      </c>
      <c r="P186" s="104" t="s">
        <v>149</v>
      </c>
      <c r="Q186" s="104" t="s">
        <v>105</v>
      </c>
      <c r="R186" s="198" t="s">
        <v>85</v>
      </c>
      <c r="S186" s="198" t="s">
        <v>1652</v>
      </c>
      <c r="T186" s="104"/>
      <c r="U186" s="104"/>
      <c r="V186" s="104"/>
      <c r="W186" s="104"/>
      <c r="X186" s="104"/>
      <c r="Y186" s="104"/>
      <c r="Z186" s="104"/>
      <c r="AA186" s="104"/>
      <c r="AB186" s="104"/>
      <c r="AC186" s="104"/>
      <c r="AD186" s="104"/>
    </row>
    <row r="187" ht="21" customHeight="1" spans="1:30">
      <c r="A187" s="6" t="s">
        <v>142</v>
      </c>
      <c r="B187" s="158">
        <v>45936</v>
      </c>
      <c r="C187" s="104" t="str">
        <f t="shared" si="3"/>
        <v>2025年10月</v>
      </c>
      <c r="D187" s="104" t="s">
        <v>10</v>
      </c>
      <c r="E187" s="159" t="s">
        <v>1005</v>
      </c>
      <c r="F187" s="104" t="s">
        <v>1006</v>
      </c>
      <c r="G187" s="195" t="s">
        <v>1007</v>
      </c>
      <c r="H187" s="40" t="s">
        <v>40</v>
      </c>
      <c r="I187" s="152" t="s">
        <v>1653</v>
      </c>
      <c r="J187" s="109" t="s">
        <v>82</v>
      </c>
      <c r="K187" s="104"/>
      <c r="L187" s="159" t="s">
        <v>1430</v>
      </c>
      <c r="M187" s="104" t="s">
        <v>1654</v>
      </c>
      <c r="N187" s="104" t="s">
        <v>1655</v>
      </c>
      <c r="O187" s="197">
        <v>80</v>
      </c>
      <c r="P187" s="104" t="s">
        <v>149</v>
      </c>
      <c r="Q187" s="104" t="s">
        <v>105</v>
      </c>
      <c r="R187" s="198"/>
      <c r="S187" s="198"/>
      <c r="T187" s="104"/>
      <c r="U187" s="104"/>
      <c r="V187" s="104"/>
      <c r="W187" s="104"/>
      <c r="X187" s="104"/>
      <c r="Y187" s="104"/>
      <c r="Z187" s="104"/>
      <c r="AA187" s="104"/>
      <c r="AB187" s="104"/>
      <c r="AC187" s="104"/>
      <c r="AD187" s="104"/>
    </row>
    <row r="188" ht="21" customHeight="1" spans="1:30">
      <c r="A188" s="6" t="s">
        <v>207</v>
      </c>
      <c r="B188" s="158">
        <v>45931</v>
      </c>
      <c r="C188" s="104" t="str">
        <f t="shared" si="3"/>
        <v>2025年10月</v>
      </c>
      <c r="D188" s="104" t="s">
        <v>12</v>
      </c>
      <c r="E188" s="159" t="s">
        <v>1573</v>
      </c>
      <c r="F188" s="104" t="s">
        <v>1029</v>
      </c>
      <c r="G188" s="195" t="s">
        <v>1007</v>
      </c>
      <c r="H188" s="40" t="s">
        <v>48</v>
      </c>
      <c r="I188" s="152" t="s">
        <v>1656</v>
      </c>
      <c r="J188" s="109" t="s">
        <v>82</v>
      </c>
      <c r="K188" s="158">
        <v>45941</v>
      </c>
      <c r="L188" s="159" t="s">
        <v>1071</v>
      </c>
      <c r="M188" s="104" t="s">
        <v>1072</v>
      </c>
      <c r="N188" s="104" t="s">
        <v>1589</v>
      </c>
      <c r="O188" s="197">
        <v>50127.6</v>
      </c>
      <c r="P188" s="104" t="s">
        <v>149</v>
      </c>
      <c r="Q188" s="104" t="s">
        <v>7</v>
      </c>
      <c r="R188" s="198" t="s">
        <v>715</v>
      </c>
      <c r="S188" s="198"/>
      <c r="T188" s="104"/>
      <c r="U188" s="104"/>
      <c r="V188" s="104"/>
      <c r="W188" s="104"/>
      <c r="X188" s="104"/>
      <c r="Y188" s="104"/>
      <c r="Z188" s="104"/>
      <c r="AA188" s="104"/>
      <c r="AB188" s="104"/>
      <c r="AC188" s="104"/>
      <c r="AD188" s="104"/>
    </row>
    <row r="189" ht="21" customHeight="1" spans="1:30">
      <c r="A189" s="6" t="s">
        <v>584</v>
      </c>
      <c r="B189" s="158">
        <v>45940</v>
      </c>
      <c r="C189" s="104" t="str">
        <f t="shared" si="3"/>
        <v>2025年10月</v>
      </c>
      <c r="D189" s="104" t="s">
        <v>12</v>
      </c>
      <c r="E189" s="159" t="s">
        <v>1573</v>
      </c>
      <c r="F189" s="104" t="s">
        <v>1029</v>
      </c>
      <c r="G189" s="195" t="s">
        <v>1007</v>
      </c>
      <c r="H189" s="40" t="s">
        <v>44</v>
      </c>
      <c r="I189" s="152" t="s">
        <v>1657</v>
      </c>
      <c r="J189" s="109" t="s">
        <v>422</v>
      </c>
      <c r="K189" s="104"/>
      <c r="L189" s="159" t="s">
        <v>1071</v>
      </c>
      <c r="M189" s="104" t="s">
        <v>1072</v>
      </c>
      <c r="N189" s="104" t="s">
        <v>1658</v>
      </c>
      <c r="O189" s="197">
        <v>182203.79</v>
      </c>
      <c r="P189" s="104" t="s">
        <v>1128</v>
      </c>
      <c r="Q189" s="104" t="s">
        <v>7</v>
      </c>
      <c r="R189" s="198"/>
      <c r="S189" s="198"/>
      <c r="T189" s="104"/>
      <c r="U189" s="104"/>
      <c r="V189" s="104"/>
      <c r="W189" s="104"/>
      <c r="X189" s="104"/>
      <c r="Y189" s="104"/>
      <c r="Z189" s="104"/>
      <c r="AA189" s="104"/>
      <c r="AB189" s="104"/>
      <c r="AC189" s="104"/>
      <c r="AD189" s="104"/>
    </row>
    <row r="190" ht="21" customHeight="1" spans="1:30">
      <c r="A190" s="6" t="s">
        <v>207</v>
      </c>
      <c r="B190" s="158">
        <v>45943</v>
      </c>
      <c r="C190" s="104" t="str">
        <f t="shared" si="3"/>
        <v>2025年10月</v>
      </c>
      <c r="D190" s="104" t="s">
        <v>11</v>
      </c>
      <c r="E190" s="159" t="s">
        <v>1659</v>
      </c>
      <c r="F190" s="104" t="s">
        <v>1006</v>
      </c>
      <c r="G190" s="195" t="s">
        <v>1007</v>
      </c>
      <c r="H190" s="40" t="s">
        <v>41</v>
      </c>
      <c r="I190" s="152" t="s">
        <v>1660</v>
      </c>
      <c r="J190" s="109" t="s">
        <v>82</v>
      </c>
      <c r="K190" s="104"/>
      <c r="L190" s="159" t="s">
        <v>549</v>
      </c>
      <c r="M190" s="104" t="s">
        <v>1661</v>
      </c>
      <c r="N190" s="104" t="s">
        <v>1662</v>
      </c>
      <c r="O190" s="206">
        <v>300000000</v>
      </c>
      <c r="P190" s="104" t="s">
        <v>1037</v>
      </c>
      <c r="Q190" s="104" t="s">
        <v>105</v>
      </c>
      <c r="R190" s="198" t="s">
        <v>1663</v>
      </c>
      <c r="S190" s="198"/>
      <c r="T190" s="104"/>
      <c r="U190" s="104"/>
      <c r="V190" s="104"/>
      <c r="W190" s="104"/>
      <c r="X190" s="104"/>
      <c r="Y190" s="104"/>
      <c r="Z190" s="104"/>
      <c r="AA190" s="104"/>
      <c r="AB190" s="104"/>
      <c r="AC190" s="104"/>
      <c r="AD190" s="104"/>
    </row>
    <row r="191" ht="21" customHeight="1" spans="1:30">
      <c r="A191" s="6" t="s">
        <v>207</v>
      </c>
      <c r="B191" s="158">
        <v>45944</v>
      </c>
      <c r="C191" s="104" t="str">
        <f t="shared" si="3"/>
        <v>2025年10月</v>
      </c>
      <c r="D191" s="104" t="s">
        <v>12</v>
      </c>
      <c r="E191" s="159" t="s">
        <v>1562</v>
      </c>
      <c r="F191" s="104" t="s">
        <v>1029</v>
      </c>
      <c r="G191" s="195" t="s">
        <v>1007</v>
      </c>
      <c r="H191" s="40" t="s">
        <v>39</v>
      </c>
      <c r="I191" s="153" t="s">
        <v>1664</v>
      </c>
      <c r="J191" s="109" t="s">
        <v>1665</v>
      </c>
      <c r="K191" s="104"/>
      <c r="L191" s="159" t="s">
        <v>1666</v>
      </c>
      <c r="M191" s="104" t="s">
        <v>1667</v>
      </c>
      <c r="N191" s="104" t="s">
        <v>1668</v>
      </c>
      <c r="O191" s="197">
        <v>1015390</v>
      </c>
      <c r="P191" s="104" t="s">
        <v>1567</v>
      </c>
      <c r="Q191" s="104" t="s">
        <v>105</v>
      </c>
      <c r="R191" s="198" t="s">
        <v>1568</v>
      </c>
      <c r="S191" s="198" t="s">
        <v>1669</v>
      </c>
      <c r="T191" s="104"/>
      <c r="U191" s="104"/>
      <c r="V191" s="104"/>
      <c r="W191" s="104"/>
      <c r="X191" s="104"/>
      <c r="Y191" s="104"/>
      <c r="Z191" s="104"/>
      <c r="AA191" s="104"/>
      <c r="AB191" s="104"/>
      <c r="AC191" s="104"/>
      <c r="AD191" s="104"/>
    </row>
    <row r="192" ht="21" customHeight="1" spans="1:30">
      <c r="A192" s="6" t="s">
        <v>207</v>
      </c>
      <c r="B192" s="158">
        <v>45943</v>
      </c>
      <c r="C192" s="104" t="str">
        <f t="shared" si="3"/>
        <v>2025年10月</v>
      </c>
      <c r="D192" s="104" t="s">
        <v>11</v>
      </c>
      <c r="E192" s="159" t="s">
        <v>1659</v>
      </c>
      <c r="F192" s="104" t="s">
        <v>1006</v>
      </c>
      <c r="G192" s="195" t="s">
        <v>1007</v>
      </c>
      <c r="H192" s="40" t="s">
        <v>41</v>
      </c>
      <c r="I192" s="152" t="s">
        <v>1670</v>
      </c>
      <c r="J192" s="109" t="s">
        <v>82</v>
      </c>
      <c r="K192" s="104"/>
      <c r="L192" s="159" t="s">
        <v>549</v>
      </c>
      <c r="M192" s="104" t="s">
        <v>1661</v>
      </c>
      <c r="N192" s="104" t="s">
        <v>1662</v>
      </c>
      <c r="O192" s="197">
        <v>326567204</v>
      </c>
      <c r="P192" s="104" t="s">
        <v>1037</v>
      </c>
      <c r="Q192" s="104" t="s">
        <v>7</v>
      </c>
      <c r="R192" s="198" t="s">
        <v>1663</v>
      </c>
      <c r="S192" s="198"/>
      <c r="T192" s="104"/>
      <c r="U192" s="104"/>
      <c r="V192" s="104"/>
      <c r="W192" s="104"/>
      <c r="X192" s="104"/>
      <c r="Y192" s="104"/>
      <c r="Z192" s="104"/>
      <c r="AA192" s="104"/>
      <c r="AB192" s="104"/>
      <c r="AC192" s="104"/>
      <c r="AD192" s="104"/>
    </row>
    <row r="193" ht="21" customHeight="1" spans="1:30">
      <c r="A193" s="6" t="s">
        <v>207</v>
      </c>
      <c r="B193" s="158">
        <v>45945</v>
      </c>
      <c r="C193" s="104" t="str">
        <f t="shared" si="3"/>
        <v>2025年10月</v>
      </c>
      <c r="D193" s="104" t="s">
        <v>11</v>
      </c>
      <c r="E193" s="159" t="s">
        <v>1635</v>
      </c>
      <c r="F193" s="104" t="s">
        <v>1006</v>
      </c>
      <c r="G193" s="195" t="s">
        <v>1007</v>
      </c>
      <c r="H193" s="40" t="s">
        <v>40</v>
      </c>
      <c r="I193" s="153" t="s">
        <v>1671</v>
      </c>
      <c r="J193" s="109" t="s">
        <v>82</v>
      </c>
      <c r="K193" s="104"/>
      <c r="L193" s="159" t="s">
        <v>1672</v>
      </c>
      <c r="M193" s="104" t="s">
        <v>1673</v>
      </c>
      <c r="N193" s="104" t="s">
        <v>1674</v>
      </c>
      <c r="O193" s="197">
        <v>18900</v>
      </c>
      <c r="P193" s="104" t="s">
        <v>149</v>
      </c>
      <c r="Q193" s="104" t="s">
        <v>7</v>
      </c>
      <c r="R193" s="198" t="s">
        <v>685</v>
      </c>
      <c r="S193" s="198"/>
      <c r="T193" s="104"/>
      <c r="U193" s="104"/>
      <c r="V193" s="104"/>
      <c r="W193" s="104"/>
      <c r="X193" s="104"/>
      <c r="Y193" s="104"/>
      <c r="Z193" s="104"/>
      <c r="AA193" s="104"/>
      <c r="AB193" s="104"/>
      <c r="AC193" s="104"/>
      <c r="AD193" s="104"/>
    </row>
    <row r="194" ht="21" customHeight="1" spans="1:30">
      <c r="A194" s="6" t="s">
        <v>207</v>
      </c>
      <c r="B194" s="158">
        <v>45945</v>
      </c>
      <c r="C194" s="104" t="str">
        <f t="shared" si="3"/>
        <v>2025年10月</v>
      </c>
      <c r="D194" s="104" t="s">
        <v>10</v>
      </c>
      <c r="E194" s="159" t="s">
        <v>1428</v>
      </c>
      <c r="F194" s="104" t="s">
        <v>1006</v>
      </c>
      <c r="G194" s="195" t="s">
        <v>1007</v>
      </c>
      <c r="H194" s="40" t="s">
        <v>40</v>
      </c>
      <c r="I194" s="152" t="s">
        <v>1675</v>
      </c>
      <c r="J194" s="109" t="s">
        <v>82</v>
      </c>
      <c r="K194" s="104"/>
      <c r="L194" s="159" t="s">
        <v>1228</v>
      </c>
      <c r="M194" s="104" t="s">
        <v>1676</v>
      </c>
      <c r="N194" s="104" t="s">
        <v>1230</v>
      </c>
      <c r="O194" s="197">
        <v>399</v>
      </c>
      <c r="P194" s="104" t="s">
        <v>139</v>
      </c>
      <c r="Q194" s="104" t="s">
        <v>105</v>
      </c>
      <c r="R194" s="198" t="s">
        <v>689</v>
      </c>
      <c r="S194" s="198"/>
      <c r="T194" s="104"/>
      <c r="U194" s="104"/>
      <c r="V194" s="104"/>
      <c r="W194" s="104"/>
      <c r="X194" s="104"/>
      <c r="Y194" s="104"/>
      <c r="Z194" s="104"/>
      <c r="AA194" s="104"/>
      <c r="AB194" s="104"/>
      <c r="AC194" s="104"/>
      <c r="AD194" s="104"/>
    </row>
    <row r="195" ht="21" customHeight="1" spans="1:30">
      <c r="A195" s="6" t="s">
        <v>207</v>
      </c>
      <c r="B195" s="158">
        <v>45946</v>
      </c>
      <c r="C195" s="104" t="str">
        <f t="shared" si="3"/>
        <v>2025年10月</v>
      </c>
      <c r="D195" s="104" t="s">
        <v>12</v>
      </c>
      <c r="E195" s="159" t="s">
        <v>1677</v>
      </c>
      <c r="F195" s="104" t="s">
        <v>1029</v>
      </c>
      <c r="G195" s="195" t="s">
        <v>1678</v>
      </c>
      <c r="H195" s="40" t="s">
        <v>46</v>
      </c>
      <c r="I195" s="152" t="s">
        <v>1679</v>
      </c>
      <c r="J195" s="109" t="s">
        <v>82</v>
      </c>
      <c r="K195" s="104"/>
      <c r="L195" s="159" t="s">
        <v>1680</v>
      </c>
      <c r="M195" s="104" t="s">
        <v>1681</v>
      </c>
      <c r="N195" s="104" t="s">
        <v>1682</v>
      </c>
      <c r="O195" s="197">
        <v>3000</v>
      </c>
      <c r="P195" s="104" t="s">
        <v>173</v>
      </c>
      <c r="Q195" s="104" t="s">
        <v>7</v>
      </c>
      <c r="R195" s="198" t="s">
        <v>1683</v>
      </c>
      <c r="S195" s="198"/>
      <c r="T195" s="104"/>
      <c r="U195" s="104"/>
      <c r="V195" s="104"/>
      <c r="W195" s="104"/>
      <c r="X195" s="104"/>
      <c r="Y195" s="104"/>
      <c r="Z195" s="104"/>
      <c r="AA195" s="104"/>
      <c r="AB195" s="104"/>
      <c r="AC195" s="104"/>
      <c r="AD195" s="104"/>
    </row>
    <row r="196" ht="21" customHeight="1" spans="1:30">
      <c r="A196" s="6" t="s">
        <v>207</v>
      </c>
      <c r="B196" s="158">
        <v>45946</v>
      </c>
      <c r="C196" s="104" t="str">
        <f t="shared" si="3"/>
        <v>2025年10月</v>
      </c>
      <c r="D196" s="104" t="s">
        <v>12</v>
      </c>
      <c r="E196" s="159" t="s">
        <v>1684</v>
      </c>
      <c r="F196" s="104" t="s">
        <v>1029</v>
      </c>
      <c r="G196" s="195" t="s">
        <v>1007</v>
      </c>
      <c r="H196" s="40" t="s">
        <v>48</v>
      </c>
      <c r="I196" s="152" t="s">
        <v>1685</v>
      </c>
      <c r="J196" s="109" t="s">
        <v>82</v>
      </c>
      <c r="K196" s="158">
        <v>45950</v>
      </c>
      <c r="L196" s="159" t="s">
        <v>906</v>
      </c>
      <c r="M196" s="104" t="s">
        <v>907</v>
      </c>
      <c r="N196" s="104" t="s">
        <v>1686</v>
      </c>
      <c r="O196" s="197">
        <v>151596.97</v>
      </c>
      <c r="P196" s="104" t="s">
        <v>173</v>
      </c>
      <c r="Q196" s="104" t="s">
        <v>7</v>
      </c>
      <c r="R196" s="198" t="s">
        <v>1500</v>
      </c>
      <c r="S196" s="198"/>
      <c r="T196" s="104"/>
      <c r="U196" s="104"/>
      <c r="V196" s="104"/>
      <c r="W196" s="104"/>
      <c r="X196" s="104"/>
      <c r="Y196" s="104"/>
      <c r="Z196" s="104"/>
      <c r="AA196" s="104"/>
      <c r="AB196" s="104"/>
      <c r="AC196" s="104"/>
      <c r="AD196" s="104"/>
    </row>
    <row r="197" ht="21" customHeight="1" spans="1:30">
      <c r="A197" s="6" t="s">
        <v>207</v>
      </c>
      <c r="B197" s="158">
        <v>45946</v>
      </c>
      <c r="C197" s="104" t="str">
        <f t="shared" si="3"/>
        <v>2025年10月</v>
      </c>
      <c r="D197" s="104" t="s">
        <v>12</v>
      </c>
      <c r="E197" s="159" t="s">
        <v>1684</v>
      </c>
      <c r="F197" s="104" t="s">
        <v>1029</v>
      </c>
      <c r="G197" s="195" t="s">
        <v>1007</v>
      </c>
      <c r="H197" s="40" t="s">
        <v>39</v>
      </c>
      <c r="I197" s="152" t="s">
        <v>1687</v>
      </c>
      <c r="J197" s="109" t="s">
        <v>82</v>
      </c>
      <c r="K197" s="104"/>
      <c r="L197" s="159" t="s">
        <v>906</v>
      </c>
      <c r="M197" s="104" t="s">
        <v>907</v>
      </c>
      <c r="N197" s="104" t="s">
        <v>1688</v>
      </c>
      <c r="O197" s="197">
        <v>1101236.54</v>
      </c>
      <c r="P197" s="104" t="s">
        <v>1062</v>
      </c>
      <c r="Q197" s="104" t="s">
        <v>105</v>
      </c>
      <c r="R197" s="198" t="s">
        <v>1500</v>
      </c>
      <c r="S197" s="198"/>
      <c r="T197" s="104"/>
      <c r="U197" s="104"/>
      <c r="V197" s="104"/>
      <c r="W197" s="104"/>
      <c r="X197" s="104"/>
      <c r="Y197" s="104"/>
      <c r="Z197" s="104"/>
      <c r="AA197" s="104"/>
      <c r="AB197" s="104"/>
      <c r="AC197" s="104"/>
      <c r="AD197" s="104"/>
    </row>
    <row r="198" ht="21" customHeight="1" spans="1:30">
      <c r="A198" s="6" t="s">
        <v>207</v>
      </c>
      <c r="B198" s="158">
        <v>45946</v>
      </c>
      <c r="C198" s="104" t="str">
        <f t="shared" si="3"/>
        <v>2025年10月</v>
      </c>
      <c r="D198" s="104" t="s">
        <v>11</v>
      </c>
      <c r="E198" s="159" t="s">
        <v>1064</v>
      </c>
      <c r="F198" s="104" t="s">
        <v>1006</v>
      </c>
      <c r="G198" s="195" t="s">
        <v>1007</v>
      </c>
      <c r="H198" s="40" t="s">
        <v>39</v>
      </c>
      <c r="I198" s="152" t="s">
        <v>1689</v>
      </c>
      <c r="J198" s="109" t="s">
        <v>82</v>
      </c>
      <c r="K198" s="104"/>
      <c r="L198" s="159" t="s">
        <v>1268</v>
      </c>
      <c r="M198" s="104" t="s">
        <v>1269</v>
      </c>
      <c r="N198" s="104" t="s">
        <v>1270</v>
      </c>
      <c r="O198" s="197">
        <v>68562.05</v>
      </c>
      <c r="P198" s="104" t="s">
        <v>173</v>
      </c>
      <c r="Q198" s="104" t="s">
        <v>105</v>
      </c>
      <c r="R198" s="198" t="s">
        <v>1500</v>
      </c>
      <c r="S198" s="198"/>
      <c r="T198" s="104"/>
      <c r="U198" s="104"/>
      <c r="V198" s="104"/>
      <c r="W198" s="104"/>
      <c r="X198" s="104"/>
      <c r="Y198" s="104"/>
      <c r="Z198" s="104"/>
      <c r="AA198" s="104"/>
      <c r="AB198" s="104"/>
      <c r="AC198" s="104"/>
      <c r="AD198" s="104"/>
    </row>
    <row r="199" ht="21" customHeight="1" spans="1:30">
      <c r="A199" s="6" t="s">
        <v>142</v>
      </c>
      <c r="B199" s="158">
        <v>45947</v>
      </c>
      <c r="C199" s="104" t="str">
        <f t="shared" si="3"/>
        <v>2025年10月</v>
      </c>
      <c r="D199" s="104" t="s">
        <v>12</v>
      </c>
      <c r="E199" s="159" t="s">
        <v>1690</v>
      </c>
      <c r="F199" s="104" t="s">
        <v>1029</v>
      </c>
      <c r="G199" s="195" t="s">
        <v>1007</v>
      </c>
      <c r="H199" s="40" t="s">
        <v>44</v>
      </c>
      <c r="I199" s="152" t="s">
        <v>1691</v>
      </c>
      <c r="J199" s="109" t="s">
        <v>82</v>
      </c>
      <c r="K199" s="104"/>
      <c r="L199" s="159" t="s">
        <v>1692</v>
      </c>
      <c r="M199" s="104" t="s">
        <v>1693</v>
      </c>
      <c r="N199" s="104" t="s">
        <v>1693</v>
      </c>
      <c r="O199" s="197">
        <v>50000</v>
      </c>
      <c r="P199" s="104" t="s">
        <v>1128</v>
      </c>
      <c r="Q199" s="104" t="s">
        <v>7</v>
      </c>
      <c r="R199" s="198"/>
      <c r="S199" s="198"/>
      <c r="T199" s="104"/>
      <c r="U199" s="104"/>
      <c r="V199" s="104"/>
      <c r="W199" s="104"/>
      <c r="X199" s="104"/>
      <c r="Y199" s="104"/>
      <c r="Z199" s="104"/>
      <c r="AA199" s="104"/>
      <c r="AB199" s="104"/>
      <c r="AC199" s="104"/>
      <c r="AD199" s="104"/>
    </row>
    <row r="200" ht="21" customHeight="1" spans="1:30">
      <c r="A200" s="6" t="s">
        <v>207</v>
      </c>
      <c r="B200" s="158">
        <v>45947</v>
      </c>
      <c r="C200" s="104" t="str">
        <f t="shared" si="3"/>
        <v>2025年10月</v>
      </c>
      <c r="D200" s="104" t="s">
        <v>11</v>
      </c>
      <c r="E200" s="159" t="s">
        <v>1694</v>
      </c>
      <c r="F200" s="104" t="s">
        <v>1029</v>
      </c>
      <c r="G200" s="195" t="s">
        <v>1276</v>
      </c>
      <c r="H200" s="40" t="s">
        <v>39</v>
      </c>
      <c r="I200" s="152" t="s">
        <v>1695</v>
      </c>
      <c r="J200" s="109" t="s">
        <v>1665</v>
      </c>
      <c r="K200" s="104"/>
      <c r="L200" s="159" t="s">
        <v>1696</v>
      </c>
      <c r="M200" s="104" t="s">
        <v>1697</v>
      </c>
      <c r="N200" s="104" t="s">
        <v>1698</v>
      </c>
      <c r="O200" s="197">
        <v>510071.2</v>
      </c>
      <c r="P200" s="104" t="s">
        <v>1062</v>
      </c>
      <c r="Q200" s="104" t="s">
        <v>105</v>
      </c>
      <c r="R200" s="198" t="s">
        <v>1523</v>
      </c>
      <c r="S200" s="198"/>
      <c r="T200" s="104"/>
      <c r="U200" s="104"/>
      <c r="V200" s="104"/>
      <c r="W200" s="104"/>
      <c r="X200" s="104"/>
      <c r="Y200" s="104"/>
      <c r="Z200" s="104"/>
      <c r="AA200" s="104"/>
      <c r="AB200" s="104"/>
      <c r="AC200" s="104"/>
      <c r="AD200" s="104"/>
    </row>
    <row r="201" ht="21" customHeight="1" spans="1:30">
      <c r="A201" s="6" t="s">
        <v>207</v>
      </c>
      <c r="B201" s="158">
        <v>45947</v>
      </c>
      <c r="C201" s="104" t="str">
        <f t="shared" si="3"/>
        <v>2025年10月</v>
      </c>
      <c r="D201" s="104" t="s">
        <v>11</v>
      </c>
      <c r="E201" s="159" t="s">
        <v>1321</v>
      </c>
      <c r="F201" s="104" t="s">
        <v>1006</v>
      </c>
      <c r="G201" s="195" t="s">
        <v>1007</v>
      </c>
      <c r="H201" s="40" t="s">
        <v>52</v>
      </c>
      <c r="I201" s="152" t="s">
        <v>1699</v>
      </c>
      <c r="J201" s="109" t="s">
        <v>82</v>
      </c>
      <c r="K201" s="104"/>
      <c r="L201" s="159" t="s">
        <v>1637</v>
      </c>
      <c r="M201" s="104" t="s">
        <v>1700</v>
      </c>
      <c r="N201" s="104" t="s">
        <v>1639</v>
      </c>
      <c r="O201" s="205">
        <v>18905</v>
      </c>
      <c r="P201" s="104" t="s">
        <v>149</v>
      </c>
      <c r="Q201" s="104" t="s">
        <v>105</v>
      </c>
      <c r="R201" s="198" t="s">
        <v>685</v>
      </c>
      <c r="S201" s="198"/>
      <c r="T201" s="104"/>
      <c r="U201" s="104"/>
      <c r="V201" s="104"/>
      <c r="W201" s="104"/>
      <c r="X201" s="104"/>
      <c r="Y201" s="104"/>
      <c r="Z201" s="104"/>
      <c r="AA201" s="104"/>
      <c r="AB201" s="104"/>
      <c r="AC201" s="104"/>
      <c r="AD201" s="104"/>
    </row>
    <row r="202" ht="21" customHeight="1" spans="1:30">
      <c r="A202" s="6" t="s">
        <v>207</v>
      </c>
      <c r="B202" s="158">
        <v>45947</v>
      </c>
      <c r="C202" s="104" t="str">
        <f t="shared" si="3"/>
        <v>2025年10月</v>
      </c>
      <c r="D202" s="104" t="s">
        <v>12</v>
      </c>
      <c r="E202" s="159" t="s">
        <v>1101</v>
      </c>
      <c r="F202" s="104" t="s">
        <v>1029</v>
      </c>
      <c r="G202" s="195" t="s">
        <v>1007</v>
      </c>
      <c r="H202" s="40" t="s">
        <v>48</v>
      </c>
      <c r="I202" s="152" t="s">
        <v>1701</v>
      </c>
      <c r="J202" s="109" t="s">
        <v>82</v>
      </c>
      <c r="K202" s="104"/>
      <c r="L202" s="159" t="s">
        <v>1210</v>
      </c>
      <c r="M202" s="104" t="s">
        <v>1211</v>
      </c>
      <c r="N202" s="104" t="s">
        <v>1212</v>
      </c>
      <c r="O202" s="197">
        <v>9179.6</v>
      </c>
      <c r="P202" s="104" t="s">
        <v>173</v>
      </c>
      <c r="Q202" s="104" t="s">
        <v>7</v>
      </c>
      <c r="R202" s="198" t="s">
        <v>1500</v>
      </c>
      <c r="S202" s="198"/>
      <c r="T202" s="104"/>
      <c r="U202" s="104"/>
      <c r="V202" s="104"/>
      <c r="W202" s="104"/>
      <c r="X202" s="104"/>
      <c r="Y202" s="104"/>
      <c r="Z202" s="104"/>
      <c r="AA202" s="104"/>
      <c r="AB202" s="104"/>
      <c r="AC202" s="104"/>
      <c r="AD202" s="104"/>
    </row>
    <row r="203" ht="21" customHeight="1" spans="1:30">
      <c r="A203" s="6" t="s">
        <v>207</v>
      </c>
      <c r="B203" s="158">
        <v>45947</v>
      </c>
      <c r="C203" s="104" t="str">
        <f t="shared" si="3"/>
        <v>2025年10月</v>
      </c>
      <c r="D203" s="104" t="s">
        <v>11</v>
      </c>
      <c r="E203" s="159" t="s">
        <v>1321</v>
      </c>
      <c r="F203" s="104" t="s">
        <v>1006</v>
      </c>
      <c r="G203" s="195" t="s">
        <v>1007</v>
      </c>
      <c r="H203" s="40" t="s">
        <v>52</v>
      </c>
      <c r="I203" s="152" t="s">
        <v>1702</v>
      </c>
      <c r="J203" s="109" t="s">
        <v>82</v>
      </c>
      <c r="K203" s="104"/>
      <c r="L203" s="159" t="s">
        <v>1703</v>
      </c>
      <c r="M203" s="104" t="s">
        <v>1704</v>
      </c>
      <c r="N203" s="104" t="s">
        <v>1705</v>
      </c>
      <c r="O203" s="197">
        <v>300</v>
      </c>
      <c r="P203" s="104" t="s">
        <v>149</v>
      </c>
      <c r="Q203" s="104" t="s">
        <v>105</v>
      </c>
      <c r="R203" s="198" t="s">
        <v>685</v>
      </c>
      <c r="S203" s="198"/>
      <c r="T203" s="104"/>
      <c r="U203" s="104"/>
      <c r="V203" s="104"/>
      <c r="W203" s="104"/>
      <c r="X203" s="104"/>
      <c r="Y203" s="104"/>
      <c r="Z203" s="104"/>
      <c r="AA203" s="104"/>
      <c r="AB203" s="104"/>
      <c r="AC203" s="104"/>
      <c r="AD203" s="104"/>
    </row>
    <row r="204" ht="21" customHeight="1" spans="1:30">
      <c r="A204" s="6" t="s">
        <v>207</v>
      </c>
      <c r="B204" s="158">
        <v>45950</v>
      </c>
      <c r="C204" s="104" t="str">
        <f t="shared" si="3"/>
        <v>2025年10月</v>
      </c>
      <c r="D204" s="104" t="s">
        <v>11</v>
      </c>
      <c r="E204" s="159" t="s">
        <v>1659</v>
      </c>
      <c r="F204" s="104" t="s">
        <v>1006</v>
      </c>
      <c r="G204" s="195" t="s">
        <v>1007</v>
      </c>
      <c r="H204" s="40" t="s">
        <v>41</v>
      </c>
      <c r="I204" s="152" t="s">
        <v>1706</v>
      </c>
      <c r="J204" s="109" t="s">
        <v>82</v>
      </c>
      <c r="K204" s="104"/>
      <c r="L204" s="159" t="s">
        <v>549</v>
      </c>
      <c r="M204" s="104" t="s">
        <v>1661</v>
      </c>
      <c r="N204" s="104" t="s">
        <v>1662</v>
      </c>
      <c r="O204" s="206">
        <v>300000000</v>
      </c>
      <c r="P204" s="104" t="s">
        <v>1037</v>
      </c>
      <c r="Q204" s="104" t="s">
        <v>105</v>
      </c>
      <c r="R204" s="198" t="s">
        <v>1663</v>
      </c>
      <c r="S204" s="198"/>
      <c r="T204" s="104"/>
      <c r="U204" s="104"/>
      <c r="V204" s="104"/>
      <c r="W204" s="104"/>
      <c r="X204" s="104"/>
      <c r="Y204" s="104"/>
      <c r="Z204" s="104"/>
      <c r="AA204" s="104"/>
      <c r="AB204" s="104"/>
      <c r="AC204" s="104"/>
      <c r="AD204" s="104"/>
    </row>
    <row r="205" ht="21" customHeight="1" spans="1:30">
      <c r="A205" s="6" t="s">
        <v>207</v>
      </c>
      <c r="B205" s="158">
        <v>45950</v>
      </c>
      <c r="C205" s="104" t="str">
        <f t="shared" si="3"/>
        <v>2025年10月</v>
      </c>
      <c r="D205" s="104" t="s">
        <v>10</v>
      </c>
      <c r="E205" s="159" t="s">
        <v>1707</v>
      </c>
      <c r="F205" s="104" t="s">
        <v>1006</v>
      </c>
      <c r="G205" s="195" t="s">
        <v>1007</v>
      </c>
      <c r="H205" s="40" t="s">
        <v>40</v>
      </c>
      <c r="I205" s="152" t="s">
        <v>1708</v>
      </c>
      <c r="J205" s="109" t="s">
        <v>422</v>
      </c>
      <c r="K205" s="104"/>
      <c r="L205" s="159" t="s">
        <v>1709</v>
      </c>
      <c r="M205" s="104" t="s">
        <v>1316</v>
      </c>
      <c r="N205" s="104" t="s">
        <v>1710</v>
      </c>
      <c r="O205" s="206">
        <v>300</v>
      </c>
      <c r="P205" s="104" t="s">
        <v>80</v>
      </c>
      <c r="Q205" s="104" t="s">
        <v>105</v>
      </c>
      <c r="R205" s="198" t="s">
        <v>674</v>
      </c>
      <c r="S205" s="198" t="s">
        <v>1711</v>
      </c>
      <c r="T205" s="104"/>
      <c r="U205" s="104"/>
      <c r="V205" s="104"/>
      <c r="W205" s="104"/>
      <c r="X205" s="104"/>
      <c r="Y205" s="104"/>
      <c r="Z205" s="104"/>
      <c r="AA205" s="104"/>
      <c r="AB205" s="104"/>
      <c r="AC205" s="104"/>
      <c r="AD205" s="104"/>
    </row>
    <row r="206" ht="21" customHeight="1" spans="1:30">
      <c r="A206" s="6" t="s">
        <v>207</v>
      </c>
      <c r="B206" s="158">
        <v>45951</v>
      </c>
      <c r="C206" s="104" t="str">
        <f t="shared" si="3"/>
        <v>2025年10月</v>
      </c>
      <c r="D206" s="104" t="s">
        <v>10</v>
      </c>
      <c r="E206" s="159" t="s">
        <v>1712</v>
      </c>
      <c r="F206" s="104" t="s">
        <v>1006</v>
      </c>
      <c r="G206" s="195" t="s">
        <v>1007</v>
      </c>
      <c r="H206" s="40" t="s">
        <v>40</v>
      </c>
      <c r="I206" s="152" t="s">
        <v>1713</v>
      </c>
      <c r="J206" s="109" t="s">
        <v>82</v>
      </c>
      <c r="K206" s="104"/>
      <c r="L206" s="159" t="s">
        <v>1526</v>
      </c>
      <c r="M206" s="104" t="s">
        <v>1714</v>
      </c>
      <c r="N206" s="104" t="s">
        <v>1528</v>
      </c>
      <c r="O206" s="206">
        <v>100</v>
      </c>
      <c r="P206" s="104" t="s">
        <v>139</v>
      </c>
      <c r="Q206" s="104" t="s">
        <v>105</v>
      </c>
      <c r="R206" s="198" t="s">
        <v>689</v>
      </c>
      <c r="S206" s="198"/>
      <c r="T206" s="104"/>
      <c r="U206" s="104"/>
      <c r="V206" s="104"/>
      <c r="W206" s="104"/>
      <c r="X206" s="104"/>
      <c r="Y206" s="104"/>
      <c r="Z206" s="104"/>
      <c r="AA206" s="104"/>
      <c r="AB206" s="104"/>
      <c r="AC206" s="104"/>
      <c r="AD206" s="104"/>
    </row>
    <row r="207" s="183" customFormat="1" ht="21" customHeight="1" spans="1:30">
      <c r="A207" s="6" t="s">
        <v>207</v>
      </c>
      <c r="B207" s="158">
        <v>45952</v>
      </c>
      <c r="C207" s="104" t="str">
        <f t="shared" si="3"/>
        <v>2025年10月</v>
      </c>
      <c r="D207" s="104" t="s">
        <v>11</v>
      </c>
      <c r="E207" s="159" t="s">
        <v>1659</v>
      </c>
      <c r="F207" s="104" t="s">
        <v>1006</v>
      </c>
      <c r="G207" s="195" t="s">
        <v>1007</v>
      </c>
      <c r="H207" s="40" t="s">
        <v>41</v>
      </c>
      <c r="I207" s="152" t="s">
        <v>1715</v>
      </c>
      <c r="J207" s="109" t="s">
        <v>82</v>
      </c>
      <c r="K207" s="104"/>
      <c r="L207" s="159" t="s">
        <v>549</v>
      </c>
      <c r="M207" s="104" t="s">
        <v>1661</v>
      </c>
      <c r="N207" s="104" t="s">
        <v>1662</v>
      </c>
      <c r="O207" s="206">
        <v>330884280</v>
      </c>
      <c r="P207" s="104" t="s">
        <v>1037</v>
      </c>
      <c r="Q207" s="104" t="s">
        <v>7</v>
      </c>
      <c r="R207" s="198" t="s">
        <v>1663</v>
      </c>
      <c r="S207" s="198"/>
      <c r="T207" s="104"/>
      <c r="U207" s="104"/>
      <c r="V207" s="104"/>
      <c r="W207" s="104"/>
      <c r="X207" s="104"/>
      <c r="Y207" s="104"/>
      <c r="Z207" s="104"/>
      <c r="AA207" s="104"/>
      <c r="AB207" s="104"/>
      <c r="AC207" s="104"/>
      <c r="AD207" s="104"/>
    </row>
    <row r="208" s="183" customFormat="1" ht="21" customHeight="1" spans="1:30">
      <c r="A208" s="6" t="s">
        <v>142</v>
      </c>
      <c r="B208" s="158">
        <v>45952</v>
      </c>
      <c r="C208" s="104" t="str">
        <f t="shared" si="3"/>
        <v>2025年10月</v>
      </c>
      <c r="D208" s="104" t="s">
        <v>12</v>
      </c>
      <c r="E208" s="159"/>
      <c r="F208" s="104" t="s">
        <v>1029</v>
      </c>
      <c r="G208" s="195" t="s">
        <v>1007</v>
      </c>
      <c r="H208" s="40" t="s">
        <v>46</v>
      </c>
      <c r="I208" s="152" t="s">
        <v>1716</v>
      </c>
      <c r="J208" s="109" t="s">
        <v>82</v>
      </c>
      <c r="K208" s="104"/>
      <c r="L208" s="159" t="s">
        <v>906</v>
      </c>
      <c r="M208" s="198" t="s">
        <v>907</v>
      </c>
      <c r="N208" s="198" t="s">
        <v>1717</v>
      </c>
      <c r="O208" s="206">
        <v>142543.04</v>
      </c>
      <c r="P208" s="104" t="s">
        <v>173</v>
      </c>
      <c r="Q208" s="104" t="s">
        <v>105</v>
      </c>
      <c r="R208" s="198"/>
      <c r="S208" s="198"/>
      <c r="T208" s="104"/>
      <c r="U208" s="104"/>
      <c r="V208" s="104"/>
      <c r="W208" s="104"/>
      <c r="X208" s="104"/>
      <c r="Y208" s="104"/>
      <c r="Z208" s="104"/>
      <c r="AA208" s="104"/>
      <c r="AB208" s="104"/>
      <c r="AC208" s="104"/>
      <c r="AD208" s="104"/>
    </row>
    <row r="209" s="183" customFormat="1" ht="21" customHeight="1" spans="1:30">
      <c r="A209" s="6" t="s">
        <v>584</v>
      </c>
      <c r="B209" s="158">
        <v>45952</v>
      </c>
      <c r="C209" s="104" t="str">
        <f t="shared" si="3"/>
        <v>2025年10月</v>
      </c>
      <c r="D209" s="104" t="s">
        <v>11</v>
      </c>
      <c r="E209" s="159" t="s">
        <v>1321</v>
      </c>
      <c r="F209" s="104" t="s">
        <v>1006</v>
      </c>
      <c r="G209" s="195" t="s">
        <v>1011</v>
      </c>
      <c r="H209" s="40" t="s">
        <v>52</v>
      </c>
      <c r="I209" s="109" t="s">
        <v>1718</v>
      </c>
      <c r="J209" s="109" t="s">
        <v>82</v>
      </c>
      <c r="K209" s="104"/>
      <c r="L209" s="159" t="s">
        <v>1719</v>
      </c>
      <c r="M209" s="104" t="s">
        <v>1720</v>
      </c>
      <c r="N209" s="104" t="s">
        <v>1721</v>
      </c>
      <c r="O209" s="206">
        <v>28000</v>
      </c>
      <c r="P209" s="104" t="s">
        <v>149</v>
      </c>
      <c r="Q209" s="104" t="s">
        <v>7</v>
      </c>
      <c r="R209" s="198" t="s">
        <v>685</v>
      </c>
      <c r="S209" s="198"/>
      <c r="T209" s="158">
        <v>45972</v>
      </c>
      <c r="U209" s="158">
        <v>45973</v>
      </c>
      <c r="V209" s="104"/>
      <c r="W209" s="104"/>
      <c r="X209" s="104"/>
      <c r="Y209" s="104"/>
      <c r="Z209" s="104"/>
      <c r="AA209" s="104"/>
      <c r="AB209" s="104"/>
      <c r="AC209" s="104"/>
      <c r="AD209" s="104"/>
    </row>
    <row r="210" s="184" customFormat="1" ht="21" customHeight="1" spans="1:30">
      <c r="A210" s="6" t="s">
        <v>584</v>
      </c>
      <c r="B210" s="158">
        <v>45952</v>
      </c>
      <c r="C210" s="104" t="str">
        <f t="shared" si="3"/>
        <v>2025年10月</v>
      </c>
      <c r="D210" s="104" t="s">
        <v>12</v>
      </c>
      <c r="E210" s="159" t="s">
        <v>1684</v>
      </c>
      <c r="F210" s="104" t="s">
        <v>1029</v>
      </c>
      <c r="G210" s="195" t="s">
        <v>1007</v>
      </c>
      <c r="H210" s="40" t="s">
        <v>39</v>
      </c>
      <c r="I210" s="153" t="s">
        <v>1722</v>
      </c>
      <c r="J210" s="109" t="s">
        <v>82</v>
      </c>
      <c r="K210" s="104"/>
      <c r="L210" s="159" t="s">
        <v>906</v>
      </c>
      <c r="M210" s="104" t="s">
        <v>907</v>
      </c>
      <c r="N210" s="104" t="s">
        <v>1723</v>
      </c>
      <c r="O210" s="197">
        <v>1200</v>
      </c>
      <c r="P210" s="104" t="s">
        <v>173</v>
      </c>
      <c r="Q210" s="104" t="s">
        <v>105</v>
      </c>
      <c r="R210" s="198" t="s">
        <v>1724</v>
      </c>
      <c r="S210" s="198"/>
      <c r="T210" s="104"/>
      <c r="U210" s="104"/>
      <c r="V210" s="104"/>
      <c r="W210" s="104"/>
      <c r="X210" s="104"/>
      <c r="Y210" s="104"/>
      <c r="Z210" s="104"/>
      <c r="AA210" s="104"/>
      <c r="AB210" s="104"/>
      <c r="AC210" s="104"/>
      <c r="AD210" s="104"/>
    </row>
    <row r="211" s="10" customFormat="1" ht="14" spans="1:30">
      <c r="A211" s="6" t="s">
        <v>142</v>
      </c>
      <c r="B211" s="158">
        <v>45952</v>
      </c>
      <c r="C211" s="104" t="str">
        <f t="shared" si="3"/>
        <v>2025年10月</v>
      </c>
      <c r="D211" s="104" t="s">
        <v>12</v>
      </c>
      <c r="E211" s="159" t="s">
        <v>1595</v>
      </c>
      <c r="F211" s="104" t="s">
        <v>1029</v>
      </c>
      <c r="G211" s="195" t="s">
        <v>1011</v>
      </c>
      <c r="H211" s="40" t="s">
        <v>39</v>
      </c>
      <c r="I211" s="152" t="s">
        <v>1725</v>
      </c>
      <c r="J211" s="109" t="s">
        <v>82</v>
      </c>
      <c r="K211" s="160"/>
      <c r="L211" s="159" t="s">
        <v>1071</v>
      </c>
      <c r="M211" s="159" t="s">
        <v>1726</v>
      </c>
      <c r="N211" s="159" t="s">
        <v>1727</v>
      </c>
      <c r="O211" s="197">
        <v>10000</v>
      </c>
      <c r="P211" s="104" t="s">
        <v>173</v>
      </c>
      <c r="Q211" s="104" t="s">
        <v>7</v>
      </c>
      <c r="R211" s="162"/>
      <c r="S211" s="162"/>
      <c r="T211" s="160"/>
      <c r="U211" s="160"/>
      <c r="V211" s="160"/>
      <c r="W211" s="160"/>
      <c r="X211" s="160"/>
      <c r="Y211" s="160"/>
      <c r="Z211" s="160"/>
      <c r="AA211" s="160"/>
      <c r="AB211" s="160"/>
      <c r="AC211" s="160"/>
      <c r="AD211" s="160"/>
    </row>
    <row r="212" s="10" customFormat="1" ht="14" spans="1:30">
      <c r="A212" s="6" t="s">
        <v>142</v>
      </c>
      <c r="B212" s="158">
        <v>45952</v>
      </c>
      <c r="C212" s="104" t="str">
        <f t="shared" si="3"/>
        <v>2025年10月</v>
      </c>
      <c r="D212" s="104" t="s">
        <v>12</v>
      </c>
      <c r="E212" s="159" t="s">
        <v>1728</v>
      </c>
      <c r="F212" s="104" t="s">
        <v>1029</v>
      </c>
      <c r="G212" s="195" t="s">
        <v>1276</v>
      </c>
      <c r="H212" s="40" t="s">
        <v>39</v>
      </c>
      <c r="I212" s="152" t="s">
        <v>1729</v>
      </c>
      <c r="J212" s="109" t="s">
        <v>1665</v>
      </c>
      <c r="K212" s="160"/>
      <c r="L212" s="159" t="s">
        <v>906</v>
      </c>
      <c r="M212" s="159" t="s">
        <v>1730</v>
      </c>
      <c r="N212" s="159" t="s">
        <v>1731</v>
      </c>
      <c r="O212" s="207">
        <v>3150</v>
      </c>
      <c r="P212" s="104" t="s">
        <v>149</v>
      </c>
      <c r="Q212" s="104" t="s">
        <v>7</v>
      </c>
      <c r="R212" s="162"/>
      <c r="S212" s="162"/>
      <c r="T212" s="160"/>
      <c r="U212" s="160"/>
      <c r="V212" s="160"/>
      <c r="W212" s="160"/>
      <c r="X212" s="160"/>
      <c r="Y212" s="160"/>
      <c r="Z212" s="160"/>
      <c r="AA212" s="160"/>
      <c r="AB212" s="160"/>
      <c r="AC212" s="160"/>
      <c r="AD212" s="160"/>
    </row>
    <row r="213" s="10" customFormat="1" ht="14" spans="1:30">
      <c r="A213" s="6" t="s">
        <v>207</v>
      </c>
      <c r="B213" s="158">
        <v>45953</v>
      </c>
      <c r="C213" s="104" t="str">
        <f t="shared" si="3"/>
        <v>2025年10月</v>
      </c>
      <c r="D213" s="104" t="s">
        <v>12</v>
      </c>
      <c r="E213" s="159" t="s">
        <v>1732</v>
      </c>
      <c r="F213" s="104" t="s">
        <v>1029</v>
      </c>
      <c r="G213" s="195" t="s">
        <v>1007</v>
      </c>
      <c r="H213" s="40" t="s">
        <v>39</v>
      </c>
      <c r="I213" s="155" t="s">
        <v>1733</v>
      </c>
      <c r="J213" s="109" t="s">
        <v>82</v>
      </c>
      <c r="K213" s="160"/>
      <c r="L213" s="161" t="s">
        <v>1103</v>
      </c>
      <c r="M213" s="160" t="s">
        <v>1104</v>
      </c>
      <c r="N213" s="160" t="s">
        <v>1734</v>
      </c>
      <c r="O213" s="187">
        <v>22320</v>
      </c>
      <c r="P213" s="160" t="s">
        <v>139</v>
      </c>
      <c r="Q213" s="104" t="s">
        <v>105</v>
      </c>
      <c r="R213" s="162" t="s">
        <v>801</v>
      </c>
      <c r="S213" s="162"/>
      <c r="T213" s="160"/>
      <c r="U213" s="160"/>
      <c r="V213" s="160"/>
      <c r="W213" s="160"/>
      <c r="X213" s="160"/>
      <c r="Y213" s="160"/>
      <c r="Z213" s="160"/>
      <c r="AA213" s="160"/>
      <c r="AB213" s="160"/>
      <c r="AC213" s="160"/>
      <c r="AD213" s="160"/>
    </row>
    <row r="214" s="10" customFormat="1" ht="14" spans="1:30">
      <c r="A214" s="6" t="s">
        <v>207</v>
      </c>
      <c r="B214" s="158">
        <v>45953</v>
      </c>
      <c r="C214" s="104" t="str">
        <f t="shared" si="3"/>
        <v>2025年10月</v>
      </c>
      <c r="D214" s="104" t="s">
        <v>12</v>
      </c>
      <c r="E214" s="159"/>
      <c r="F214" s="104" t="s">
        <v>1029</v>
      </c>
      <c r="G214" s="195" t="s">
        <v>1007</v>
      </c>
      <c r="H214" s="40" t="s">
        <v>48</v>
      </c>
      <c r="I214" s="155" t="s">
        <v>1735</v>
      </c>
      <c r="J214" s="109" t="s">
        <v>82</v>
      </c>
      <c r="K214" s="160"/>
      <c r="L214" s="161" t="s">
        <v>1736</v>
      </c>
      <c r="M214" s="160" t="s">
        <v>1737</v>
      </c>
      <c r="N214" s="160" t="s">
        <v>1738</v>
      </c>
      <c r="O214" s="187">
        <v>1110600</v>
      </c>
      <c r="P214" s="160" t="s">
        <v>1062</v>
      </c>
      <c r="Q214" s="104" t="s">
        <v>7</v>
      </c>
      <c r="R214" s="162" t="s">
        <v>1500</v>
      </c>
      <c r="S214" s="162"/>
      <c r="T214" s="160"/>
      <c r="U214" s="160"/>
      <c r="V214" s="160"/>
      <c r="W214" s="160"/>
      <c r="X214" s="160"/>
      <c r="Y214" s="160"/>
      <c r="Z214" s="160"/>
      <c r="AA214" s="160"/>
      <c r="AB214" s="160"/>
      <c r="AC214" s="160"/>
      <c r="AD214" s="160"/>
    </row>
    <row r="215" s="10" customFormat="1" ht="14" spans="1:30">
      <c r="A215" s="6" t="s">
        <v>142</v>
      </c>
      <c r="B215" s="158">
        <v>45953</v>
      </c>
      <c r="C215" s="104" t="str">
        <f t="shared" si="3"/>
        <v>2025年10月</v>
      </c>
      <c r="D215" s="104" t="s">
        <v>12</v>
      </c>
      <c r="E215" s="159"/>
      <c r="F215" s="104" t="s">
        <v>1029</v>
      </c>
      <c r="G215" s="195" t="s">
        <v>1007</v>
      </c>
      <c r="H215" s="40" t="s">
        <v>39</v>
      </c>
      <c r="I215" s="155" t="s">
        <v>1739</v>
      </c>
      <c r="J215" s="109" t="s">
        <v>82</v>
      </c>
      <c r="K215" s="160"/>
      <c r="L215" s="161" t="s">
        <v>1736</v>
      </c>
      <c r="M215" s="160" t="s">
        <v>1737</v>
      </c>
      <c r="N215" s="160" t="s">
        <v>1740</v>
      </c>
      <c r="O215" s="187">
        <v>145000</v>
      </c>
      <c r="P215" s="160" t="s">
        <v>1062</v>
      </c>
      <c r="Q215" s="104" t="s">
        <v>105</v>
      </c>
      <c r="R215" s="162"/>
      <c r="S215" s="162"/>
      <c r="T215" s="160"/>
      <c r="U215" s="160"/>
      <c r="V215" s="160"/>
      <c r="W215" s="160"/>
      <c r="X215" s="160"/>
      <c r="Y215" s="160"/>
      <c r="Z215" s="160"/>
      <c r="AA215" s="160"/>
      <c r="AB215" s="160"/>
      <c r="AC215" s="160"/>
      <c r="AD215" s="160"/>
    </row>
    <row r="216" s="10" customFormat="1" ht="14" spans="1:30">
      <c r="A216" s="6" t="s">
        <v>142</v>
      </c>
      <c r="B216" s="158">
        <v>45954</v>
      </c>
      <c r="C216" s="104" t="str">
        <f t="shared" si="3"/>
        <v>2025年10月</v>
      </c>
      <c r="D216" s="104" t="s">
        <v>12</v>
      </c>
      <c r="E216" s="159"/>
      <c r="F216" s="104" t="s">
        <v>1029</v>
      </c>
      <c r="G216" s="195" t="s">
        <v>1007</v>
      </c>
      <c r="H216" s="40" t="s">
        <v>44</v>
      </c>
      <c r="I216" s="155" t="s">
        <v>1741</v>
      </c>
      <c r="J216" s="109" t="s">
        <v>82</v>
      </c>
      <c r="K216" s="160"/>
      <c r="L216" s="161" t="s">
        <v>1742</v>
      </c>
      <c r="M216" s="160" t="s">
        <v>1743</v>
      </c>
      <c r="N216" s="160" t="s">
        <v>1744</v>
      </c>
      <c r="O216" s="187">
        <v>67660.31</v>
      </c>
      <c r="P216" s="104" t="s">
        <v>173</v>
      </c>
      <c r="Q216" s="104" t="s">
        <v>105</v>
      </c>
      <c r="R216" s="162"/>
      <c r="S216" s="162"/>
      <c r="T216" s="160"/>
      <c r="U216" s="160"/>
      <c r="V216" s="160"/>
      <c r="W216" s="160"/>
      <c r="X216" s="160"/>
      <c r="Y216" s="160"/>
      <c r="Z216" s="160"/>
      <c r="AA216" s="160"/>
      <c r="AB216" s="160"/>
      <c r="AC216" s="160"/>
      <c r="AD216" s="160"/>
    </row>
    <row r="217" s="10" customFormat="1" ht="14" spans="1:30">
      <c r="A217" s="6" t="s">
        <v>142</v>
      </c>
      <c r="B217" s="158">
        <v>45957</v>
      </c>
      <c r="C217" s="104" t="str">
        <f t="shared" si="3"/>
        <v>2025年10月</v>
      </c>
      <c r="D217" s="104" t="s">
        <v>12</v>
      </c>
      <c r="E217" s="159"/>
      <c r="F217" s="104" t="s">
        <v>1029</v>
      </c>
      <c r="G217" s="195" t="s">
        <v>1011</v>
      </c>
      <c r="H217" s="40" t="s">
        <v>48</v>
      </c>
      <c r="I217" s="208" t="s">
        <v>1745</v>
      </c>
      <c r="J217" s="109" t="s">
        <v>82</v>
      </c>
      <c r="K217" s="160"/>
      <c r="L217" s="161" t="s">
        <v>1210</v>
      </c>
      <c r="M217" s="160" t="s">
        <v>1211</v>
      </c>
      <c r="N217" s="162" t="s">
        <v>1212</v>
      </c>
      <c r="O217" s="209">
        <v>9179.6</v>
      </c>
      <c r="P217" s="104" t="s">
        <v>173</v>
      </c>
      <c r="Q217" s="104" t="s">
        <v>105</v>
      </c>
      <c r="R217" s="162"/>
      <c r="S217" s="162"/>
      <c r="T217" s="160"/>
      <c r="U217" s="160"/>
      <c r="V217" s="160"/>
      <c r="W217" s="160"/>
      <c r="X217" s="160"/>
      <c r="Y217" s="160"/>
      <c r="Z217" s="160"/>
      <c r="AA217" s="160"/>
      <c r="AB217" s="160"/>
      <c r="AC217" s="160"/>
      <c r="AD217" s="160"/>
    </row>
    <row r="218" s="10" customFormat="1" ht="14" spans="1:30">
      <c r="A218" s="6" t="s">
        <v>142</v>
      </c>
      <c r="B218" s="158">
        <v>45959</v>
      </c>
      <c r="C218" s="104" t="str">
        <f t="shared" si="3"/>
        <v>2025年10月</v>
      </c>
      <c r="D218" s="104" t="s">
        <v>10</v>
      </c>
      <c r="E218" s="159"/>
      <c r="F218" s="104" t="s">
        <v>1006</v>
      </c>
      <c r="G218" s="195" t="s">
        <v>1007</v>
      </c>
      <c r="H218" s="40" t="s">
        <v>40</v>
      </c>
      <c r="I218" s="155" t="s">
        <v>1746</v>
      </c>
      <c r="J218" s="109" t="s">
        <v>82</v>
      </c>
      <c r="K218" s="160"/>
      <c r="L218" s="161" t="s">
        <v>1747</v>
      </c>
      <c r="M218" s="160" t="s">
        <v>1748</v>
      </c>
      <c r="N218" s="160" t="s">
        <v>1749</v>
      </c>
      <c r="O218" s="187">
        <v>236.97</v>
      </c>
      <c r="P218" s="160" t="s">
        <v>139</v>
      </c>
      <c r="Q218" s="104" t="s">
        <v>105</v>
      </c>
      <c r="R218" s="162"/>
      <c r="S218" s="162"/>
      <c r="T218" s="160"/>
      <c r="U218" s="160"/>
      <c r="V218" s="160"/>
      <c r="W218" s="160"/>
      <c r="X218" s="160"/>
      <c r="Y218" s="160"/>
      <c r="Z218" s="160"/>
      <c r="AA218" s="160"/>
      <c r="AB218" s="160"/>
      <c r="AC218" s="160"/>
      <c r="AD218" s="160"/>
    </row>
    <row r="219" s="10" customFormat="1" ht="14" spans="1:30">
      <c r="A219" s="6" t="s">
        <v>142</v>
      </c>
      <c r="B219" s="158">
        <v>45960</v>
      </c>
      <c r="C219" s="104" t="str">
        <f t="shared" si="3"/>
        <v>2025年10月</v>
      </c>
      <c r="D219" s="104" t="s">
        <v>12</v>
      </c>
      <c r="E219" s="159"/>
      <c r="F219" s="104" t="s">
        <v>1029</v>
      </c>
      <c r="G219" s="195" t="s">
        <v>1007</v>
      </c>
      <c r="H219" s="40" t="s">
        <v>39</v>
      </c>
      <c r="I219" s="155" t="s">
        <v>1750</v>
      </c>
      <c r="J219" s="109" t="s">
        <v>82</v>
      </c>
      <c r="K219" s="160"/>
      <c r="L219" s="161" t="s">
        <v>1736</v>
      </c>
      <c r="M219" s="160" t="s">
        <v>1737</v>
      </c>
      <c r="N219" s="160" t="s">
        <v>1740</v>
      </c>
      <c r="O219" s="187">
        <v>265031</v>
      </c>
      <c r="P219" s="160" t="s">
        <v>1186</v>
      </c>
      <c r="Q219" s="104" t="s">
        <v>105</v>
      </c>
      <c r="R219" s="162"/>
      <c r="S219" s="162"/>
      <c r="T219" s="160"/>
      <c r="U219" s="160"/>
      <c r="V219" s="160"/>
      <c r="W219" s="160"/>
      <c r="X219" s="160"/>
      <c r="Y219" s="160"/>
      <c r="Z219" s="160"/>
      <c r="AA219" s="160"/>
      <c r="AB219" s="160"/>
      <c r="AC219" s="160"/>
      <c r="AD219" s="160"/>
    </row>
    <row r="220" s="10" customFormat="1" ht="14" spans="1:30">
      <c r="A220" s="6" t="s">
        <v>78</v>
      </c>
      <c r="B220" s="158">
        <v>45960</v>
      </c>
      <c r="C220" s="104" t="str">
        <f t="shared" si="3"/>
        <v>2025年10月</v>
      </c>
      <c r="D220" s="104" t="s">
        <v>10</v>
      </c>
      <c r="E220" s="159"/>
      <c r="F220" s="104" t="s">
        <v>1006</v>
      </c>
      <c r="G220" s="195" t="s">
        <v>1007</v>
      </c>
      <c r="H220" s="40" t="s">
        <v>41</v>
      </c>
      <c r="I220" s="155" t="s">
        <v>1751</v>
      </c>
      <c r="J220" s="109" t="s">
        <v>82</v>
      </c>
      <c r="K220" s="160"/>
      <c r="L220" s="161" t="s">
        <v>1752</v>
      </c>
      <c r="M220" s="160" t="s">
        <v>1753</v>
      </c>
      <c r="N220" s="210" t="s">
        <v>1754</v>
      </c>
      <c r="O220" s="211">
        <v>400000000</v>
      </c>
      <c r="P220" s="160" t="s">
        <v>1037</v>
      </c>
      <c r="Q220" s="104" t="s">
        <v>7</v>
      </c>
      <c r="R220" s="162"/>
      <c r="S220" s="162"/>
      <c r="T220" s="160"/>
      <c r="U220" s="160"/>
      <c r="V220" s="160"/>
      <c r="W220" s="160"/>
      <c r="X220" s="160"/>
      <c r="Y220" s="160"/>
      <c r="Z220" s="160"/>
      <c r="AA220" s="160"/>
      <c r="AB220" s="160"/>
      <c r="AC220" s="160"/>
      <c r="AD220" s="160"/>
    </row>
    <row r="221" s="10" customFormat="1" ht="14" spans="1:30">
      <c r="A221" s="6" t="s">
        <v>1755</v>
      </c>
      <c r="B221" s="158">
        <v>45960</v>
      </c>
      <c r="C221" s="104" t="str">
        <f t="shared" si="3"/>
        <v>2025年10月</v>
      </c>
      <c r="D221" s="104" t="s">
        <v>12</v>
      </c>
      <c r="E221" s="159" t="s">
        <v>1728</v>
      </c>
      <c r="F221" s="104" t="s">
        <v>1029</v>
      </c>
      <c r="G221" s="195" t="s">
        <v>1007</v>
      </c>
      <c r="H221" s="40" t="s">
        <v>46</v>
      </c>
      <c r="I221" s="155" t="s">
        <v>1756</v>
      </c>
      <c r="J221" s="109" t="s">
        <v>82</v>
      </c>
      <c r="K221" s="160"/>
      <c r="L221" s="159" t="s">
        <v>906</v>
      </c>
      <c r="M221" s="104" t="s">
        <v>907</v>
      </c>
      <c r="N221" s="104" t="s">
        <v>1757</v>
      </c>
      <c r="O221" s="10">
        <v>3103</v>
      </c>
      <c r="P221" s="10" t="s">
        <v>149</v>
      </c>
      <c r="Q221" s="104" t="s">
        <v>7</v>
      </c>
      <c r="R221" s="162"/>
      <c r="S221" s="162"/>
      <c r="T221" s="160"/>
      <c r="U221" s="160"/>
      <c r="V221" s="160"/>
      <c r="W221" s="160"/>
      <c r="X221" s="160"/>
      <c r="Y221" s="160"/>
      <c r="Z221" s="160"/>
      <c r="AA221" s="160"/>
      <c r="AB221" s="160"/>
      <c r="AC221" s="160"/>
      <c r="AD221" s="160"/>
    </row>
    <row r="222" s="10" customFormat="1" ht="14" spans="1:30">
      <c r="A222" s="6" t="s">
        <v>142</v>
      </c>
      <c r="B222" s="158">
        <v>45960</v>
      </c>
      <c r="C222" s="104" t="str">
        <f t="shared" si="3"/>
        <v>2025年10月</v>
      </c>
      <c r="D222" s="104" t="s">
        <v>10</v>
      </c>
      <c r="E222" s="159"/>
      <c r="F222" s="104" t="s">
        <v>1006</v>
      </c>
      <c r="G222" s="195" t="s">
        <v>1007</v>
      </c>
      <c r="H222" s="40" t="s">
        <v>40</v>
      </c>
      <c r="I222" s="155" t="s">
        <v>1758</v>
      </c>
      <c r="J222" s="109" t="s">
        <v>82</v>
      </c>
      <c r="K222" s="160"/>
      <c r="L222" s="161" t="s">
        <v>1759</v>
      </c>
      <c r="M222" s="160" t="s">
        <v>1760</v>
      </c>
      <c r="N222" s="160" t="s">
        <v>1761</v>
      </c>
      <c r="O222" s="187">
        <v>100</v>
      </c>
      <c r="P222" s="160" t="s">
        <v>139</v>
      </c>
      <c r="Q222" s="104" t="s">
        <v>105</v>
      </c>
      <c r="R222" s="162"/>
      <c r="S222" s="162"/>
      <c r="T222" s="160"/>
      <c r="U222" s="160"/>
      <c r="V222" s="160"/>
      <c r="W222" s="160"/>
      <c r="X222" s="160"/>
      <c r="Y222" s="160"/>
      <c r="Z222" s="160"/>
      <c r="AA222" s="160"/>
      <c r="AB222" s="160"/>
      <c r="AC222" s="160"/>
      <c r="AD222" s="160"/>
    </row>
    <row r="223" s="176" customFormat="1" ht="14" spans="1:30">
      <c r="A223" s="6" t="s">
        <v>1762</v>
      </c>
      <c r="B223" s="158">
        <v>45960</v>
      </c>
      <c r="C223" s="104" t="str">
        <f t="shared" si="3"/>
        <v>2025年10月</v>
      </c>
      <c r="D223" s="104" t="s">
        <v>11</v>
      </c>
      <c r="E223" s="159"/>
      <c r="F223" s="104" t="s">
        <v>1006</v>
      </c>
      <c r="G223" s="195" t="s">
        <v>1007</v>
      </c>
      <c r="H223" s="40" t="s">
        <v>41</v>
      </c>
      <c r="I223" s="155" t="s">
        <v>1763</v>
      </c>
      <c r="J223" s="109" t="s">
        <v>82</v>
      </c>
      <c r="K223" s="160"/>
      <c r="L223" s="161" t="s">
        <v>1764</v>
      </c>
      <c r="M223" s="160" t="s">
        <v>1765</v>
      </c>
      <c r="N223" s="160" t="s">
        <v>1766</v>
      </c>
      <c r="O223" s="209">
        <v>190618000</v>
      </c>
      <c r="P223" s="160" t="s">
        <v>1037</v>
      </c>
      <c r="Q223" s="104" t="s">
        <v>7</v>
      </c>
      <c r="R223" s="162" t="s">
        <v>1500</v>
      </c>
      <c r="S223" s="162"/>
      <c r="T223" s="160"/>
      <c r="U223" s="160"/>
      <c r="V223" s="160"/>
      <c r="W223" s="160"/>
      <c r="X223" s="160"/>
      <c r="Y223" s="160"/>
      <c r="Z223" s="160"/>
      <c r="AA223" s="160"/>
      <c r="AB223" s="160"/>
      <c r="AC223" s="160"/>
      <c r="AD223" s="160"/>
    </row>
    <row r="224" s="185" customFormat="1" ht="14" spans="1:30">
      <c r="A224" s="6" t="s">
        <v>1762</v>
      </c>
      <c r="B224" s="212">
        <v>45960</v>
      </c>
      <c r="C224" s="213" t="str">
        <f t="shared" si="3"/>
        <v>2025年10月</v>
      </c>
      <c r="D224" s="213" t="s">
        <v>11</v>
      </c>
      <c r="E224" s="214"/>
      <c r="F224" s="213" t="s">
        <v>1006</v>
      </c>
      <c r="G224" s="215" t="s">
        <v>1007</v>
      </c>
      <c r="H224" s="216" t="s">
        <v>41</v>
      </c>
      <c r="I224" s="217" t="s">
        <v>1767</v>
      </c>
      <c r="J224" s="218" t="s">
        <v>82</v>
      </c>
      <c r="K224" s="219"/>
      <c r="L224" s="220" t="s">
        <v>1764</v>
      </c>
      <c r="M224" s="219" t="s">
        <v>1768</v>
      </c>
      <c r="N224" s="219" t="s">
        <v>1766</v>
      </c>
      <c r="O224" s="221">
        <v>499999999</v>
      </c>
      <c r="P224" s="219" t="s">
        <v>1037</v>
      </c>
      <c r="Q224" s="213" t="s">
        <v>7</v>
      </c>
      <c r="R224" s="222" t="s">
        <v>1500</v>
      </c>
      <c r="S224" s="222"/>
      <c r="T224" s="219"/>
      <c r="U224" s="219"/>
      <c r="V224" s="219"/>
      <c r="W224" s="219"/>
      <c r="X224" s="219"/>
      <c r="Y224" s="219"/>
      <c r="Z224" s="219"/>
      <c r="AA224" s="219"/>
      <c r="AB224" s="219"/>
      <c r="AC224" s="219"/>
      <c r="AD224" s="219"/>
    </row>
    <row r="225" s="10" customFormat="1" ht="14" spans="1:30">
      <c r="A225" s="6" t="s">
        <v>1762</v>
      </c>
      <c r="B225" s="158">
        <v>45960</v>
      </c>
      <c r="C225" s="104" t="str">
        <f t="shared" si="3"/>
        <v>2025年10月</v>
      </c>
      <c r="D225" s="104" t="s">
        <v>11</v>
      </c>
      <c r="E225" s="159"/>
      <c r="F225" s="104" t="s">
        <v>1006</v>
      </c>
      <c r="G225" s="195" t="s">
        <v>1007</v>
      </c>
      <c r="H225" s="40" t="s">
        <v>41</v>
      </c>
      <c r="I225" s="155" t="s">
        <v>1769</v>
      </c>
      <c r="J225" s="109" t="s">
        <v>82</v>
      </c>
      <c r="K225" s="160"/>
      <c r="L225" s="161" t="s">
        <v>1764</v>
      </c>
      <c r="M225" s="160" t="s">
        <v>1768</v>
      </c>
      <c r="N225" s="160" t="s">
        <v>1766</v>
      </c>
      <c r="O225" s="187">
        <v>156244000</v>
      </c>
      <c r="P225" s="160" t="s">
        <v>1037</v>
      </c>
      <c r="Q225" s="104" t="s">
        <v>7</v>
      </c>
      <c r="R225" s="162" t="s">
        <v>1500</v>
      </c>
      <c r="S225" s="162"/>
      <c r="T225" s="160"/>
      <c r="U225" s="160"/>
      <c r="V225" s="160"/>
      <c r="W225" s="160"/>
      <c r="X225" s="160"/>
      <c r="Y225" s="160"/>
      <c r="Z225" s="160"/>
      <c r="AA225" s="160"/>
      <c r="AB225" s="160"/>
      <c r="AC225" s="160"/>
      <c r="AD225" s="160"/>
    </row>
    <row r="226" s="10" customFormat="1" ht="14" spans="1:30">
      <c r="A226" s="6" t="s">
        <v>207</v>
      </c>
      <c r="B226" s="158">
        <v>45960</v>
      </c>
      <c r="C226" s="104" t="str">
        <f t="shared" si="3"/>
        <v>2025年10月</v>
      </c>
      <c r="D226" s="104" t="s">
        <v>12</v>
      </c>
      <c r="E226" s="159"/>
      <c r="F226" s="104" t="s">
        <v>1029</v>
      </c>
      <c r="G226" s="195" t="s">
        <v>1007</v>
      </c>
      <c r="H226" s="40" t="s">
        <v>48</v>
      </c>
      <c r="I226" s="155" t="s">
        <v>1770</v>
      </c>
      <c r="J226" s="109" t="s">
        <v>422</v>
      </c>
      <c r="K226" s="160"/>
      <c r="L226" s="161" t="s">
        <v>1736</v>
      </c>
      <c r="M226" s="160" t="s">
        <v>1737</v>
      </c>
      <c r="N226" s="160" t="s">
        <v>1738</v>
      </c>
      <c r="O226" s="211">
        <v>822000</v>
      </c>
      <c r="P226" s="160" t="s">
        <v>1062</v>
      </c>
      <c r="Q226" s="104" t="s">
        <v>7</v>
      </c>
      <c r="R226" s="162" t="s">
        <v>1500</v>
      </c>
      <c r="S226" s="162" t="s">
        <v>1771</v>
      </c>
      <c r="T226" s="158">
        <v>45964</v>
      </c>
      <c r="U226" s="158">
        <v>45965</v>
      </c>
      <c r="V226" s="160"/>
      <c r="W226" s="160"/>
      <c r="X226" s="160"/>
      <c r="Y226" s="160"/>
      <c r="Z226" s="160"/>
      <c r="AA226" s="160"/>
      <c r="AB226" s="160"/>
      <c r="AC226" s="160"/>
      <c r="AD226" s="160"/>
    </row>
    <row r="227" s="10" customFormat="1" ht="14" spans="1:30">
      <c r="A227" s="6" t="s">
        <v>1762</v>
      </c>
      <c r="B227" s="158">
        <v>45961</v>
      </c>
      <c r="C227" s="104" t="str">
        <f t="shared" si="3"/>
        <v>2025年10月</v>
      </c>
      <c r="D227" s="104" t="s">
        <v>11</v>
      </c>
      <c r="E227" s="159"/>
      <c r="F227" s="104" t="s">
        <v>1006</v>
      </c>
      <c r="G227" s="195" t="s">
        <v>1007</v>
      </c>
      <c r="H227" s="40" t="s">
        <v>41</v>
      </c>
      <c r="I227" s="155" t="s">
        <v>1772</v>
      </c>
      <c r="J227" s="109" t="s">
        <v>82</v>
      </c>
      <c r="K227" s="160"/>
      <c r="L227" s="161" t="s">
        <v>1764</v>
      </c>
      <c r="M227" s="160" t="s">
        <v>1768</v>
      </c>
      <c r="N227" s="160" t="s">
        <v>1766</v>
      </c>
      <c r="O227" s="211">
        <v>100000000</v>
      </c>
      <c r="P227" s="160" t="s">
        <v>1037</v>
      </c>
      <c r="Q227" s="104" t="s">
        <v>7</v>
      </c>
      <c r="R227" s="162" t="s">
        <v>1500</v>
      </c>
      <c r="S227" s="162"/>
      <c r="T227" s="160"/>
      <c r="U227" s="160"/>
      <c r="V227" s="160"/>
      <c r="W227" s="160"/>
      <c r="X227" s="160"/>
      <c r="Y227" s="160"/>
      <c r="Z227" s="160"/>
      <c r="AA227" s="160"/>
      <c r="AB227" s="160"/>
      <c r="AC227" s="160"/>
      <c r="AD227" s="160"/>
    </row>
    <row r="228" s="10" customFormat="1" ht="14" spans="1:30">
      <c r="A228" s="6" t="s">
        <v>207</v>
      </c>
      <c r="B228" s="158">
        <v>45961</v>
      </c>
      <c r="C228" s="104" t="str">
        <f t="shared" si="3"/>
        <v>2025年10月</v>
      </c>
      <c r="D228" s="104" t="s">
        <v>11</v>
      </c>
      <c r="E228" s="159" t="s">
        <v>1369</v>
      </c>
      <c r="F228" s="104" t="s">
        <v>1029</v>
      </c>
      <c r="G228" s="195" t="s">
        <v>1007</v>
      </c>
      <c r="H228" s="40" t="s">
        <v>48</v>
      </c>
      <c r="I228" s="155" t="s">
        <v>1773</v>
      </c>
      <c r="J228" s="109" t="s">
        <v>422</v>
      </c>
      <c r="K228" s="160"/>
      <c r="L228" s="161" t="s">
        <v>1696</v>
      </c>
      <c r="M228" s="160" t="s">
        <v>1697</v>
      </c>
      <c r="N228" s="160" t="s">
        <v>1774</v>
      </c>
      <c r="O228" s="187">
        <v>1400000</v>
      </c>
      <c r="P228" s="160" t="s">
        <v>1062</v>
      </c>
      <c r="Q228" s="104" t="s">
        <v>7</v>
      </c>
      <c r="R228" s="162" t="s">
        <v>1523</v>
      </c>
      <c r="S228" s="162" t="s">
        <v>1771</v>
      </c>
      <c r="T228" s="160"/>
      <c r="U228" s="160"/>
      <c r="V228" s="160"/>
      <c r="W228" s="160"/>
      <c r="X228" s="160"/>
      <c r="Y228" s="160"/>
      <c r="Z228" s="160"/>
      <c r="AA228" s="160"/>
      <c r="AB228" s="160"/>
      <c r="AC228" s="160"/>
      <c r="AD228" s="160"/>
    </row>
    <row r="229" s="10" customFormat="1" ht="14" spans="1:30">
      <c r="A229" s="6" t="s">
        <v>142</v>
      </c>
      <c r="B229" s="158">
        <v>45961</v>
      </c>
      <c r="C229" s="104" t="str">
        <f t="shared" si="3"/>
        <v>2025年10月</v>
      </c>
      <c r="D229" s="104" t="s">
        <v>10</v>
      </c>
      <c r="E229" s="159"/>
      <c r="F229" s="104" t="s">
        <v>1006</v>
      </c>
      <c r="G229" s="195" t="s">
        <v>1007</v>
      </c>
      <c r="H229" s="40" t="s">
        <v>40</v>
      </c>
      <c r="I229" s="155" t="s">
        <v>1775</v>
      </c>
      <c r="J229" s="109" t="s">
        <v>82</v>
      </c>
      <c r="K229" s="160"/>
      <c r="L229" s="161" t="s">
        <v>1776</v>
      </c>
      <c r="M229" s="160" t="s">
        <v>1777</v>
      </c>
      <c r="N229" s="160" t="s">
        <v>1778</v>
      </c>
      <c r="O229" s="187">
        <v>4560</v>
      </c>
      <c r="P229" s="109" t="s">
        <v>149</v>
      </c>
      <c r="Q229" s="104" t="s">
        <v>7</v>
      </c>
      <c r="R229" s="162" t="s">
        <v>685</v>
      </c>
      <c r="S229" s="162"/>
      <c r="T229" s="160"/>
      <c r="U229" s="160"/>
      <c r="V229" s="160"/>
      <c r="W229" s="160"/>
      <c r="X229" s="160"/>
      <c r="Y229" s="160"/>
      <c r="Z229" s="160"/>
      <c r="AA229" s="160"/>
      <c r="AB229" s="160"/>
      <c r="AC229" s="160"/>
      <c r="AD229" s="160"/>
    </row>
    <row r="230" s="10" customFormat="1" ht="14" spans="1:30">
      <c r="A230" s="6" t="s">
        <v>142</v>
      </c>
      <c r="B230" s="158">
        <v>45964</v>
      </c>
      <c r="C230" s="104" t="str">
        <f t="shared" si="3"/>
        <v>2025年11月</v>
      </c>
      <c r="D230" s="104" t="s">
        <v>10</v>
      </c>
      <c r="E230" s="159" t="s">
        <v>1504</v>
      </c>
      <c r="F230" s="104" t="s">
        <v>1029</v>
      </c>
      <c r="G230" s="195" t="s">
        <v>1011</v>
      </c>
      <c r="H230" s="40" t="s">
        <v>46</v>
      </c>
      <c r="I230" s="155" t="s">
        <v>1779</v>
      </c>
      <c r="J230" s="109" t="s">
        <v>82</v>
      </c>
      <c r="K230" s="160"/>
      <c r="L230" s="161" t="s">
        <v>1780</v>
      </c>
      <c r="M230" s="160" t="s">
        <v>1781</v>
      </c>
      <c r="N230" s="162" t="s">
        <v>1782</v>
      </c>
      <c r="O230" s="187">
        <v>11760</v>
      </c>
      <c r="P230" s="104" t="s">
        <v>173</v>
      </c>
      <c r="Q230" s="104" t="s">
        <v>7</v>
      </c>
      <c r="R230" s="162"/>
      <c r="S230" s="162"/>
      <c r="T230" s="160"/>
      <c r="U230" s="160"/>
      <c r="V230" s="160"/>
      <c r="W230" s="160"/>
      <c r="X230" s="160"/>
      <c r="Y230" s="160"/>
      <c r="Z230" s="160"/>
      <c r="AA230" s="160"/>
      <c r="AB230" s="160"/>
      <c r="AC230" s="160"/>
      <c r="AD230" s="160"/>
    </row>
    <row r="231" s="10" customFormat="1" ht="26" spans="1:30">
      <c r="A231" s="6" t="s">
        <v>207</v>
      </c>
      <c r="B231" s="158">
        <v>45965</v>
      </c>
      <c r="C231" s="104" t="str">
        <f t="shared" si="3"/>
        <v>2025年11月</v>
      </c>
      <c r="D231" s="104" t="s">
        <v>11</v>
      </c>
      <c r="E231" s="159" t="s">
        <v>1783</v>
      </c>
      <c r="F231" s="104" t="s">
        <v>1006</v>
      </c>
      <c r="G231" s="195" t="s">
        <v>1011</v>
      </c>
      <c r="H231" s="40" t="s">
        <v>41</v>
      </c>
      <c r="I231" s="208" t="s">
        <v>1784</v>
      </c>
      <c r="J231" s="109" t="s">
        <v>1665</v>
      </c>
      <c r="K231" s="160"/>
      <c r="L231" s="161" t="s">
        <v>1785</v>
      </c>
      <c r="M231" s="160" t="s">
        <v>1786</v>
      </c>
      <c r="N231" s="160" t="s">
        <v>1787</v>
      </c>
      <c r="O231" s="209">
        <v>1000000</v>
      </c>
      <c r="P231" s="160" t="s">
        <v>1037</v>
      </c>
      <c r="Q231" s="104" t="s">
        <v>7</v>
      </c>
      <c r="R231" s="162" t="s">
        <v>1788</v>
      </c>
      <c r="S231" s="162"/>
      <c r="T231" s="158">
        <v>45973</v>
      </c>
      <c r="U231" s="158">
        <v>45973</v>
      </c>
      <c r="V231" s="160"/>
      <c r="W231" s="160"/>
      <c r="X231" s="160"/>
      <c r="Y231" s="160"/>
      <c r="Z231" s="160"/>
      <c r="AA231" s="160"/>
      <c r="AB231" s="160"/>
      <c r="AC231" s="160"/>
      <c r="AD231" s="160"/>
    </row>
    <row r="232" s="176" customFormat="1" ht="26" spans="1:30">
      <c r="A232" s="6" t="s">
        <v>207</v>
      </c>
      <c r="B232" s="158">
        <v>45965</v>
      </c>
      <c r="C232" s="104" t="str">
        <f t="shared" si="3"/>
        <v>2025年11月</v>
      </c>
      <c r="D232" s="104" t="s">
        <v>11</v>
      </c>
      <c r="E232" s="159" t="s">
        <v>1789</v>
      </c>
      <c r="F232" s="104" t="s">
        <v>1029</v>
      </c>
      <c r="G232" s="195" t="s">
        <v>1007</v>
      </c>
      <c r="H232" s="40" t="s">
        <v>48</v>
      </c>
      <c r="I232" s="155" t="s">
        <v>1790</v>
      </c>
      <c r="J232" s="109" t="s">
        <v>422</v>
      </c>
      <c r="K232" s="160"/>
      <c r="L232" s="161" t="s">
        <v>1791</v>
      </c>
      <c r="M232" s="160" t="s">
        <v>1792</v>
      </c>
      <c r="N232" s="160" t="s">
        <v>1793</v>
      </c>
      <c r="O232" s="187">
        <v>30000</v>
      </c>
      <c r="P232" s="104" t="s">
        <v>173</v>
      </c>
      <c r="Q232" s="104" t="s">
        <v>7</v>
      </c>
      <c r="R232" s="162" t="s">
        <v>817</v>
      </c>
      <c r="S232" s="162"/>
      <c r="T232" s="160"/>
      <c r="U232" s="160"/>
      <c r="V232" s="160"/>
      <c r="W232" s="160"/>
      <c r="X232" s="160"/>
      <c r="Y232" s="160"/>
      <c r="Z232" s="160"/>
      <c r="AA232" s="160"/>
      <c r="AB232" s="160"/>
      <c r="AC232" s="160"/>
      <c r="AD232" s="160"/>
    </row>
    <row r="233" s="10" customFormat="1" ht="14" spans="1:30">
      <c r="A233" s="6" t="s">
        <v>142</v>
      </c>
      <c r="B233" s="158">
        <v>45966</v>
      </c>
      <c r="C233" s="104" t="str">
        <f t="shared" si="3"/>
        <v>2025年11月</v>
      </c>
      <c r="D233" s="104" t="s">
        <v>10</v>
      </c>
      <c r="E233" s="159"/>
      <c r="F233" s="104" t="s">
        <v>1006</v>
      </c>
      <c r="G233" s="195" t="s">
        <v>1007</v>
      </c>
      <c r="H233" s="40" t="s">
        <v>40</v>
      </c>
      <c r="I233" s="155" t="s">
        <v>1794</v>
      </c>
      <c r="J233" s="109" t="s">
        <v>82</v>
      </c>
      <c r="K233" s="160"/>
      <c r="L233" s="161" t="s">
        <v>1526</v>
      </c>
      <c r="M233" s="160" t="s">
        <v>1795</v>
      </c>
      <c r="N233" s="160" t="s">
        <v>1796</v>
      </c>
      <c r="O233" s="187">
        <v>150</v>
      </c>
      <c r="P233" s="160" t="s">
        <v>139</v>
      </c>
      <c r="Q233" s="104" t="s">
        <v>105</v>
      </c>
      <c r="R233" s="162"/>
      <c r="S233" s="162"/>
      <c r="T233" s="160"/>
      <c r="U233" s="160"/>
      <c r="V233" s="160"/>
      <c r="W233" s="160"/>
      <c r="X233" s="160"/>
      <c r="Y233" s="160"/>
      <c r="Z233" s="160"/>
      <c r="AA233" s="160"/>
      <c r="AB233" s="160"/>
      <c r="AC233" s="160"/>
      <c r="AD233" s="160"/>
    </row>
    <row r="234" s="10" customFormat="1" ht="14" spans="1:30">
      <c r="A234" s="6" t="s">
        <v>142</v>
      </c>
      <c r="B234" s="158">
        <v>45966</v>
      </c>
      <c r="C234" s="104" t="str">
        <f t="shared" ref="C234:C297" si="4">YEAR(B234)&amp;"年"&amp;MONTH(B234)&amp;"月"</f>
        <v>2025年11月</v>
      </c>
      <c r="D234" s="104" t="s">
        <v>10</v>
      </c>
      <c r="E234" s="159"/>
      <c r="F234" s="104" t="s">
        <v>1006</v>
      </c>
      <c r="G234" s="195" t="s">
        <v>1007</v>
      </c>
      <c r="H234" s="40" t="s">
        <v>40</v>
      </c>
      <c r="I234" s="155" t="s">
        <v>1797</v>
      </c>
      <c r="J234" s="109" t="s">
        <v>82</v>
      </c>
      <c r="K234" s="160"/>
      <c r="L234" s="161" t="s">
        <v>1798</v>
      </c>
      <c r="M234" s="160" t="s">
        <v>1411</v>
      </c>
      <c r="N234" s="160" t="s">
        <v>1799</v>
      </c>
      <c r="O234" s="187">
        <v>28.13</v>
      </c>
      <c r="P234" s="160" t="s">
        <v>139</v>
      </c>
      <c r="Q234" s="104" t="s">
        <v>105</v>
      </c>
      <c r="R234" s="162"/>
      <c r="S234" s="162"/>
      <c r="T234" s="160"/>
      <c r="U234" s="160"/>
      <c r="V234" s="160"/>
      <c r="W234" s="160"/>
      <c r="X234" s="160"/>
      <c r="Y234" s="160"/>
      <c r="Z234" s="160"/>
      <c r="AA234" s="160"/>
      <c r="AB234" s="160"/>
      <c r="AC234" s="160"/>
      <c r="AD234" s="160"/>
    </row>
    <row r="235" s="10" customFormat="1" ht="14" spans="1:30">
      <c r="A235" s="6" t="s">
        <v>207</v>
      </c>
      <c r="B235" s="158">
        <v>45966</v>
      </c>
      <c r="C235" s="104" t="str">
        <f t="shared" si="4"/>
        <v>2025年11月</v>
      </c>
      <c r="D235" s="104" t="s">
        <v>10</v>
      </c>
      <c r="E235" s="159" t="s">
        <v>1800</v>
      </c>
      <c r="F235" s="104" t="s">
        <v>1006</v>
      </c>
      <c r="G235" s="195" t="s">
        <v>1007</v>
      </c>
      <c r="H235" s="40" t="s">
        <v>40</v>
      </c>
      <c r="I235" s="155" t="s">
        <v>1801</v>
      </c>
      <c r="J235" s="109" t="s">
        <v>82</v>
      </c>
      <c r="K235" s="160"/>
      <c r="L235" s="161" t="s">
        <v>1249</v>
      </c>
      <c r="M235" s="160" t="s">
        <v>1023</v>
      </c>
      <c r="N235" s="160" t="s">
        <v>1802</v>
      </c>
      <c r="O235" s="187">
        <v>4061.93</v>
      </c>
      <c r="P235" s="160" t="s">
        <v>80</v>
      </c>
      <c r="Q235" s="104" t="s">
        <v>105</v>
      </c>
      <c r="R235" s="162" t="s">
        <v>1803</v>
      </c>
      <c r="S235" s="162"/>
      <c r="T235" s="160"/>
      <c r="U235" s="160"/>
      <c r="V235" s="160"/>
      <c r="W235" s="160"/>
      <c r="X235" s="160"/>
      <c r="Y235" s="160"/>
      <c r="Z235" s="160"/>
      <c r="AA235" s="160"/>
      <c r="AB235" s="160"/>
      <c r="AC235" s="160"/>
      <c r="AD235" s="160"/>
    </row>
    <row r="236" s="10" customFormat="1" ht="14" spans="1:30">
      <c r="A236" s="6" t="s">
        <v>207</v>
      </c>
      <c r="B236" s="158">
        <v>45968</v>
      </c>
      <c r="C236" s="104" t="str">
        <f t="shared" si="4"/>
        <v>2025年11月</v>
      </c>
      <c r="D236" s="104" t="s">
        <v>10</v>
      </c>
      <c r="E236" s="159" t="s">
        <v>1804</v>
      </c>
      <c r="F236" s="104" t="s">
        <v>1006</v>
      </c>
      <c r="G236" s="195" t="s">
        <v>1007</v>
      </c>
      <c r="H236" s="40" t="s">
        <v>40</v>
      </c>
      <c r="I236" s="155" t="s">
        <v>1805</v>
      </c>
      <c r="J236" s="109" t="s">
        <v>422</v>
      </c>
      <c r="K236" s="160"/>
      <c r="L236" s="161" t="s">
        <v>1806</v>
      </c>
      <c r="M236" s="160" t="s">
        <v>1023</v>
      </c>
      <c r="N236" s="160" t="s">
        <v>1807</v>
      </c>
      <c r="O236" s="187">
        <v>164.06</v>
      </c>
      <c r="P236" s="160" t="s">
        <v>80</v>
      </c>
      <c r="Q236" s="104" t="s">
        <v>105</v>
      </c>
      <c r="R236" s="162" t="s">
        <v>1500</v>
      </c>
      <c r="S236" s="162"/>
      <c r="T236" s="160"/>
      <c r="U236" s="160"/>
      <c r="V236" s="160"/>
      <c r="W236" s="160"/>
      <c r="X236" s="160"/>
      <c r="Y236" s="160"/>
      <c r="Z236" s="160"/>
      <c r="AA236" s="160"/>
      <c r="AB236" s="160"/>
      <c r="AC236" s="160"/>
      <c r="AD236" s="160"/>
    </row>
    <row r="237" s="10" customFormat="1" ht="14" spans="1:30">
      <c r="A237" s="6" t="s">
        <v>207</v>
      </c>
      <c r="B237" s="158">
        <v>45968</v>
      </c>
      <c r="C237" s="104" t="str">
        <f t="shared" si="4"/>
        <v>2025年11月</v>
      </c>
      <c r="D237" s="104" t="s">
        <v>10</v>
      </c>
      <c r="E237" s="159" t="s">
        <v>1808</v>
      </c>
      <c r="F237" s="104" t="s">
        <v>1006</v>
      </c>
      <c r="G237" s="195" t="s">
        <v>1007</v>
      </c>
      <c r="H237" s="40" t="s">
        <v>40</v>
      </c>
      <c r="I237" s="155" t="s">
        <v>1809</v>
      </c>
      <c r="J237" s="109" t="s">
        <v>422</v>
      </c>
      <c r="K237" s="160"/>
      <c r="L237" s="161" t="s">
        <v>1810</v>
      </c>
      <c r="M237" s="160" t="s">
        <v>1811</v>
      </c>
      <c r="N237" s="160" t="s">
        <v>1812</v>
      </c>
      <c r="O237" s="187">
        <v>97.4</v>
      </c>
      <c r="P237" s="109" t="s">
        <v>149</v>
      </c>
      <c r="Q237" s="104" t="s">
        <v>105</v>
      </c>
      <c r="R237" s="162" t="s">
        <v>1500</v>
      </c>
      <c r="S237" s="162"/>
      <c r="T237" s="160"/>
      <c r="U237" s="160"/>
      <c r="V237" s="160"/>
      <c r="W237" s="160"/>
      <c r="X237" s="160"/>
      <c r="Y237" s="160"/>
      <c r="Z237" s="160"/>
      <c r="AA237" s="160"/>
      <c r="AB237" s="160"/>
      <c r="AC237" s="160"/>
      <c r="AD237" s="160"/>
    </row>
    <row r="238" s="10" customFormat="1" ht="26" spans="1:30">
      <c r="A238" s="6" t="s">
        <v>207</v>
      </c>
      <c r="B238" s="158">
        <v>45968</v>
      </c>
      <c r="C238" s="104" t="str">
        <f t="shared" si="4"/>
        <v>2025年11月</v>
      </c>
      <c r="D238" s="104" t="s">
        <v>10</v>
      </c>
      <c r="E238" s="159" t="s">
        <v>1813</v>
      </c>
      <c r="F238" s="104" t="s">
        <v>1029</v>
      </c>
      <c r="G238" s="195" t="s">
        <v>1276</v>
      </c>
      <c r="H238" s="40" t="s">
        <v>51</v>
      </c>
      <c r="I238" s="155" t="s">
        <v>1814</v>
      </c>
      <c r="J238" s="109" t="s">
        <v>82</v>
      </c>
      <c r="K238" s="160"/>
      <c r="L238" s="161" t="s">
        <v>1815</v>
      </c>
      <c r="M238" s="160" t="s">
        <v>1816</v>
      </c>
      <c r="N238" s="160" t="s">
        <v>1817</v>
      </c>
      <c r="O238" s="187">
        <v>218894.49</v>
      </c>
      <c r="P238" s="160" t="s">
        <v>173</v>
      </c>
      <c r="Q238" s="104" t="s">
        <v>7</v>
      </c>
      <c r="R238" s="162" t="s">
        <v>678</v>
      </c>
      <c r="S238" s="162" t="s">
        <v>1818</v>
      </c>
      <c r="T238" s="160"/>
      <c r="U238" s="160"/>
      <c r="V238" s="160"/>
      <c r="W238" s="160"/>
      <c r="X238" s="160"/>
      <c r="Y238" s="160"/>
      <c r="Z238" s="160"/>
      <c r="AA238" s="160"/>
      <c r="AB238" s="160"/>
      <c r="AC238" s="160"/>
      <c r="AD238" s="160"/>
    </row>
    <row r="239" s="10" customFormat="1" ht="14" spans="1:30">
      <c r="A239" s="6" t="s">
        <v>207</v>
      </c>
      <c r="B239" s="158">
        <v>45972</v>
      </c>
      <c r="C239" s="104" t="str">
        <f t="shared" si="4"/>
        <v>2025年11月</v>
      </c>
      <c r="D239" s="104" t="s">
        <v>11</v>
      </c>
      <c r="E239" s="159" t="s">
        <v>1321</v>
      </c>
      <c r="F239" s="104" t="s">
        <v>1006</v>
      </c>
      <c r="G239" s="195" t="s">
        <v>1011</v>
      </c>
      <c r="H239" s="40" t="s">
        <v>52</v>
      </c>
      <c r="I239" s="140" t="s">
        <v>1819</v>
      </c>
      <c r="J239" s="109" t="s">
        <v>82</v>
      </c>
      <c r="K239" s="160"/>
      <c r="L239" s="8" t="s">
        <v>1719</v>
      </c>
      <c r="M239" s="6" t="s">
        <v>1820</v>
      </c>
      <c r="N239" s="6" t="s">
        <v>1721</v>
      </c>
      <c r="O239" s="209">
        <v>17650</v>
      </c>
      <c r="P239" s="109" t="s">
        <v>149</v>
      </c>
      <c r="Q239" s="104" t="s">
        <v>7</v>
      </c>
      <c r="R239" s="198" t="s">
        <v>685</v>
      </c>
      <c r="S239" s="162"/>
      <c r="T239" s="160"/>
      <c r="U239" s="160"/>
      <c r="V239" s="160"/>
      <c r="W239" s="160"/>
      <c r="X239" s="160"/>
      <c r="Y239" s="160"/>
      <c r="Z239" s="160"/>
      <c r="AA239" s="160"/>
      <c r="AB239" s="160"/>
      <c r="AC239" s="160"/>
      <c r="AD239" s="160"/>
    </row>
    <row r="240" s="10" customFormat="1" ht="14" spans="1:30">
      <c r="A240" s="6" t="s">
        <v>207</v>
      </c>
      <c r="B240" s="158">
        <v>45973</v>
      </c>
      <c r="C240" s="104" t="str">
        <f t="shared" si="4"/>
        <v>2025年11月</v>
      </c>
      <c r="D240" s="104" t="s">
        <v>10</v>
      </c>
      <c r="E240" s="159" t="s">
        <v>1800</v>
      </c>
      <c r="F240" s="104" t="s">
        <v>1006</v>
      </c>
      <c r="G240" s="195" t="s">
        <v>1007</v>
      </c>
      <c r="H240" s="40" t="s">
        <v>40</v>
      </c>
      <c r="I240" s="155" t="s">
        <v>1821</v>
      </c>
      <c r="J240" s="109" t="s">
        <v>82</v>
      </c>
      <c r="K240" s="160"/>
      <c r="L240" s="161" t="s">
        <v>1822</v>
      </c>
      <c r="M240" s="160" t="s">
        <v>1023</v>
      </c>
      <c r="N240" s="160" t="s">
        <v>1823</v>
      </c>
      <c r="O240" s="187">
        <v>53.25</v>
      </c>
      <c r="P240" s="160" t="s">
        <v>80</v>
      </c>
      <c r="Q240" s="104" t="s">
        <v>105</v>
      </c>
      <c r="R240" s="162" t="s">
        <v>678</v>
      </c>
      <c r="S240" s="162"/>
      <c r="T240" s="160"/>
      <c r="U240" s="160"/>
      <c r="V240" s="160"/>
      <c r="W240" s="160"/>
      <c r="X240" s="160"/>
      <c r="Y240" s="160"/>
      <c r="Z240" s="160"/>
      <c r="AA240" s="160"/>
      <c r="AB240" s="160"/>
      <c r="AC240" s="160"/>
      <c r="AD240" s="160"/>
    </row>
    <row r="241" s="10" customFormat="1" ht="14" spans="1:30">
      <c r="A241" s="6" t="s">
        <v>207</v>
      </c>
      <c r="B241" s="158">
        <v>45973</v>
      </c>
      <c r="C241" s="104" t="str">
        <f t="shared" si="4"/>
        <v>2025年11月</v>
      </c>
      <c r="D241" s="104" t="s">
        <v>10</v>
      </c>
      <c r="E241" s="159" t="s">
        <v>1804</v>
      </c>
      <c r="F241" s="104" t="s">
        <v>1006</v>
      </c>
      <c r="G241" s="195" t="s">
        <v>1007</v>
      </c>
      <c r="H241" s="40" t="s">
        <v>40</v>
      </c>
      <c r="I241" s="155" t="s">
        <v>1824</v>
      </c>
      <c r="J241" s="109" t="s">
        <v>82</v>
      </c>
      <c r="K241" s="160"/>
      <c r="L241" s="161" t="s">
        <v>1825</v>
      </c>
      <c r="M241" s="160" t="s">
        <v>1023</v>
      </c>
      <c r="N241" s="160" t="s">
        <v>1826</v>
      </c>
      <c r="O241" s="187">
        <v>81.76</v>
      </c>
      <c r="P241" s="160" t="s">
        <v>80</v>
      </c>
      <c r="Q241" s="104" t="s">
        <v>105</v>
      </c>
      <c r="R241" s="162" t="s">
        <v>774</v>
      </c>
      <c r="S241" s="162"/>
      <c r="T241" s="160"/>
      <c r="U241" s="160"/>
      <c r="V241" s="160"/>
      <c r="W241" s="160"/>
      <c r="X241" s="160"/>
      <c r="Y241" s="160"/>
      <c r="Z241" s="160"/>
      <c r="AA241" s="160"/>
      <c r="AB241" s="160"/>
      <c r="AC241" s="160"/>
      <c r="AD241" s="160"/>
    </row>
    <row r="242" s="10" customFormat="1" ht="14" spans="1:30">
      <c r="A242" s="6" t="s">
        <v>142</v>
      </c>
      <c r="B242" s="158">
        <v>45973</v>
      </c>
      <c r="C242" s="104" t="str">
        <f t="shared" si="4"/>
        <v>2025年11月</v>
      </c>
      <c r="D242" s="104" t="s">
        <v>11</v>
      </c>
      <c r="E242" s="159" t="s">
        <v>1321</v>
      </c>
      <c r="F242" s="104" t="s">
        <v>1006</v>
      </c>
      <c r="G242" s="195" t="s">
        <v>1011</v>
      </c>
      <c r="H242" s="40" t="s">
        <v>52</v>
      </c>
      <c r="I242" s="155" t="s">
        <v>1827</v>
      </c>
      <c r="J242" s="109" t="s">
        <v>82</v>
      </c>
      <c r="K242" s="160"/>
      <c r="L242" s="161" t="s">
        <v>1828</v>
      </c>
      <c r="M242" s="10" t="s">
        <v>1829</v>
      </c>
      <c r="N242" s="160" t="s">
        <v>1830</v>
      </c>
      <c r="O242" s="209">
        <v>26300</v>
      </c>
      <c r="P242" s="160" t="s">
        <v>149</v>
      </c>
      <c r="Q242" s="104" t="s">
        <v>7</v>
      </c>
      <c r="R242" s="162"/>
      <c r="S242" s="162"/>
      <c r="T242" s="160"/>
      <c r="U242" s="160"/>
      <c r="V242" s="160"/>
      <c r="W242" s="160"/>
      <c r="X242" s="160"/>
      <c r="Y242" s="160"/>
      <c r="Z242" s="160"/>
      <c r="AA242" s="160"/>
      <c r="AB242" s="160"/>
      <c r="AC242" s="160"/>
      <c r="AD242" s="160"/>
    </row>
    <row r="243" s="10" customFormat="1" ht="14" spans="1:30">
      <c r="A243" s="6" t="s">
        <v>142</v>
      </c>
      <c r="B243" s="158">
        <v>45973</v>
      </c>
      <c r="C243" s="104" t="str">
        <f t="shared" si="4"/>
        <v>2025年11月</v>
      </c>
      <c r="D243" s="104" t="s">
        <v>11</v>
      </c>
      <c r="E243" s="159" t="s">
        <v>1321</v>
      </c>
      <c r="F243" s="104" t="s">
        <v>1006</v>
      </c>
      <c r="G243" s="195" t="s">
        <v>1011</v>
      </c>
      <c r="H243" s="40" t="s">
        <v>52</v>
      </c>
      <c r="I243" s="155" t="s">
        <v>1831</v>
      </c>
      <c r="J243" s="109" t="s">
        <v>82</v>
      </c>
      <c r="K243" s="160"/>
      <c r="L243" s="161" t="s">
        <v>1828</v>
      </c>
      <c r="M243" s="160" t="s">
        <v>1832</v>
      </c>
      <c r="N243" s="160" t="s">
        <v>1830</v>
      </c>
      <c r="O243" s="209">
        <v>44976</v>
      </c>
      <c r="P243" s="160" t="s">
        <v>149</v>
      </c>
      <c r="Q243" s="104" t="s">
        <v>7</v>
      </c>
      <c r="R243" s="162"/>
      <c r="S243" s="162"/>
      <c r="T243" s="160"/>
      <c r="U243" s="160"/>
      <c r="V243" s="160"/>
      <c r="W243" s="160"/>
      <c r="X243" s="160"/>
      <c r="Y243" s="160"/>
      <c r="Z243" s="160"/>
      <c r="AA243" s="160"/>
      <c r="AB243" s="160"/>
      <c r="AC243" s="160"/>
      <c r="AD243" s="160"/>
    </row>
    <row r="244" s="10" customFormat="1" ht="14" spans="1:30">
      <c r="A244" s="6" t="s">
        <v>207</v>
      </c>
      <c r="B244" s="158">
        <v>45973</v>
      </c>
      <c r="C244" s="104" t="str">
        <f t="shared" si="4"/>
        <v>2025年11月</v>
      </c>
      <c r="D244" s="104" t="s">
        <v>10</v>
      </c>
      <c r="E244" s="200" t="s">
        <v>1833</v>
      </c>
      <c r="F244" s="104" t="s">
        <v>1006</v>
      </c>
      <c r="G244" s="195" t="s">
        <v>1007</v>
      </c>
      <c r="H244" s="40" t="s">
        <v>40</v>
      </c>
      <c r="I244" s="155" t="s">
        <v>1834</v>
      </c>
      <c r="J244" s="109" t="s">
        <v>82</v>
      </c>
      <c r="K244" s="160"/>
      <c r="L244" s="161" t="s">
        <v>1249</v>
      </c>
      <c r="M244" s="160" t="s">
        <v>1333</v>
      </c>
      <c r="N244" s="160" t="s">
        <v>1802</v>
      </c>
      <c r="O244" s="187">
        <v>8.85</v>
      </c>
      <c r="P244" s="160" t="s">
        <v>139</v>
      </c>
      <c r="Q244" s="104" t="s">
        <v>105</v>
      </c>
      <c r="R244" s="162" t="s">
        <v>1803</v>
      </c>
      <c r="S244" s="162"/>
      <c r="T244" s="160"/>
      <c r="U244" s="160"/>
      <c r="V244" s="160"/>
      <c r="W244" s="160"/>
      <c r="X244" s="160"/>
      <c r="Y244" s="160"/>
      <c r="Z244" s="160"/>
      <c r="AA244" s="160"/>
      <c r="AB244" s="160"/>
      <c r="AC244" s="160"/>
      <c r="AD244" s="160"/>
    </row>
    <row r="245" s="10" customFormat="1" ht="14" spans="1:30">
      <c r="A245" s="6" t="s">
        <v>207</v>
      </c>
      <c r="B245" s="158">
        <v>45973</v>
      </c>
      <c r="C245" s="104" t="str">
        <f t="shared" si="4"/>
        <v>2025年11月</v>
      </c>
      <c r="D245" s="104" t="s">
        <v>11</v>
      </c>
      <c r="E245" s="159" t="s">
        <v>1321</v>
      </c>
      <c r="F245" s="104" t="s">
        <v>1006</v>
      </c>
      <c r="G245" s="195" t="s">
        <v>1011</v>
      </c>
      <c r="H245" s="40" t="s">
        <v>52</v>
      </c>
      <c r="I245" s="155" t="s">
        <v>1835</v>
      </c>
      <c r="J245" s="109" t="s">
        <v>82</v>
      </c>
      <c r="K245" s="160"/>
      <c r="L245" s="161" t="s">
        <v>1637</v>
      </c>
      <c r="M245" s="160" t="s">
        <v>1836</v>
      </c>
      <c r="N245" s="160" t="s">
        <v>1639</v>
      </c>
      <c r="O245" s="209">
        <v>13900</v>
      </c>
      <c r="P245" s="160" t="s">
        <v>149</v>
      </c>
      <c r="Q245" s="104" t="s">
        <v>7</v>
      </c>
      <c r="R245" s="198" t="s">
        <v>685</v>
      </c>
      <c r="S245" s="162"/>
      <c r="T245" s="160"/>
      <c r="U245" s="160"/>
      <c r="V245" s="160"/>
      <c r="W245" s="160"/>
      <c r="X245" s="160"/>
      <c r="Y245" s="160"/>
      <c r="Z245" s="160"/>
      <c r="AA245" s="160"/>
      <c r="AB245" s="160"/>
      <c r="AC245" s="160"/>
      <c r="AD245" s="160"/>
    </row>
    <row r="246" s="10" customFormat="1" ht="14" spans="1:30">
      <c r="A246" s="6" t="s">
        <v>207</v>
      </c>
      <c r="B246" s="158">
        <v>45973</v>
      </c>
      <c r="C246" s="104" t="str">
        <f t="shared" si="4"/>
        <v>2025年11月</v>
      </c>
      <c r="D246" s="104" t="s">
        <v>12</v>
      </c>
      <c r="E246" s="159" t="s">
        <v>1813</v>
      </c>
      <c r="F246" s="104" t="s">
        <v>1029</v>
      </c>
      <c r="G246" s="195" t="s">
        <v>1011</v>
      </c>
      <c r="H246" s="40" t="s">
        <v>51</v>
      </c>
      <c r="I246" s="155" t="s">
        <v>1837</v>
      </c>
      <c r="J246" s="109" t="s">
        <v>82</v>
      </c>
      <c r="K246" s="160"/>
      <c r="L246" s="161" t="s">
        <v>1838</v>
      </c>
      <c r="M246" s="160" t="s">
        <v>1839</v>
      </c>
      <c r="N246" s="160" t="s">
        <v>1840</v>
      </c>
      <c r="O246" s="187">
        <v>51690</v>
      </c>
      <c r="P246" s="160" t="s">
        <v>173</v>
      </c>
      <c r="Q246" s="104" t="s">
        <v>7</v>
      </c>
      <c r="R246" s="162" t="s">
        <v>1509</v>
      </c>
      <c r="S246" s="162"/>
      <c r="T246" s="160"/>
      <c r="U246" s="160"/>
      <c r="V246" s="160"/>
      <c r="W246" s="160"/>
      <c r="X246" s="160"/>
      <c r="Y246" s="160"/>
      <c r="Z246" s="160"/>
      <c r="AA246" s="160"/>
      <c r="AB246" s="160"/>
      <c r="AC246" s="160"/>
      <c r="AD246" s="160"/>
    </row>
    <row r="247" s="10" customFormat="1" ht="14" spans="1:30">
      <c r="A247" s="6" t="s">
        <v>207</v>
      </c>
      <c r="B247" s="158">
        <v>45974</v>
      </c>
      <c r="C247" s="104" t="str">
        <f t="shared" si="4"/>
        <v>2025年11月</v>
      </c>
      <c r="D247" s="104" t="s">
        <v>12</v>
      </c>
      <c r="E247" s="159" t="s">
        <v>1616</v>
      </c>
      <c r="F247" s="104" t="s">
        <v>1029</v>
      </c>
      <c r="G247" s="195" t="s">
        <v>1276</v>
      </c>
      <c r="H247" s="40" t="s">
        <v>39</v>
      </c>
      <c r="I247" s="155" t="s">
        <v>1841</v>
      </c>
      <c r="J247" s="109" t="s">
        <v>82</v>
      </c>
      <c r="K247" s="160"/>
      <c r="L247" s="161" t="s">
        <v>1618</v>
      </c>
      <c r="M247" s="160" t="s">
        <v>1619</v>
      </c>
      <c r="N247" s="160" t="s">
        <v>1842</v>
      </c>
      <c r="O247" s="187">
        <v>3500</v>
      </c>
      <c r="P247" s="160" t="s">
        <v>173</v>
      </c>
      <c r="Q247" s="104" t="s">
        <v>7</v>
      </c>
      <c r="R247" s="162" t="s">
        <v>1843</v>
      </c>
      <c r="S247" s="162" t="s">
        <v>1844</v>
      </c>
      <c r="T247" s="160"/>
      <c r="U247" s="160"/>
      <c r="V247" s="160"/>
      <c r="W247" s="160"/>
      <c r="X247" s="160"/>
      <c r="Y247" s="160"/>
      <c r="Z247" s="160"/>
      <c r="AA247" s="160"/>
      <c r="AB247" s="160"/>
      <c r="AC247" s="160"/>
      <c r="AD247" s="160"/>
    </row>
    <row r="248" s="10" customFormat="1" ht="14" spans="1:30">
      <c r="A248" s="6" t="s">
        <v>207</v>
      </c>
      <c r="B248" s="158">
        <v>45975</v>
      </c>
      <c r="C248" s="104" t="str">
        <f t="shared" si="4"/>
        <v>2025年11月</v>
      </c>
      <c r="D248" s="104" t="s">
        <v>11</v>
      </c>
      <c r="E248" s="194" t="s">
        <v>1064</v>
      </c>
      <c r="F248" s="104" t="s">
        <v>1006</v>
      </c>
      <c r="G248" s="195" t="s">
        <v>1007</v>
      </c>
      <c r="H248" s="40" t="s">
        <v>39</v>
      </c>
      <c r="I248" s="155" t="s">
        <v>1845</v>
      </c>
      <c r="J248" s="109" t="s">
        <v>82</v>
      </c>
      <c r="K248" s="160"/>
      <c r="L248" s="159" t="s">
        <v>1268</v>
      </c>
      <c r="M248" s="104" t="s">
        <v>1846</v>
      </c>
      <c r="N248" s="104" t="s">
        <v>1270</v>
      </c>
      <c r="O248" s="187">
        <v>72579.05</v>
      </c>
      <c r="P248" s="160" t="s">
        <v>173</v>
      </c>
      <c r="Q248" s="104" t="s">
        <v>7</v>
      </c>
      <c r="R248" s="198" t="s">
        <v>1500</v>
      </c>
      <c r="S248" s="162"/>
      <c r="T248" s="160"/>
      <c r="U248" s="160"/>
      <c r="V248" s="160"/>
      <c r="W248" s="160"/>
      <c r="X248" s="160"/>
      <c r="Y248" s="160"/>
      <c r="Z248" s="160"/>
      <c r="AA248" s="160"/>
      <c r="AB248" s="160"/>
      <c r="AC248" s="160"/>
      <c r="AD248" s="160"/>
    </row>
    <row r="249" s="10" customFormat="1" ht="14" spans="1:30">
      <c r="A249" s="6" t="s">
        <v>142</v>
      </c>
      <c r="B249" s="158">
        <v>45975</v>
      </c>
      <c r="C249" s="104" t="str">
        <f t="shared" si="4"/>
        <v>2025年11月</v>
      </c>
      <c r="D249" s="104" t="s">
        <v>11</v>
      </c>
      <c r="E249" s="159" t="s">
        <v>1321</v>
      </c>
      <c r="F249" s="104" t="s">
        <v>1006</v>
      </c>
      <c r="G249" s="195" t="s">
        <v>1011</v>
      </c>
      <c r="H249" s="40" t="s">
        <v>52</v>
      </c>
      <c r="I249" s="155" t="s">
        <v>1847</v>
      </c>
      <c r="J249" s="109" t="s">
        <v>82</v>
      </c>
      <c r="K249" s="160"/>
      <c r="L249" s="161" t="s">
        <v>1719</v>
      </c>
      <c r="M249" s="160" t="s">
        <v>1848</v>
      </c>
      <c r="N249" s="160" t="s">
        <v>1849</v>
      </c>
      <c r="O249" s="187">
        <v>14980</v>
      </c>
      <c r="P249" s="160" t="s">
        <v>149</v>
      </c>
      <c r="Q249" s="104" t="s">
        <v>7</v>
      </c>
      <c r="R249" s="162"/>
      <c r="S249" s="162"/>
      <c r="T249" s="160"/>
      <c r="U249" s="160"/>
      <c r="V249" s="160"/>
      <c r="W249" s="160"/>
      <c r="X249" s="160"/>
      <c r="Y249" s="160"/>
      <c r="Z249" s="160"/>
      <c r="AA249" s="160"/>
      <c r="AB249" s="160"/>
      <c r="AC249" s="160"/>
      <c r="AD249" s="160"/>
    </row>
    <row r="250" s="10" customFormat="1" ht="14" spans="1:30">
      <c r="A250" s="6" t="s">
        <v>207</v>
      </c>
      <c r="B250" s="158">
        <v>45975</v>
      </c>
      <c r="C250" s="104" t="str">
        <f t="shared" si="4"/>
        <v>2025年11月</v>
      </c>
      <c r="D250" s="104" t="s">
        <v>12</v>
      </c>
      <c r="E250" s="159" t="s">
        <v>1850</v>
      </c>
      <c r="F250" s="104" t="s">
        <v>1029</v>
      </c>
      <c r="G250" s="195" t="s">
        <v>1011</v>
      </c>
      <c r="H250" s="40" t="s">
        <v>51</v>
      </c>
      <c r="I250" s="155" t="s">
        <v>1851</v>
      </c>
      <c r="J250" s="109" t="s">
        <v>82</v>
      </c>
      <c r="K250" s="160"/>
      <c r="L250" s="161" t="s">
        <v>1193</v>
      </c>
      <c r="M250" s="160" t="s">
        <v>1195</v>
      </c>
      <c r="N250" s="160" t="s">
        <v>1852</v>
      </c>
      <c r="O250" s="187">
        <v>25408.03</v>
      </c>
      <c r="P250" s="160" t="s">
        <v>173</v>
      </c>
      <c r="Q250" s="104" t="s">
        <v>7</v>
      </c>
      <c r="R250" s="162" t="s">
        <v>1537</v>
      </c>
      <c r="S250" s="162"/>
      <c r="T250" s="160"/>
      <c r="U250" s="160"/>
      <c r="V250" s="160"/>
      <c r="W250" s="160"/>
      <c r="X250" s="160"/>
      <c r="Y250" s="160"/>
      <c r="Z250" s="160"/>
      <c r="AA250" s="160"/>
      <c r="AB250" s="160"/>
      <c r="AC250" s="160"/>
      <c r="AD250" s="160"/>
    </row>
    <row r="251" s="10" customFormat="1" ht="14" spans="1:30">
      <c r="A251" s="6" t="s">
        <v>142</v>
      </c>
      <c r="B251" s="158">
        <v>45978</v>
      </c>
      <c r="C251" s="104" t="str">
        <f t="shared" si="4"/>
        <v>2025年11月</v>
      </c>
      <c r="D251" s="104" t="s">
        <v>10</v>
      </c>
      <c r="E251" s="159" t="s">
        <v>1400</v>
      </c>
      <c r="F251" s="104" t="s">
        <v>1029</v>
      </c>
      <c r="G251" s="195" t="s">
        <v>1011</v>
      </c>
      <c r="H251" s="40" t="s">
        <v>51</v>
      </c>
      <c r="I251" s="155" t="s">
        <v>1853</v>
      </c>
      <c r="J251" s="109" t="s">
        <v>82</v>
      </c>
      <c r="K251" s="160"/>
      <c r="L251" s="161" t="s">
        <v>1854</v>
      </c>
      <c r="M251" s="160" t="s">
        <v>1855</v>
      </c>
      <c r="N251" s="160" t="s">
        <v>1855</v>
      </c>
      <c r="O251" s="187">
        <v>138844.38</v>
      </c>
      <c r="P251" s="160" t="s">
        <v>173</v>
      </c>
      <c r="Q251" s="104" t="s">
        <v>7</v>
      </c>
      <c r="R251" s="162"/>
      <c r="S251" s="162"/>
      <c r="T251" s="160"/>
      <c r="U251" s="160"/>
      <c r="V251" s="160"/>
      <c r="W251" s="160"/>
      <c r="X251" s="160"/>
      <c r="Y251" s="160"/>
      <c r="Z251" s="160"/>
      <c r="AA251" s="160"/>
      <c r="AB251" s="160"/>
      <c r="AC251" s="160"/>
      <c r="AD251" s="160"/>
    </row>
    <row r="252" s="10" customFormat="1" ht="14" spans="1:30">
      <c r="A252" s="6" t="s">
        <v>207</v>
      </c>
      <c r="B252" s="158">
        <v>45978</v>
      </c>
      <c r="C252" s="104" t="str">
        <f t="shared" si="4"/>
        <v>2025年11月</v>
      </c>
      <c r="D252" s="104" t="s">
        <v>10</v>
      </c>
      <c r="E252" s="159" t="s">
        <v>1856</v>
      </c>
      <c r="F252" s="104" t="s">
        <v>1006</v>
      </c>
      <c r="G252" s="195" t="s">
        <v>1007</v>
      </c>
      <c r="H252" s="40" t="s">
        <v>40</v>
      </c>
      <c r="I252" s="155" t="s">
        <v>1857</v>
      </c>
      <c r="J252" s="109" t="s">
        <v>422</v>
      </c>
      <c r="K252" s="160"/>
      <c r="L252" s="161" t="s">
        <v>1759</v>
      </c>
      <c r="M252" s="160" t="s">
        <v>1858</v>
      </c>
      <c r="N252" s="160" t="s">
        <v>1859</v>
      </c>
      <c r="O252" s="187">
        <v>165</v>
      </c>
      <c r="P252" s="160" t="s">
        <v>139</v>
      </c>
      <c r="Q252" s="104" t="s">
        <v>7</v>
      </c>
      <c r="R252" s="162" t="s">
        <v>689</v>
      </c>
      <c r="S252" s="162" t="s">
        <v>1860</v>
      </c>
      <c r="T252" s="160"/>
      <c r="U252" s="160"/>
      <c r="V252" s="160"/>
      <c r="W252" s="160"/>
      <c r="X252" s="160"/>
      <c r="Y252" s="160"/>
      <c r="Z252" s="160"/>
      <c r="AA252" s="160"/>
      <c r="AB252" s="160"/>
      <c r="AC252" s="160"/>
      <c r="AD252" s="160"/>
    </row>
    <row r="253" s="10" customFormat="1" ht="14" spans="1:30">
      <c r="A253" s="6" t="s">
        <v>142</v>
      </c>
      <c r="B253" s="158">
        <v>45980</v>
      </c>
      <c r="C253" s="104" t="str">
        <f t="shared" si="4"/>
        <v>2025年11月</v>
      </c>
      <c r="D253" s="104" t="s">
        <v>12</v>
      </c>
      <c r="E253" s="159" t="s">
        <v>1340</v>
      </c>
      <c r="F253" s="104" t="s">
        <v>1029</v>
      </c>
      <c r="G253" s="195" t="s">
        <v>1007</v>
      </c>
      <c r="H253" s="40" t="s">
        <v>44</v>
      </c>
      <c r="I253" s="155" t="s">
        <v>1861</v>
      </c>
      <c r="J253" s="109" t="s">
        <v>82</v>
      </c>
      <c r="K253" s="160"/>
      <c r="L253" s="161" t="s">
        <v>1342</v>
      </c>
      <c r="M253" s="160" t="s">
        <v>1343</v>
      </c>
      <c r="N253" s="162" t="s">
        <v>1862</v>
      </c>
      <c r="O253" s="187">
        <v>156521.01</v>
      </c>
      <c r="P253" s="160" t="s">
        <v>1466</v>
      </c>
      <c r="Q253" s="104" t="s">
        <v>7</v>
      </c>
      <c r="R253" s="162"/>
      <c r="S253" s="162"/>
      <c r="T253" s="160"/>
      <c r="U253" s="160"/>
      <c r="V253" s="160"/>
      <c r="W253" s="160"/>
      <c r="X253" s="160"/>
      <c r="Y253" s="160"/>
      <c r="Z253" s="160"/>
      <c r="AA253" s="160"/>
      <c r="AB253" s="160"/>
      <c r="AC253" s="160"/>
      <c r="AD253" s="160"/>
    </row>
    <row r="254" s="10" customFormat="1" ht="14" spans="1:30">
      <c r="A254" s="6" t="s">
        <v>142</v>
      </c>
      <c r="B254" s="158">
        <v>45980</v>
      </c>
      <c r="C254" s="104" t="str">
        <f t="shared" si="4"/>
        <v>2025年11月</v>
      </c>
      <c r="D254" s="104" t="s">
        <v>11</v>
      </c>
      <c r="E254" s="159" t="s">
        <v>1321</v>
      </c>
      <c r="F254" s="104" t="s">
        <v>1006</v>
      </c>
      <c r="G254" s="195" t="s">
        <v>1007</v>
      </c>
      <c r="H254" s="40" t="s">
        <v>52</v>
      </c>
      <c r="I254" s="155" t="s">
        <v>1863</v>
      </c>
      <c r="J254" s="109" t="s">
        <v>82</v>
      </c>
      <c r="K254" s="160"/>
      <c r="L254" s="161" t="s">
        <v>1828</v>
      </c>
      <c r="M254" s="160" t="s">
        <v>1864</v>
      </c>
      <c r="N254" s="160" t="s">
        <v>1830</v>
      </c>
      <c r="O254" s="187">
        <v>10000</v>
      </c>
      <c r="P254" s="160" t="s">
        <v>149</v>
      </c>
      <c r="Q254" s="104" t="s">
        <v>105</v>
      </c>
      <c r="R254" s="162"/>
      <c r="S254" s="162"/>
      <c r="T254" s="160"/>
      <c r="U254" s="160"/>
      <c r="V254" s="160"/>
      <c r="W254" s="160"/>
      <c r="X254" s="160"/>
      <c r="Y254" s="160"/>
      <c r="Z254" s="160"/>
      <c r="AA254" s="160"/>
      <c r="AB254" s="160"/>
      <c r="AC254" s="160"/>
      <c r="AD254" s="160"/>
    </row>
    <row r="255" s="10" customFormat="1" ht="14" spans="1:30">
      <c r="A255" s="6" t="s">
        <v>207</v>
      </c>
      <c r="B255" s="158">
        <v>45981</v>
      </c>
      <c r="C255" s="104" t="str">
        <f t="shared" si="4"/>
        <v>2025年11月</v>
      </c>
      <c r="D255" s="104" t="s">
        <v>12</v>
      </c>
      <c r="E255" s="159" t="s">
        <v>1045</v>
      </c>
      <c r="F255" s="104" t="s">
        <v>1006</v>
      </c>
      <c r="G255" s="195" t="s">
        <v>1011</v>
      </c>
      <c r="H255" s="40" t="s">
        <v>39</v>
      </c>
      <c r="I255" s="155" t="s">
        <v>1865</v>
      </c>
      <c r="J255" s="109" t="s">
        <v>82</v>
      </c>
      <c r="K255" s="160"/>
      <c r="L255" s="161" t="s">
        <v>1866</v>
      </c>
      <c r="M255" s="160" t="s">
        <v>1867</v>
      </c>
      <c r="N255" s="160" t="s">
        <v>1868</v>
      </c>
      <c r="O255" s="187">
        <v>14968</v>
      </c>
      <c r="P255" s="160" t="s">
        <v>149</v>
      </c>
      <c r="Q255" s="104" t="s">
        <v>7</v>
      </c>
      <c r="R255" s="162" t="s">
        <v>801</v>
      </c>
      <c r="S255" s="162"/>
      <c r="T255" s="160"/>
      <c r="U255" s="160"/>
      <c r="V255" s="160"/>
      <c r="W255" s="160"/>
      <c r="X255" s="160"/>
      <c r="Y255" s="160"/>
      <c r="Z255" s="160"/>
      <c r="AA255" s="160"/>
      <c r="AB255" s="160"/>
      <c r="AC255" s="160"/>
      <c r="AD255" s="160"/>
    </row>
    <row r="256" s="10" customFormat="1" ht="14" spans="1:30">
      <c r="A256" s="6" t="s">
        <v>142</v>
      </c>
      <c r="B256" s="158">
        <v>45981</v>
      </c>
      <c r="C256" s="104" t="str">
        <f t="shared" si="4"/>
        <v>2025年11月</v>
      </c>
      <c r="D256" s="104" t="s">
        <v>12</v>
      </c>
      <c r="E256" s="159" t="s">
        <v>1045</v>
      </c>
      <c r="F256" s="104" t="s">
        <v>1029</v>
      </c>
      <c r="G256" s="195" t="s">
        <v>1007</v>
      </c>
      <c r="H256" s="40" t="s">
        <v>48</v>
      </c>
      <c r="I256" s="155" t="s">
        <v>1869</v>
      </c>
      <c r="J256" s="109" t="s">
        <v>82</v>
      </c>
      <c r="K256" s="160"/>
      <c r="L256" s="161" t="s">
        <v>1870</v>
      </c>
      <c r="M256" s="160" t="s">
        <v>1871</v>
      </c>
      <c r="N256" s="160" t="s">
        <v>1872</v>
      </c>
      <c r="O256" s="187">
        <v>1000</v>
      </c>
      <c r="P256" s="160" t="s">
        <v>173</v>
      </c>
      <c r="Q256" s="104" t="s">
        <v>7</v>
      </c>
      <c r="R256" s="162"/>
      <c r="S256" s="162"/>
      <c r="T256" s="160"/>
      <c r="U256" s="160"/>
      <c r="V256" s="160"/>
      <c r="W256" s="160"/>
      <c r="X256" s="160"/>
      <c r="Y256" s="160"/>
      <c r="Z256" s="160"/>
      <c r="AA256" s="160"/>
      <c r="AB256" s="160"/>
      <c r="AC256" s="160"/>
      <c r="AD256" s="160"/>
    </row>
    <row r="257" s="10" customFormat="1" ht="14" spans="1:30">
      <c r="A257" s="6" t="s">
        <v>142</v>
      </c>
      <c r="B257" s="158">
        <v>45982</v>
      </c>
      <c r="C257" s="104" t="str">
        <f t="shared" si="4"/>
        <v>2025年11月</v>
      </c>
      <c r="D257" s="104" t="s">
        <v>10</v>
      </c>
      <c r="E257" s="159"/>
      <c r="F257" s="104" t="s">
        <v>1006</v>
      </c>
      <c r="G257" s="195" t="s">
        <v>1007</v>
      </c>
      <c r="H257" s="40" t="s">
        <v>40</v>
      </c>
      <c r="I257" s="155" t="s">
        <v>1873</v>
      </c>
      <c r="J257" s="109" t="s">
        <v>422</v>
      </c>
      <c r="K257" s="160"/>
      <c r="L257" s="161" t="s">
        <v>1874</v>
      </c>
      <c r="M257" s="160" t="s">
        <v>1748</v>
      </c>
      <c r="N257" s="160" t="s">
        <v>1875</v>
      </c>
      <c r="O257" s="187">
        <v>58</v>
      </c>
      <c r="P257" s="160" t="s">
        <v>139</v>
      </c>
      <c r="Q257" s="104" t="s">
        <v>7</v>
      </c>
      <c r="R257" s="162"/>
      <c r="S257" s="162"/>
      <c r="T257" s="160"/>
      <c r="U257" s="160"/>
      <c r="V257" s="160"/>
      <c r="W257" s="160"/>
      <c r="X257" s="160"/>
      <c r="Y257" s="160"/>
      <c r="Z257" s="160"/>
      <c r="AA257" s="160"/>
      <c r="AB257" s="160"/>
      <c r="AC257" s="160"/>
      <c r="AD257" s="160"/>
    </row>
    <row r="258" s="10" customFormat="1" ht="14" spans="1:30">
      <c r="A258" s="6" t="s">
        <v>207</v>
      </c>
      <c r="B258" s="158">
        <v>45986</v>
      </c>
      <c r="C258" s="104" t="str">
        <f t="shared" si="4"/>
        <v>2025年11月</v>
      </c>
      <c r="D258" s="104" t="s">
        <v>12</v>
      </c>
      <c r="E258" s="159" t="s">
        <v>1876</v>
      </c>
      <c r="F258" s="104" t="s">
        <v>1029</v>
      </c>
      <c r="G258" s="195" t="s">
        <v>1007</v>
      </c>
      <c r="H258" s="40" t="s">
        <v>39</v>
      </c>
      <c r="I258" s="155" t="s">
        <v>1877</v>
      </c>
      <c r="J258" s="109" t="s">
        <v>82</v>
      </c>
      <c r="K258" s="160"/>
      <c r="L258" s="161" t="s">
        <v>1071</v>
      </c>
      <c r="M258" s="160" t="s">
        <v>1072</v>
      </c>
      <c r="N258" s="160" t="s">
        <v>1878</v>
      </c>
      <c r="O258" s="187">
        <v>594692.56</v>
      </c>
      <c r="P258" s="160" t="s">
        <v>1062</v>
      </c>
      <c r="Q258" s="104" t="s">
        <v>7</v>
      </c>
      <c r="R258" s="162" t="s">
        <v>715</v>
      </c>
      <c r="S258" s="162" t="s">
        <v>1879</v>
      </c>
      <c r="T258" s="160"/>
      <c r="U258" s="160"/>
      <c r="V258" s="160"/>
      <c r="W258" s="160"/>
      <c r="X258" s="160"/>
      <c r="Y258" s="160"/>
      <c r="Z258" s="160"/>
      <c r="AA258" s="160"/>
      <c r="AB258" s="160"/>
      <c r="AC258" s="160"/>
      <c r="AD258" s="160"/>
    </row>
    <row r="259" s="10" customFormat="1" ht="14" spans="1:30">
      <c r="A259" s="6" t="s">
        <v>207</v>
      </c>
      <c r="B259" s="158">
        <v>45986</v>
      </c>
      <c r="C259" s="104" t="str">
        <f t="shared" si="4"/>
        <v>2025年11月</v>
      </c>
      <c r="D259" s="104" t="s">
        <v>10</v>
      </c>
      <c r="E259" s="159" t="s">
        <v>1880</v>
      </c>
      <c r="F259" s="104" t="s">
        <v>1006</v>
      </c>
      <c r="G259" s="195" t="s">
        <v>1007</v>
      </c>
      <c r="H259" s="40" t="s">
        <v>40</v>
      </c>
      <c r="I259" s="155" t="s">
        <v>1881</v>
      </c>
      <c r="J259" s="109" t="s">
        <v>82</v>
      </c>
      <c r="K259" s="160"/>
      <c r="L259" s="161" t="s">
        <v>1882</v>
      </c>
      <c r="M259" s="160" t="s">
        <v>1748</v>
      </c>
      <c r="N259" s="160" t="s">
        <v>1883</v>
      </c>
      <c r="O259" s="187">
        <v>773.1</v>
      </c>
      <c r="P259" s="160" t="s">
        <v>139</v>
      </c>
      <c r="Q259" s="104" t="s">
        <v>105</v>
      </c>
      <c r="R259" s="162" t="s">
        <v>1537</v>
      </c>
      <c r="S259" s="162"/>
      <c r="T259" s="160"/>
      <c r="U259" s="160"/>
      <c r="V259" s="160"/>
      <c r="W259" s="160"/>
      <c r="X259" s="160"/>
      <c r="Y259" s="160"/>
      <c r="Z259" s="160"/>
      <c r="AA259" s="160"/>
      <c r="AB259" s="160"/>
      <c r="AC259" s="160"/>
      <c r="AD259" s="160"/>
    </row>
    <row r="260" s="10" customFormat="1" ht="14" spans="1:30">
      <c r="A260" s="6" t="s">
        <v>142</v>
      </c>
      <c r="B260" s="158">
        <v>45986</v>
      </c>
      <c r="C260" s="104" t="str">
        <f t="shared" si="4"/>
        <v>2025年11月</v>
      </c>
      <c r="D260" s="104" t="s">
        <v>11</v>
      </c>
      <c r="E260" s="159" t="s">
        <v>1321</v>
      </c>
      <c r="F260" s="104" t="s">
        <v>1006</v>
      </c>
      <c r="G260" s="195" t="s">
        <v>1007</v>
      </c>
      <c r="H260" s="40" t="s">
        <v>52</v>
      </c>
      <c r="I260" s="155" t="s">
        <v>1884</v>
      </c>
      <c r="J260" s="109" t="s">
        <v>82</v>
      </c>
      <c r="K260" s="160"/>
      <c r="L260" s="161" t="s">
        <v>1885</v>
      </c>
      <c r="M260" s="160" t="s">
        <v>1886</v>
      </c>
      <c r="N260" s="160" t="s">
        <v>1887</v>
      </c>
      <c r="O260" s="187">
        <v>42655</v>
      </c>
      <c r="P260" s="160" t="s">
        <v>149</v>
      </c>
      <c r="Q260" s="104" t="s">
        <v>7</v>
      </c>
      <c r="R260" s="162"/>
      <c r="S260" s="162"/>
      <c r="T260" s="160"/>
      <c r="U260" s="160"/>
      <c r="V260" s="160"/>
      <c r="W260" s="160"/>
      <c r="X260" s="160"/>
      <c r="Y260" s="160"/>
      <c r="Z260" s="160"/>
      <c r="AA260" s="160"/>
      <c r="AB260" s="160"/>
      <c r="AC260" s="160"/>
      <c r="AD260" s="160"/>
    </row>
    <row r="261" s="10" customFormat="1" ht="14" spans="1:30">
      <c r="A261" s="6" t="s">
        <v>207</v>
      </c>
      <c r="B261" s="158">
        <v>45987</v>
      </c>
      <c r="C261" s="104" t="str">
        <f t="shared" si="4"/>
        <v>2025年11月</v>
      </c>
      <c r="D261" s="104" t="s">
        <v>12</v>
      </c>
      <c r="E261" s="159" t="s">
        <v>1888</v>
      </c>
      <c r="F261" s="104" t="s">
        <v>1006</v>
      </c>
      <c r="G261" s="195" t="s">
        <v>1011</v>
      </c>
      <c r="H261" s="40" t="s">
        <v>46</v>
      </c>
      <c r="I261" s="155" t="s">
        <v>1889</v>
      </c>
      <c r="J261" s="109" t="s">
        <v>82</v>
      </c>
      <c r="K261" s="160"/>
      <c r="L261" s="161" t="s">
        <v>1193</v>
      </c>
      <c r="M261" s="160" t="s">
        <v>1890</v>
      </c>
      <c r="N261" s="160" t="s">
        <v>1195</v>
      </c>
      <c r="O261" s="187">
        <v>1242310.71</v>
      </c>
      <c r="P261" s="160" t="s">
        <v>173</v>
      </c>
      <c r="Q261" s="104" t="s">
        <v>7</v>
      </c>
      <c r="R261" s="162" t="s">
        <v>1537</v>
      </c>
      <c r="S261" s="162"/>
      <c r="T261" s="160"/>
      <c r="U261" s="160"/>
      <c r="V261" s="160"/>
      <c r="W261" s="160"/>
      <c r="X261" s="160"/>
      <c r="Y261" s="160"/>
      <c r="Z261" s="160"/>
      <c r="AA261" s="160"/>
      <c r="AB261" s="160"/>
      <c r="AC261" s="160"/>
      <c r="AD261" s="160"/>
    </row>
    <row r="262" s="10" customFormat="1" ht="14" spans="1:30">
      <c r="A262" s="6" t="s">
        <v>142</v>
      </c>
      <c r="B262" s="158">
        <v>45987</v>
      </c>
      <c r="C262" s="104" t="str">
        <f t="shared" si="4"/>
        <v>2025年11月</v>
      </c>
      <c r="D262" s="104" t="s">
        <v>10</v>
      </c>
      <c r="E262" s="159" t="s">
        <v>1378</v>
      </c>
      <c r="F262" s="104" t="s">
        <v>1006</v>
      </c>
      <c r="G262" s="195" t="s">
        <v>1007</v>
      </c>
      <c r="H262" s="40" t="s">
        <v>40</v>
      </c>
      <c r="I262" s="155" t="s">
        <v>1891</v>
      </c>
      <c r="J262" s="109" t="s">
        <v>422</v>
      </c>
      <c r="K262" s="160"/>
      <c r="L262" s="161" t="s">
        <v>1892</v>
      </c>
      <c r="M262" s="160" t="s">
        <v>1893</v>
      </c>
      <c r="N262" s="160" t="s">
        <v>1894</v>
      </c>
      <c r="O262" s="187">
        <v>145</v>
      </c>
      <c r="P262" s="160" t="s">
        <v>139</v>
      </c>
      <c r="Q262" s="104" t="s">
        <v>105</v>
      </c>
      <c r="R262" s="162"/>
      <c r="S262" s="162"/>
      <c r="T262" s="160"/>
      <c r="U262" s="160"/>
      <c r="V262" s="160"/>
      <c r="W262" s="160"/>
      <c r="X262" s="160"/>
      <c r="Y262" s="160"/>
      <c r="Z262" s="160"/>
      <c r="AA262" s="160"/>
      <c r="AB262" s="160"/>
      <c r="AC262" s="160"/>
      <c r="AD262" s="160"/>
    </row>
    <row r="263" s="10" customFormat="1" ht="14" spans="1:30">
      <c r="A263" s="6" t="s">
        <v>142</v>
      </c>
      <c r="B263" s="158">
        <v>45987</v>
      </c>
      <c r="C263" s="104" t="str">
        <f t="shared" si="4"/>
        <v>2025年11月</v>
      </c>
      <c r="D263" s="104" t="s">
        <v>10</v>
      </c>
      <c r="E263" s="159" t="s">
        <v>1626</v>
      </c>
      <c r="F263" s="104" t="s">
        <v>1029</v>
      </c>
      <c r="G263" s="195" t="s">
        <v>1011</v>
      </c>
      <c r="H263" s="40" t="s">
        <v>51</v>
      </c>
      <c r="I263" s="155" t="s">
        <v>1895</v>
      </c>
      <c r="J263" s="109" t="s">
        <v>82</v>
      </c>
      <c r="K263" s="160"/>
      <c r="L263" s="161" t="s">
        <v>1838</v>
      </c>
      <c r="M263" s="160" t="s">
        <v>1896</v>
      </c>
      <c r="N263" s="160" t="s">
        <v>1508</v>
      </c>
      <c r="O263" s="187">
        <v>59547.76</v>
      </c>
      <c r="P263" s="160" t="s">
        <v>173</v>
      </c>
      <c r="Q263" s="104" t="s">
        <v>7</v>
      </c>
      <c r="R263" s="162"/>
      <c r="S263" s="162"/>
      <c r="T263" s="158">
        <v>45999</v>
      </c>
      <c r="U263" s="158">
        <v>46000</v>
      </c>
      <c r="V263" s="158">
        <v>46034</v>
      </c>
      <c r="W263" s="158">
        <v>46043</v>
      </c>
      <c r="X263" s="158">
        <v>46048</v>
      </c>
      <c r="Y263" s="158">
        <v>46057</v>
      </c>
      <c r="Z263" s="160"/>
      <c r="AA263" s="160"/>
      <c r="AB263" s="160"/>
      <c r="AC263" s="160"/>
      <c r="AD263" s="160"/>
    </row>
    <row r="264" s="10" customFormat="1" ht="14" spans="1:30">
      <c r="A264" s="6" t="s">
        <v>142</v>
      </c>
      <c r="B264" s="158">
        <v>45987</v>
      </c>
      <c r="C264" s="104" t="str">
        <f t="shared" si="4"/>
        <v>2025年11月</v>
      </c>
      <c r="D264" s="104" t="s">
        <v>10</v>
      </c>
      <c r="E264" s="159" t="s">
        <v>1400</v>
      </c>
      <c r="F264" s="104" t="s">
        <v>1029</v>
      </c>
      <c r="G264" s="195" t="s">
        <v>1011</v>
      </c>
      <c r="H264" s="40" t="s">
        <v>51</v>
      </c>
      <c r="I264" s="155" t="s">
        <v>1897</v>
      </c>
      <c r="J264" s="109" t="s">
        <v>82</v>
      </c>
      <c r="K264" s="160"/>
      <c r="L264" s="161" t="s">
        <v>1898</v>
      </c>
      <c r="M264" s="160" t="s">
        <v>1899</v>
      </c>
      <c r="N264" s="160" t="s">
        <v>1899</v>
      </c>
      <c r="O264" s="187">
        <v>81309.16</v>
      </c>
      <c r="P264" s="160" t="s">
        <v>173</v>
      </c>
      <c r="Q264" s="104" t="s">
        <v>7</v>
      </c>
      <c r="R264" s="162"/>
      <c r="S264" s="162"/>
      <c r="T264" s="158">
        <v>45999</v>
      </c>
      <c r="U264" s="158">
        <v>46000</v>
      </c>
      <c r="V264" s="158">
        <v>46038</v>
      </c>
      <c r="W264" s="158">
        <v>46041</v>
      </c>
      <c r="X264" s="160"/>
      <c r="Y264" s="160"/>
      <c r="Z264" s="160"/>
      <c r="AA264" s="160"/>
      <c r="AB264" s="160"/>
      <c r="AC264" s="160"/>
      <c r="AD264" s="160"/>
    </row>
    <row r="265" s="10" customFormat="1" ht="14" spans="1:30">
      <c r="A265" s="6" t="s">
        <v>207</v>
      </c>
      <c r="B265" s="158">
        <v>45987</v>
      </c>
      <c r="C265" s="104" t="str">
        <f t="shared" si="4"/>
        <v>2025年11月</v>
      </c>
      <c r="D265" s="104" t="s">
        <v>10</v>
      </c>
      <c r="E265" s="159" t="s">
        <v>1400</v>
      </c>
      <c r="F265" s="104" t="s">
        <v>1029</v>
      </c>
      <c r="G265" s="195" t="s">
        <v>1011</v>
      </c>
      <c r="H265" s="40" t="s">
        <v>51</v>
      </c>
      <c r="I265" s="155" t="s">
        <v>1900</v>
      </c>
      <c r="J265" s="109" t="s">
        <v>82</v>
      </c>
      <c r="K265" s="160"/>
      <c r="L265" s="161" t="s">
        <v>1901</v>
      </c>
      <c r="M265" s="160" t="s">
        <v>1902</v>
      </c>
      <c r="N265" s="160" t="s">
        <v>1903</v>
      </c>
      <c r="O265" s="209">
        <v>84040.51</v>
      </c>
      <c r="P265" s="160" t="s">
        <v>173</v>
      </c>
      <c r="Q265" s="104" t="s">
        <v>7</v>
      </c>
      <c r="R265" s="162" t="s">
        <v>1904</v>
      </c>
      <c r="S265" s="162"/>
      <c r="T265" s="160"/>
      <c r="U265" s="160"/>
      <c r="V265" s="160"/>
      <c r="W265" s="160"/>
      <c r="X265" s="160"/>
      <c r="Y265" s="160"/>
      <c r="Z265" s="160"/>
      <c r="AA265" s="160"/>
      <c r="AB265" s="160"/>
      <c r="AC265" s="160"/>
      <c r="AD265" s="160"/>
    </row>
    <row r="266" s="10" customFormat="1" ht="14" spans="1:30">
      <c r="A266" s="6" t="s">
        <v>142</v>
      </c>
      <c r="B266" s="158">
        <v>45988</v>
      </c>
      <c r="C266" s="104" t="str">
        <f t="shared" si="4"/>
        <v>2025年11月</v>
      </c>
      <c r="D266" s="104" t="s">
        <v>11</v>
      </c>
      <c r="E266" s="159" t="s">
        <v>1056</v>
      </c>
      <c r="F266" s="104" t="s">
        <v>1029</v>
      </c>
      <c r="G266" s="195" t="s">
        <v>1007</v>
      </c>
      <c r="H266" s="40" t="s">
        <v>48</v>
      </c>
      <c r="I266" s="155" t="s">
        <v>1905</v>
      </c>
      <c r="J266" s="109" t="s">
        <v>82</v>
      </c>
      <c r="K266" s="160"/>
      <c r="L266" s="161" t="s">
        <v>1243</v>
      </c>
      <c r="M266" s="160" t="s">
        <v>1244</v>
      </c>
      <c r="N266" s="160" t="s">
        <v>1906</v>
      </c>
      <c r="O266" s="187">
        <v>198665</v>
      </c>
      <c r="P266" s="160" t="s">
        <v>173</v>
      </c>
      <c r="Q266" s="104" t="s">
        <v>7</v>
      </c>
      <c r="R266" s="162"/>
      <c r="S266" s="162"/>
      <c r="T266" s="160"/>
      <c r="U266" s="160"/>
      <c r="V266" s="160"/>
      <c r="W266" s="160"/>
      <c r="X266" s="160"/>
      <c r="Y266" s="160"/>
      <c r="Z266" s="160"/>
      <c r="AA266" s="160"/>
      <c r="AB266" s="160"/>
      <c r="AC266" s="160"/>
      <c r="AD266" s="160"/>
    </row>
    <row r="267" s="10" customFormat="1" ht="14" spans="1:30">
      <c r="A267" s="6" t="s">
        <v>142</v>
      </c>
      <c r="B267" s="158">
        <v>45989</v>
      </c>
      <c r="C267" s="104" t="str">
        <f t="shared" si="4"/>
        <v>2025年11月</v>
      </c>
      <c r="D267" s="104" t="s">
        <v>11</v>
      </c>
      <c r="E267" s="159" t="s">
        <v>1321</v>
      </c>
      <c r="F267" s="104" t="s">
        <v>1006</v>
      </c>
      <c r="G267" s="195" t="s">
        <v>1007</v>
      </c>
      <c r="H267" s="40" t="s">
        <v>52</v>
      </c>
      <c r="I267" s="155" t="s">
        <v>1907</v>
      </c>
      <c r="J267" s="109" t="s">
        <v>82</v>
      </c>
      <c r="K267" s="160"/>
      <c r="L267" s="161" t="s">
        <v>1703</v>
      </c>
      <c r="M267" s="160" t="s">
        <v>1908</v>
      </c>
      <c r="N267" s="160" t="s">
        <v>1909</v>
      </c>
      <c r="O267" s="187">
        <v>2</v>
      </c>
      <c r="P267" s="160" t="s">
        <v>149</v>
      </c>
      <c r="Q267" s="104" t="s">
        <v>105</v>
      </c>
      <c r="R267" s="162"/>
      <c r="S267" s="162"/>
      <c r="T267" s="160"/>
      <c r="U267" s="160"/>
      <c r="V267" s="160"/>
      <c r="W267" s="160"/>
      <c r="X267" s="160"/>
      <c r="Y267" s="160"/>
      <c r="Z267" s="160"/>
      <c r="AA267" s="160"/>
      <c r="AB267" s="160"/>
      <c r="AC267" s="160"/>
      <c r="AD267" s="160"/>
    </row>
    <row r="268" s="10" customFormat="1" ht="14" spans="1:30">
      <c r="A268" s="6" t="s">
        <v>207</v>
      </c>
      <c r="B268" s="158">
        <v>45989</v>
      </c>
      <c r="C268" s="104" t="str">
        <f t="shared" si="4"/>
        <v>2025年11月</v>
      </c>
      <c r="D268" s="104" t="s">
        <v>11</v>
      </c>
      <c r="E268" s="159" t="s">
        <v>1064</v>
      </c>
      <c r="F268" s="104" t="s">
        <v>1029</v>
      </c>
      <c r="G268" s="195" t="s">
        <v>1007</v>
      </c>
      <c r="H268" s="40" t="s">
        <v>48</v>
      </c>
      <c r="I268" s="155" t="s">
        <v>1910</v>
      </c>
      <c r="J268" s="109" t="s">
        <v>82</v>
      </c>
      <c r="K268" s="160"/>
      <c r="L268" s="161" t="s">
        <v>1911</v>
      </c>
      <c r="M268" s="160" t="s">
        <v>1912</v>
      </c>
      <c r="N268" s="162" t="s">
        <v>1913</v>
      </c>
      <c r="O268" s="187">
        <v>5900</v>
      </c>
      <c r="P268" s="160" t="s">
        <v>173</v>
      </c>
      <c r="Q268" s="104" t="s">
        <v>7</v>
      </c>
      <c r="R268" s="162" t="s">
        <v>1914</v>
      </c>
      <c r="S268" s="162"/>
      <c r="T268" s="160"/>
      <c r="U268" s="160"/>
      <c r="V268" s="160"/>
      <c r="W268" s="160"/>
      <c r="X268" s="160"/>
      <c r="Y268" s="160"/>
      <c r="Z268" s="160"/>
      <c r="AA268" s="160"/>
      <c r="AB268" s="160"/>
      <c r="AC268" s="160"/>
      <c r="AD268" s="160"/>
    </row>
    <row r="269" s="10" customFormat="1" ht="14" spans="1:30">
      <c r="A269" s="6" t="s">
        <v>207</v>
      </c>
      <c r="B269" s="158">
        <v>45990</v>
      </c>
      <c r="C269" s="104" t="str">
        <f t="shared" si="4"/>
        <v>2025年11月</v>
      </c>
      <c r="D269" s="104" t="s">
        <v>10</v>
      </c>
      <c r="E269" s="159" t="s">
        <v>1915</v>
      </c>
      <c r="F269" s="104" t="s">
        <v>1006</v>
      </c>
      <c r="G269" s="195" t="s">
        <v>1007</v>
      </c>
      <c r="H269" s="40" t="s">
        <v>40</v>
      </c>
      <c r="I269" s="155" t="s">
        <v>1916</v>
      </c>
      <c r="J269" s="109" t="s">
        <v>82</v>
      </c>
      <c r="K269" s="160"/>
      <c r="L269" s="161" t="s">
        <v>1526</v>
      </c>
      <c r="M269" s="160" t="s">
        <v>1917</v>
      </c>
      <c r="N269" s="160" t="s">
        <v>1528</v>
      </c>
      <c r="O269" s="187">
        <v>100</v>
      </c>
      <c r="P269" s="160" t="s">
        <v>139</v>
      </c>
      <c r="Q269" s="104" t="s">
        <v>105</v>
      </c>
      <c r="R269" s="162" t="s">
        <v>689</v>
      </c>
      <c r="S269" s="162"/>
      <c r="T269" s="160"/>
      <c r="U269" s="160"/>
      <c r="V269" s="160"/>
      <c r="W269" s="160"/>
      <c r="X269" s="160"/>
      <c r="Y269" s="160"/>
      <c r="Z269" s="160"/>
      <c r="AA269" s="160"/>
      <c r="AB269" s="160"/>
      <c r="AC269" s="160"/>
      <c r="AD269" s="160"/>
    </row>
    <row r="270" s="10" customFormat="1" ht="14" spans="1:30">
      <c r="A270" s="6" t="s">
        <v>207</v>
      </c>
      <c r="B270" s="158">
        <v>45992</v>
      </c>
      <c r="C270" s="104" t="str">
        <f t="shared" si="4"/>
        <v>2025年12月</v>
      </c>
      <c r="D270" s="104" t="s">
        <v>10</v>
      </c>
      <c r="E270" s="159" t="s">
        <v>1918</v>
      </c>
      <c r="F270" s="104" t="s">
        <v>1006</v>
      </c>
      <c r="G270" s="195" t="s">
        <v>1007</v>
      </c>
      <c r="H270" s="40" t="s">
        <v>39</v>
      </c>
      <c r="I270" s="155" t="s">
        <v>1919</v>
      </c>
      <c r="J270" s="109" t="s">
        <v>82</v>
      </c>
      <c r="K270" s="160"/>
      <c r="L270" s="161" t="s">
        <v>1920</v>
      </c>
      <c r="M270" s="160" t="s">
        <v>1921</v>
      </c>
      <c r="N270" s="160" t="s">
        <v>1922</v>
      </c>
      <c r="O270" s="187">
        <v>803</v>
      </c>
      <c r="P270" s="160" t="s">
        <v>173</v>
      </c>
      <c r="Q270" s="104" t="s">
        <v>105</v>
      </c>
      <c r="R270" s="162" t="s">
        <v>1923</v>
      </c>
      <c r="S270" s="162"/>
      <c r="T270" s="160"/>
      <c r="U270" s="160"/>
      <c r="V270" s="160"/>
      <c r="W270" s="160"/>
      <c r="X270" s="160"/>
      <c r="Y270" s="160"/>
      <c r="Z270" s="160"/>
      <c r="AA270" s="160"/>
      <c r="AB270" s="160"/>
      <c r="AC270" s="160"/>
      <c r="AD270" s="160"/>
    </row>
    <row r="271" s="10" customFormat="1" ht="14" spans="1:30">
      <c r="A271" s="6" t="s">
        <v>142</v>
      </c>
      <c r="B271" s="158">
        <v>45993</v>
      </c>
      <c r="C271" s="104" t="str">
        <f t="shared" si="4"/>
        <v>2025年12月</v>
      </c>
      <c r="D271" s="104" t="s">
        <v>11</v>
      </c>
      <c r="E271" s="159" t="s">
        <v>1321</v>
      </c>
      <c r="F271" s="104" t="s">
        <v>1006</v>
      </c>
      <c r="G271" s="195" t="s">
        <v>1011</v>
      </c>
      <c r="H271" s="40" t="s">
        <v>52</v>
      </c>
      <c r="I271" s="155" t="s">
        <v>1924</v>
      </c>
      <c r="J271" s="109" t="s">
        <v>82</v>
      </c>
      <c r="K271" s="160" t="s">
        <v>1925</v>
      </c>
      <c r="L271" s="161" t="s">
        <v>1885</v>
      </c>
      <c r="M271" s="160" t="s">
        <v>1926</v>
      </c>
      <c r="N271" s="160" t="s">
        <v>1887</v>
      </c>
      <c r="O271" s="187">
        <v>25114</v>
      </c>
      <c r="P271" s="160" t="s">
        <v>149</v>
      </c>
      <c r="Q271" s="104" t="s">
        <v>7</v>
      </c>
      <c r="R271" s="162"/>
      <c r="S271" s="162"/>
      <c r="T271" s="160"/>
      <c r="U271" s="160"/>
      <c r="V271" s="160"/>
      <c r="W271" s="160"/>
      <c r="X271" s="160"/>
      <c r="Y271" s="160"/>
      <c r="Z271" s="160"/>
      <c r="AA271" s="160"/>
      <c r="AB271" s="160"/>
      <c r="AC271" s="160"/>
      <c r="AD271" s="160"/>
    </row>
    <row r="272" s="10" customFormat="1" ht="14" spans="1:30">
      <c r="A272" s="6" t="s">
        <v>207</v>
      </c>
      <c r="B272" s="158">
        <v>45995</v>
      </c>
      <c r="C272" s="104" t="str">
        <f t="shared" si="4"/>
        <v>2025年12月</v>
      </c>
      <c r="D272" s="104" t="s">
        <v>10</v>
      </c>
      <c r="E272" s="159" t="s">
        <v>1927</v>
      </c>
      <c r="F272" s="104" t="s">
        <v>1006</v>
      </c>
      <c r="G272" s="195" t="s">
        <v>1007</v>
      </c>
      <c r="H272" s="40" t="s">
        <v>40</v>
      </c>
      <c r="I272" s="155" t="s">
        <v>1928</v>
      </c>
      <c r="J272" s="109" t="s">
        <v>422</v>
      </c>
      <c r="K272" s="160"/>
      <c r="L272" s="161" t="s">
        <v>1929</v>
      </c>
      <c r="M272" s="160" t="s">
        <v>1930</v>
      </c>
      <c r="N272" s="160" t="s">
        <v>1931</v>
      </c>
      <c r="O272" s="187">
        <v>230</v>
      </c>
      <c r="P272" s="160" t="s">
        <v>80</v>
      </c>
      <c r="Q272" s="104" t="s">
        <v>105</v>
      </c>
      <c r="R272" s="162" t="s">
        <v>781</v>
      </c>
      <c r="S272" s="162" t="s">
        <v>1932</v>
      </c>
      <c r="T272" s="160"/>
      <c r="U272" s="160"/>
      <c r="V272" s="160"/>
      <c r="W272" s="160"/>
      <c r="X272" s="160"/>
      <c r="Y272" s="160"/>
      <c r="Z272" s="160"/>
      <c r="AA272" s="160"/>
      <c r="AB272" s="160"/>
      <c r="AC272" s="160"/>
      <c r="AD272" s="160"/>
    </row>
    <row r="273" s="10" customFormat="1" ht="14" spans="1:30">
      <c r="A273" s="6" t="s">
        <v>207</v>
      </c>
      <c r="B273" s="158">
        <v>45995</v>
      </c>
      <c r="C273" s="104" t="str">
        <f t="shared" si="4"/>
        <v>2025年12月</v>
      </c>
      <c r="D273" s="104" t="s">
        <v>12</v>
      </c>
      <c r="E273" s="159"/>
      <c r="F273" s="104" t="s">
        <v>1029</v>
      </c>
      <c r="G273" s="195" t="s">
        <v>1007</v>
      </c>
      <c r="H273" s="40" t="s">
        <v>39</v>
      </c>
      <c r="I273" s="155" t="s">
        <v>1933</v>
      </c>
      <c r="J273" s="109" t="s">
        <v>82</v>
      </c>
      <c r="K273" s="160"/>
      <c r="L273" s="161" t="s">
        <v>1736</v>
      </c>
      <c r="M273" s="160" t="s">
        <v>1737</v>
      </c>
      <c r="N273" s="160" t="s">
        <v>1934</v>
      </c>
      <c r="O273" s="187">
        <v>200000</v>
      </c>
      <c r="P273" s="160" t="s">
        <v>1062</v>
      </c>
      <c r="Q273" s="104" t="s">
        <v>7</v>
      </c>
      <c r="R273" s="198" t="s">
        <v>1500</v>
      </c>
      <c r="S273" s="162" t="s">
        <v>1935</v>
      </c>
      <c r="T273" s="160"/>
      <c r="U273" s="160"/>
      <c r="V273" s="160"/>
      <c r="W273" s="160"/>
      <c r="X273" s="160"/>
      <c r="Y273" s="160"/>
      <c r="Z273" s="160"/>
      <c r="AA273" s="160"/>
      <c r="AB273" s="160"/>
      <c r="AC273" s="160"/>
      <c r="AD273" s="160"/>
    </row>
    <row r="274" s="10" customFormat="1" ht="14" spans="1:30">
      <c r="A274" s="6" t="s">
        <v>142</v>
      </c>
      <c r="B274" s="158">
        <v>45995</v>
      </c>
      <c r="C274" s="104" t="str">
        <f t="shared" si="4"/>
        <v>2025年12月</v>
      </c>
      <c r="D274" s="104" t="s">
        <v>11</v>
      </c>
      <c r="E274" s="159" t="s">
        <v>1321</v>
      </c>
      <c r="F274" s="104" t="s">
        <v>1006</v>
      </c>
      <c r="G274" s="195" t="s">
        <v>1007</v>
      </c>
      <c r="H274" s="40" t="s">
        <v>52</v>
      </c>
      <c r="I274" s="155" t="s">
        <v>1936</v>
      </c>
      <c r="J274" s="109" t="s">
        <v>82</v>
      </c>
      <c r="K274" s="160"/>
      <c r="L274" s="161" t="s">
        <v>1828</v>
      </c>
      <c r="M274" s="160" t="s">
        <v>1864</v>
      </c>
      <c r="N274" s="160" t="s">
        <v>1937</v>
      </c>
      <c r="O274" s="211">
        <v>18150</v>
      </c>
      <c r="P274" s="160" t="s">
        <v>149</v>
      </c>
      <c r="Q274" s="104" t="s">
        <v>105</v>
      </c>
      <c r="R274" s="162"/>
      <c r="S274" s="162"/>
      <c r="T274" s="160"/>
      <c r="U274" s="160"/>
      <c r="V274" s="160"/>
      <c r="W274" s="160"/>
      <c r="X274" s="160"/>
      <c r="Y274" s="160"/>
      <c r="Z274" s="160"/>
      <c r="AA274" s="160"/>
      <c r="AB274" s="160"/>
      <c r="AC274" s="160"/>
      <c r="AD274" s="160"/>
    </row>
    <row r="275" s="10" customFormat="1" ht="14" spans="1:30">
      <c r="A275" s="6" t="s">
        <v>207</v>
      </c>
      <c r="B275" s="158">
        <v>45996</v>
      </c>
      <c r="C275" s="104" t="str">
        <f t="shared" si="4"/>
        <v>2025年12月</v>
      </c>
      <c r="D275" s="104" t="s">
        <v>11</v>
      </c>
      <c r="E275" s="159" t="s">
        <v>1321</v>
      </c>
      <c r="F275" s="104" t="s">
        <v>1006</v>
      </c>
      <c r="G275" s="195" t="s">
        <v>1007</v>
      </c>
      <c r="H275" s="40" t="s">
        <v>52</v>
      </c>
      <c r="I275" s="155" t="s">
        <v>1938</v>
      </c>
      <c r="J275" s="109" t="s">
        <v>82</v>
      </c>
      <c r="K275" s="160"/>
      <c r="L275" s="161" t="s">
        <v>1939</v>
      </c>
      <c r="M275" s="160" t="s">
        <v>1940</v>
      </c>
      <c r="N275" s="160" t="s">
        <v>1941</v>
      </c>
      <c r="O275" s="209">
        <v>9750</v>
      </c>
      <c r="P275" s="160" t="s">
        <v>149</v>
      </c>
      <c r="Q275" s="104" t="s">
        <v>105</v>
      </c>
      <c r="R275" s="162" t="s">
        <v>685</v>
      </c>
      <c r="S275" s="162"/>
      <c r="T275" s="160"/>
      <c r="U275" s="160"/>
      <c r="V275" s="160"/>
      <c r="W275" s="160"/>
      <c r="X275" s="160"/>
      <c r="Y275" s="160"/>
      <c r="Z275" s="160"/>
      <c r="AA275" s="160"/>
      <c r="AB275" s="160"/>
      <c r="AC275" s="160"/>
      <c r="AD275" s="160"/>
    </row>
    <row r="276" s="10" customFormat="1" ht="14" spans="1:30">
      <c r="A276" s="6" t="s">
        <v>207</v>
      </c>
      <c r="B276" s="158">
        <v>46000</v>
      </c>
      <c r="C276" s="104" t="str">
        <f t="shared" si="4"/>
        <v>2025年12月</v>
      </c>
      <c r="D276" s="104" t="s">
        <v>11</v>
      </c>
      <c r="E276" s="159" t="s">
        <v>1321</v>
      </c>
      <c r="F276" s="104" t="s">
        <v>1006</v>
      </c>
      <c r="G276" s="195" t="s">
        <v>1007</v>
      </c>
      <c r="H276" s="40" t="s">
        <v>52</v>
      </c>
      <c r="I276" s="155" t="s">
        <v>1942</v>
      </c>
      <c r="J276" s="109" t="s">
        <v>82</v>
      </c>
      <c r="K276" s="160"/>
      <c r="L276" s="161" t="s">
        <v>1943</v>
      </c>
      <c r="M276" s="160" t="s">
        <v>1944</v>
      </c>
      <c r="N276" s="160" t="s">
        <v>1945</v>
      </c>
      <c r="O276" s="209">
        <v>20930</v>
      </c>
      <c r="P276" s="160" t="s">
        <v>149</v>
      </c>
      <c r="Q276" s="104" t="s">
        <v>105</v>
      </c>
      <c r="R276" s="162" t="s">
        <v>685</v>
      </c>
      <c r="S276" s="162"/>
      <c r="T276" s="160"/>
      <c r="U276" s="160"/>
      <c r="V276" s="160"/>
      <c r="W276" s="160"/>
      <c r="X276" s="160"/>
      <c r="Y276" s="160"/>
      <c r="Z276" s="160"/>
      <c r="AA276" s="160"/>
      <c r="AB276" s="160"/>
      <c r="AC276" s="160"/>
      <c r="AD276" s="160"/>
    </row>
    <row r="277" s="10" customFormat="1" ht="14" spans="1:30">
      <c r="A277" s="6" t="s">
        <v>207</v>
      </c>
      <c r="B277" s="158">
        <v>46000</v>
      </c>
      <c r="C277" s="104" t="str">
        <f t="shared" si="4"/>
        <v>2025年12月</v>
      </c>
      <c r="D277" s="104" t="s">
        <v>12</v>
      </c>
      <c r="E277" s="159" t="s">
        <v>1437</v>
      </c>
      <c r="F277" s="104" t="s">
        <v>1029</v>
      </c>
      <c r="G277" s="195" t="s">
        <v>1007</v>
      </c>
      <c r="H277" s="40" t="s">
        <v>48</v>
      </c>
      <c r="I277" s="155" t="s">
        <v>1946</v>
      </c>
      <c r="J277" s="109" t="s">
        <v>82</v>
      </c>
      <c r="K277" s="160"/>
      <c r="L277" s="161" t="s">
        <v>1439</v>
      </c>
      <c r="M277" s="160" t="s">
        <v>1440</v>
      </c>
      <c r="N277" s="160" t="s">
        <v>1441</v>
      </c>
      <c r="O277" s="187">
        <v>84725.19</v>
      </c>
      <c r="P277" s="160" t="s">
        <v>149</v>
      </c>
      <c r="Q277" s="104" t="s">
        <v>7</v>
      </c>
      <c r="R277" s="162" t="s">
        <v>1523</v>
      </c>
      <c r="S277" s="162"/>
      <c r="T277" s="160"/>
      <c r="U277" s="160"/>
      <c r="V277" s="160"/>
      <c r="W277" s="160"/>
      <c r="X277" s="160"/>
      <c r="Y277" s="160"/>
      <c r="Z277" s="160"/>
      <c r="AA277" s="160"/>
      <c r="AB277" s="160"/>
      <c r="AC277" s="160"/>
      <c r="AD277" s="160"/>
    </row>
    <row r="278" s="10" customFormat="1" ht="14" spans="1:30">
      <c r="A278" s="6" t="s">
        <v>207</v>
      </c>
      <c r="B278" s="158">
        <v>46001</v>
      </c>
      <c r="C278" s="104" t="str">
        <f t="shared" si="4"/>
        <v>2025年12月</v>
      </c>
      <c r="D278" s="104" t="s">
        <v>11</v>
      </c>
      <c r="E278" s="159" t="s">
        <v>1064</v>
      </c>
      <c r="F278" s="104" t="s">
        <v>1006</v>
      </c>
      <c r="G278" s="195" t="s">
        <v>1007</v>
      </c>
      <c r="H278" s="40" t="s">
        <v>39</v>
      </c>
      <c r="I278" s="155" t="s">
        <v>1947</v>
      </c>
      <c r="J278" s="109" t="s">
        <v>82</v>
      </c>
      <c r="K278" s="160"/>
      <c r="L278" s="161" t="s">
        <v>1948</v>
      </c>
      <c r="M278" s="160" t="s">
        <v>1949</v>
      </c>
      <c r="N278" s="160" t="s">
        <v>1950</v>
      </c>
      <c r="O278" s="187">
        <v>7630.8</v>
      </c>
      <c r="P278" s="160" t="s">
        <v>173</v>
      </c>
      <c r="Q278" s="104" t="s">
        <v>105</v>
      </c>
      <c r="R278" s="162" t="s">
        <v>1537</v>
      </c>
      <c r="S278" s="162"/>
      <c r="T278" s="160"/>
      <c r="U278" s="160"/>
      <c r="V278" s="160"/>
      <c r="W278" s="160"/>
      <c r="X278" s="160"/>
      <c r="Y278" s="160"/>
      <c r="Z278" s="160"/>
      <c r="AA278" s="160"/>
      <c r="AB278" s="160"/>
      <c r="AC278" s="160"/>
      <c r="AD278" s="160"/>
    </row>
    <row r="279" s="10" customFormat="1" ht="14" spans="1:30">
      <c r="A279" s="6" t="s">
        <v>207</v>
      </c>
      <c r="B279" s="158">
        <v>46001</v>
      </c>
      <c r="C279" s="104" t="str">
        <f t="shared" si="4"/>
        <v>2025年12月</v>
      </c>
      <c r="D279" s="104" t="s">
        <v>11</v>
      </c>
      <c r="E279" s="159" t="s">
        <v>1321</v>
      </c>
      <c r="F279" s="104" t="s">
        <v>1006</v>
      </c>
      <c r="G279" s="195" t="s">
        <v>1011</v>
      </c>
      <c r="H279" s="40" t="s">
        <v>52</v>
      </c>
      <c r="I279" s="155" t="s">
        <v>1951</v>
      </c>
      <c r="J279" s="109" t="s">
        <v>82</v>
      </c>
      <c r="K279" s="160"/>
      <c r="L279" s="161" t="s">
        <v>1952</v>
      </c>
      <c r="M279" s="160" t="s">
        <v>1953</v>
      </c>
      <c r="N279" s="160" t="s">
        <v>1954</v>
      </c>
      <c r="O279" s="187">
        <v>10200</v>
      </c>
      <c r="P279" s="160" t="s">
        <v>149</v>
      </c>
      <c r="Q279" s="104" t="s">
        <v>7</v>
      </c>
      <c r="R279" s="162" t="s">
        <v>685</v>
      </c>
      <c r="S279" s="162"/>
      <c r="T279" s="160"/>
      <c r="U279" s="160"/>
      <c r="V279" s="160"/>
      <c r="W279" s="160"/>
      <c r="X279" s="160"/>
      <c r="Y279" s="160"/>
      <c r="Z279" s="160"/>
      <c r="AA279" s="160"/>
      <c r="AB279" s="160"/>
      <c r="AC279" s="160"/>
      <c r="AD279" s="160"/>
    </row>
    <row r="280" s="10" customFormat="1" ht="14" spans="1:30">
      <c r="A280" s="6" t="s">
        <v>207</v>
      </c>
      <c r="B280" s="158">
        <v>46002</v>
      </c>
      <c r="C280" s="104" t="str">
        <f t="shared" si="4"/>
        <v>2025年12月</v>
      </c>
      <c r="D280" s="104" t="s">
        <v>11</v>
      </c>
      <c r="E280" s="159"/>
      <c r="F280" s="6" t="s">
        <v>1006</v>
      </c>
      <c r="G280" s="195" t="s">
        <v>1011</v>
      </c>
      <c r="H280" s="40" t="s">
        <v>47</v>
      </c>
      <c r="I280" s="155" t="s">
        <v>1955</v>
      </c>
      <c r="J280" s="109" t="s">
        <v>82</v>
      </c>
      <c r="K280" s="160"/>
      <c r="L280" s="161" t="s">
        <v>1956</v>
      </c>
      <c r="M280" s="160" t="s">
        <v>1957</v>
      </c>
      <c r="N280" s="160" t="s">
        <v>1958</v>
      </c>
      <c r="O280" s="187">
        <v>11960</v>
      </c>
      <c r="P280" s="160" t="s">
        <v>173</v>
      </c>
      <c r="Q280" s="104" t="s">
        <v>7</v>
      </c>
      <c r="R280" s="162" t="s">
        <v>1959</v>
      </c>
      <c r="S280" s="162"/>
      <c r="T280" s="158">
        <v>46008</v>
      </c>
      <c r="U280" s="160"/>
      <c r="V280" s="160"/>
      <c r="W280" s="160"/>
      <c r="X280" s="160"/>
      <c r="Y280" s="160"/>
      <c r="Z280" s="160"/>
      <c r="AA280" s="160"/>
      <c r="AB280" s="160"/>
      <c r="AC280" s="160"/>
      <c r="AD280" s="160"/>
    </row>
    <row r="281" s="10" customFormat="1" ht="14" spans="1:30">
      <c r="A281" s="6" t="s">
        <v>1960</v>
      </c>
      <c r="B281" s="158">
        <v>46002</v>
      </c>
      <c r="C281" s="104" t="str">
        <f t="shared" si="4"/>
        <v>2025年12月</v>
      </c>
      <c r="D281" s="104" t="s">
        <v>12</v>
      </c>
      <c r="E281" s="159" t="s">
        <v>1684</v>
      </c>
      <c r="F281" s="104" t="s">
        <v>1029</v>
      </c>
      <c r="G281" s="195" t="s">
        <v>1007</v>
      </c>
      <c r="H281" s="40" t="s">
        <v>48</v>
      </c>
      <c r="I281" s="155" t="s">
        <v>1961</v>
      </c>
      <c r="J281" s="109" t="s">
        <v>82</v>
      </c>
      <c r="K281" s="160"/>
      <c r="L281" s="161" t="s">
        <v>906</v>
      </c>
      <c r="M281" s="160" t="s">
        <v>907</v>
      </c>
      <c r="N281" s="160" t="s">
        <v>1962</v>
      </c>
      <c r="O281" s="187">
        <v>260500</v>
      </c>
      <c r="P281" s="160" t="s">
        <v>173</v>
      </c>
      <c r="Q281" s="104" t="s">
        <v>7</v>
      </c>
      <c r="R281" s="198" t="s">
        <v>1724</v>
      </c>
      <c r="S281" s="162"/>
      <c r="T281" s="160"/>
      <c r="U281" s="160"/>
      <c r="V281" s="160"/>
      <c r="W281" s="160"/>
      <c r="X281" s="160"/>
      <c r="Y281" s="160"/>
      <c r="Z281" s="160"/>
      <c r="AA281" s="160"/>
      <c r="AB281" s="160"/>
      <c r="AC281" s="160"/>
      <c r="AD281" s="160"/>
    </row>
    <row r="282" s="10" customFormat="1" ht="14" spans="1:30">
      <c r="A282" s="6" t="s">
        <v>207</v>
      </c>
      <c r="B282" s="158">
        <v>46002</v>
      </c>
      <c r="C282" s="104" t="str">
        <f t="shared" si="4"/>
        <v>2025年12月</v>
      </c>
      <c r="D282" s="104" t="s">
        <v>11</v>
      </c>
      <c r="E282" s="159" t="s">
        <v>1321</v>
      </c>
      <c r="F282" s="6" t="s">
        <v>1006</v>
      </c>
      <c r="G282" s="195" t="s">
        <v>1011</v>
      </c>
      <c r="H282" s="40" t="s">
        <v>52</v>
      </c>
      <c r="I282" s="155" t="s">
        <v>1963</v>
      </c>
      <c r="J282" s="109" t="s">
        <v>82</v>
      </c>
      <c r="K282" s="160"/>
      <c r="L282" s="161" t="s">
        <v>1719</v>
      </c>
      <c r="M282" s="160" t="s">
        <v>1964</v>
      </c>
      <c r="N282" s="160" t="s">
        <v>1721</v>
      </c>
      <c r="O282" s="187">
        <v>29852</v>
      </c>
      <c r="P282" s="160" t="s">
        <v>149</v>
      </c>
      <c r="Q282" s="104" t="s">
        <v>7</v>
      </c>
      <c r="R282" s="162" t="s">
        <v>685</v>
      </c>
      <c r="S282" s="162"/>
      <c r="T282" s="160"/>
      <c r="U282" s="160"/>
      <c r="V282" s="160"/>
      <c r="W282" s="160"/>
      <c r="X282" s="160"/>
      <c r="Y282" s="160"/>
      <c r="Z282" s="160"/>
      <c r="AA282" s="160"/>
      <c r="AB282" s="160"/>
      <c r="AC282" s="160"/>
      <c r="AD282" s="160"/>
    </row>
    <row r="283" s="10" customFormat="1" ht="26" spans="1:30">
      <c r="A283" s="6" t="s">
        <v>142</v>
      </c>
      <c r="B283" s="158">
        <v>46006</v>
      </c>
      <c r="C283" s="104" t="str">
        <f t="shared" si="4"/>
        <v>2025年12月</v>
      </c>
      <c r="D283" s="104" t="s">
        <v>12</v>
      </c>
      <c r="E283" s="159"/>
      <c r="F283" s="104" t="s">
        <v>1029</v>
      </c>
      <c r="G283" s="195" t="s">
        <v>1007</v>
      </c>
      <c r="H283" s="40" t="s">
        <v>48</v>
      </c>
      <c r="I283" s="208" t="s">
        <v>1965</v>
      </c>
      <c r="J283" s="109" t="s">
        <v>82</v>
      </c>
      <c r="K283" s="160"/>
      <c r="L283" s="161" t="s">
        <v>1966</v>
      </c>
      <c r="M283" s="160" t="s">
        <v>1967</v>
      </c>
      <c r="N283" s="160" t="s">
        <v>1817</v>
      </c>
      <c r="O283" s="187">
        <v>204776.12</v>
      </c>
      <c r="P283" s="160" t="s">
        <v>173</v>
      </c>
      <c r="Q283" s="104" t="s">
        <v>7</v>
      </c>
      <c r="R283" s="162"/>
      <c r="S283" s="162"/>
      <c r="T283" s="158">
        <v>46015</v>
      </c>
      <c r="U283" s="158">
        <v>46016</v>
      </c>
      <c r="V283" s="160"/>
      <c r="W283" s="160"/>
      <c r="X283" s="160"/>
      <c r="Y283" s="160"/>
      <c r="Z283" s="160"/>
      <c r="AA283" s="160"/>
      <c r="AB283" s="160"/>
      <c r="AC283" s="160"/>
      <c r="AD283" s="160"/>
    </row>
    <row r="284" s="10" customFormat="1" ht="14" spans="1:30">
      <c r="A284" s="6" t="s">
        <v>1960</v>
      </c>
      <c r="B284" s="158">
        <v>46006</v>
      </c>
      <c r="C284" s="104" t="str">
        <f t="shared" si="4"/>
        <v>2025年12月</v>
      </c>
      <c r="D284" s="104" t="s">
        <v>11</v>
      </c>
      <c r="E284" s="159" t="s">
        <v>1684</v>
      </c>
      <c r="F284" s="104" t="s">
        <v>1006</v>
      </c>
      <c r="G284" s="195" t="s">
        <v>1678</v>
      </c>
      <c r="H284" s="40" t="s">
        <v>39</v>
      </c>
      <c r="I284" s="155" t="s">
        <v>1968</v>
      </c>
      <c r="J284" s="109" t="s">
        <v>82</v>
      </c>
      <c r="K284" s="160"/>
      <c r="L284" s="161" t="s">
        <v>1969</v>
      </c>
      <c r="M284" s="160" t="s">
        <v>1970</v>
      </c>
      <c r="N284" s="160" t="s">
        <v>1971</v>
      </c>
      <c r="O284" s="209">
        <v>41991.52</v>
      </c>
      <c r="P284" s="160" t="s">
        <v>173</v>
      </c>
      <c r="Q284" s="104" t="s">
        <v>7</v>
      </c>
      <c r="R284" s="162" t="s">
        <v>1724</v>
      </c>
      <c r="S284" s="162"/>
      <c r="T284" s="160"/>
      <c r="U284" s="160"/>
      <c r="V284" s="160"/>
      <c r="W284" s="160"/>
      <c r="X284" s="160"/>
      <c r="Y284" s="160"/>
      <c r="Z284" s="160"/>
      <c r="AA284" s="160"/>
      <c r="AB284" s="160"/>
      <c r="AC284" s="160"/>
      <c r="AD284" s="160"/>
    </row>
    <row r="285" s="10" customFormat="1" ht="14" spans="1:30">
      <c r="A285" s="6" t="s">
        <v>142</v>
      </c>
      <c r="B285" s="158">
        <v>46006</v>
      </c>
      <c r="C285" s="104" t="str">
        <f t="shared" si="4"/>
        <v>2025年12月</v>
      </c>
      <c r="D285" s="104" t="s">
        <v>11</v>
      </c>
      <c r="E285" s="159"/>
      <c r="F285" s="104" t="s">
        <v>1006</v>
      </c>
      <c r="G285" s="195" t="s">
        <v>1007</v>
      </c>
      <c r="H285" s="40" t="s">
        <v>39</v>
      </c>
      <c r="I285" s="155" t="s">
        <v>1972</v>
      </c>
      <c r="J285" s="109" t="s">
        <v>82</v>
      </c>
      <c r="K285" s="160"/>
      <c r="L285" s="161" t="s">
        <v>1198</v>
      </c>
      <c r="M285" s="160" t="s">
        <v>1973</v>
      </c>
      <c r="N285" s="160" t="s">
        <v>1974</v>
      </c>
      <c r="O285" s="187">
        <v>123901.2</v>
      </c>
      <c r="P285" s="160" t="s">
        <v>173</v>
      </c>
      <c r="Q285" s="104" t="s">
        <v>105</v>
      </c>
      <c r="R285" s="162"/>
      <c r="S285" s="162"/>
      <c r="T285" s="160"/>
      <c r="U285" s="160"/>
      <c r="V285" s="160"/>
      <c r="W285" s="160"/>
      <c r="X285" s="160"/>
      <c r="Y285" s="160"/>
      <c r="Z285" s="160"/>
      <c r="AA285" s="160"/>
      <c r="AB285" s="160"/>
      <c r="AC285" s="160"/>
      <c r="AD285" s="160"/>
    </row>
    <row r="286" s="10" customFormat="1" ht="14" spans="1:30">
      <c r="A286" s="6" t="s">
        <v>207</v>
      </c>
      <c r="B286" s="158">
        <v>46007</v>
      </c>
      <c r="C286" s="104" t="str">
        <f t="shared" si="4"/>
        <v>2025年12月</v>
      </c>
      <c r="D286" s="104" t="s">
        <v>12</v>
      </c>
      <c r="E286" s="159"/>
      <c r="F286" s="104" t="s">
        <v>1029</v>
      </c>
      <c r="G286" s="195" t="s">
        <v>1011</v>
      </c>
      <c r="H286" s="40" t="s">
        <v>44</v>
      </c>
      <c r="I286" s="155" t="s">
        <v>1975</v>
      </c>
      <c r="J286" s="109" t="s">
        <v>82</v>
      </c>
      <c r="K286" s="160"/>
      <c r="L286" s="161" t="s">
        <v>1976</v>
      </c>
      <c r="M286" s="160" t="s">
        <v>1977</v>
      </c>
      <c r="N286" s="160" t="s">
        <v>1978</v>
      </c>
      <c r="O286" s="187">
        <v>50000000</v>
      </c>
      <c r="P286" s="160" t="s">
        <v>1172</v>
      </c>
      <c r="Q286" s="104" t="s">
        <v>7</v>
      </c>
      <c r="R286" s="162" t="s">
        <v>1914</v>
      </c>
      <c r="S286" s="162"/>
      <c r="T286" s="160"/>
      <c r="U286" s="160"/>
      <c r="V286" s="160"/>
      <c r="W286" s="160"/>
      <c r="X286" s="160"/>
      <c r="Y286" s="160"/>
      <c r="Z286" s="160"/>
      <c r="AA286" s="160"/>
      <c r="AB286" s="160"/>
      <c r="AC286" s="160"/>
      <c r="AD286" s="160"/>
    </row>
    <row r="287" s="10" customFormat="1" ht="14" spans="1:30">
      <c r="A287" s="6" t="s">
        <v>207</v>
      </c>
      <c r="B287" s="158">
        <v>46007</v>
      </c>
      <c r="C287" s="104" t="str">
        <f t="shared" si="4"/>
        <v>2025年12月</v>
      </c>
      <c r="D287" s="104" t="s">
        <v>11</v>
      </c>
      <c r="E287" s="159" t="s">
        <v>1321</v>
      </c>
      <c r="F287" s="104" t="s">
        <v>1006</v>
      </c>
      <c r="G287" s="195" t="s">
        <v>1007</v>
      </c>
      <c r="H287" s="40" t="s">
        <v>52</v>
      </c>
      <c r="I287" s="155" t="s">
        <v>1979</v>
      </c>
      <c r="J287" s="109" t="s">
        <v>82</v>
      </c>
      <c r="K287" s="160"/>
      <c r="L287" s="161" t="s">
        <v>1637</v>
      </c>
      <c r="M287" s="160" t="s">
        <v>1980</v>
      </c>
      <c r="N287" s="160" t="s">
        <v>1639</v>
      </c>
      <c r="O287" s="209">
        <v>48742</v>
      </c>
      <c r="P287" s="160" t="s">
        <v>149</v>
      </c>
      <c r="Q287" s="104" t="s">
        <v>105</v>
      </c>
      <c r="R287" s="162" t="s">
        <v>685</v>
      </c>
      <c r="S287" s="162"/>
      <c r="T287" s="160"/>
      <c r="U287" s="160"/>
      <c r="V287" s="160"/>
      <c r="W287" s="160"/>
      <c r="X287" s="160"/>
      <c r="Y287" s="160"/>
      <c r="Z287" s="160"/>
      <c r="AA287" s="160"/>
      <c r="AB287" s="160"/>
      <c r="AC287" s="160"/>
      <c r="AD287" s="160"/>
    </row>
    <row r="288" s="10" customFormat="1" ht="52" spans="1:30">
      <c r="A288" s="6" t="s">
        <v>142</v>
      </c>
      <c r="B288" s="158">
        <v>46008</v>
      </c>
      <c r="C288" s="104" t="str">
        <f t="shared" si="4"/>
        <v>2025年12月</v>
      </c>
      <c r="D288" s="104" t="s">
        <v>12</v>
      </c>
      <c r="E288" s="159" t="s">
        <v>1340</v>
      </c>
      <c r="F288" s="104" t="s">
        <v>1029</v>
      </c>
      <c r="G288" s="195" t="s">
        <v>1007</v>
      </c>
      <c r="H288" s="40" t="s">
        <v>44</v>
      </c>
      <c r="I288" s="208" t="s">
        <v>1981</v>
      </c>
      <c r="J288" s="109" t="s">
        <v>82</v>
      </c>
      <c r="K288" s="160"/>
      <c r="L288" s="161" t="s">
        <v>1342</v>
      </c>
      <c r="M288" s="160" t="s">
        <v>1343</v>
      </c>
      <c r="N288" s="160" t="s">
        <v>1862</v>
      </c>
      <c r="O288" s="187">
        <v>160088</v>
      </c>
      <c r="P288" s="160" t="s">
        <v>1466</v>
      </c>
      <c r="Q288" s="104" t="s">
        <v>7</v>
      </c>
      <c r="R288" s="162"/>
      <c r="S288" s="162"/>
      <c r="T288" s="160"/>
      <c r="U288" s="160"/>
      <c r="V288" s="160"/>
      <c r="W288" s="160"/>
      <c r="X288" s="160"/>
      <c r="Y288" s="160"/>
      <c r="Z288" s="160"/>
      <c r="AA288" s="160"/>
      <c r="AB288" s="160"/>
      <c r="AC288" s="160"/>
      <c r="AD288" s="160"/>
    </row>
    <row r="289" s="10" customFormat="1" ht="14" spans="1:30">
      <c r="A289" s="6" t="s">
        <v>207</v>
      </c>
      <c r="B289" s="158">
        <v>46009</v>
      </c>
      <c r="C289" s="104" t="str">
        <f t="shared" si="4"/>
        <v>2025年12月</v>
      </c>
      <c r="D289" s="104" t="s">
        <v>11</v>
      </c>
      <c r="E289" s="159" t="s">
        <v>1982</v>
      </c>
      <c r="F289" s="104" t="s">
        <v>1006</v>
      </c>
      <c r="G289" s="195" t="s">
        <v>1011</v>
      </c>
      <c r="H289" s="40" t="s">
        <v>41</v>
      </c>
      <c r="I289" s="155" t="s">
        <v>1983</v>
      </c>
      <c r="J289" s="109" t="s">
        <v>82</v>
      </c>
      <c r="K289" s="160"/>
      <c r="L289" s="161" t="s">
        <v>1984</v>
      </c>
      <c r="M289" s="160" t="s">
        <v>1985</v>
      </c>
      <c r="N289" s="160" t="s">
        <v>1986</v>
      </c>
      <c r="O289" s="209">
        <v>3860000</v>
      </c>
      <c r="P289" s="160" t="s">
        <v>1037</v>
      </c>
      <c r="Q289" s="104" t="s">
        <v>7</v>
      </c>
      <c r="R289" s="162" t="s">
        <v>1987</v>
      </c>
      <c r="S289" s="162"/>
      <c r="T289" s="158">
        <v>46017</v>
      </c>
      <c r="U289" s="158">
        <v>46031</v>
      </c>
      <c r="V289" s="160"/>
      <c r="W289" s="160"/>
      <c r="X289" s="160"/>
      <c r="Y289" s="160"/>
      <c r="Z289" s="160"/>
      <c r="AA289" s="160"/>
      <c r="AB289" s="160"/>
      <c r="AC289" s="160"/>
      <c r="AD289" s="160"/>
    </row>
    <row r="290" s="10" customFormat="1" ht="26" spans="1:30">
      <c r="A290" s="6" t="s">
        <v>142</v>
      </c>
      <c r="B290" s="158">
        <v>46009</v>
      </c>
      <c r="C290" s="104" t="str">
        <f t="shared" si="4"/>
        <v>2025年12月</v>
      </c>
      <c r="D290" s="104" t="s">
        <v>12</v>
      </c>
      <c r="E290" s="159" t="s">
        <v>1988</v>
      </c>
      <c r="F290" s="104" t="s">
        <v>1029</v>
      </c>
      <c r="G290" s="195" t="s">
        <v>1011</v>
      </c>
      <c r="H290" s="40" t="s">
        <v>48</v>
      </c>
      <c r="I290" s="155" t="s">
        <v>1989</v>
      </c>
      <c r="J290" s="109" t="s">
        <v>82</v>
      </c>
      <c r="K290" s="160"/>
      <c r="L290" s="161" t="s">
        <v>1990</v>
      </c>
      <c r="M290" s="173" t="s">
        <v>1991</v>
      </c>
      <c r="N290" s="162" t="s">
        <v>1992</v>
      </c>
      <c r="O290" s="211">
        <v>208156</v>
      </c>
      <c r="P290" s="160" t="s">
        <v>173</v>
      </c>
      <c r="Q290" s="104" t="s">
        <v>7</v>
      </c>
      <c r="R290" s="162"/>
      <c r="S290" s="162"/>
      <c r="T290" s="160"/>
      <c r="U290" s="160"/>
      <c r="V290" s="160"/>
      <c r="W290" s="160"/>
      <c r="X290" s="160"/>
      <c r="Y290" s="160"/>
      <c r="Z290" s="160"/>
      <c r="AA290" s="160"/>
      <c r="AB290" s="160"/>
      <c r="AC290" s="160"/>
      <c r="AD290" s="160"/>
    </row>
    <row r="291" s="10" customFormat="1" ht="14" spans="1:30">
      <c r="A291" s="6" t="s">
        <v>142</v>
      </c>
      <c r="B291" s="158">
        <v>46009</v>
      </c>
      <c r="C291" s="104" t="str">
        <f t="shared" si="4"/>
        <v>2025年12月</v>
      </c>
      <c r="D291" s="104" t="s">
        <v>10</v>
      </c>
      <c r="E291" s="159"/>
      <c r="F291" s="104" t="s">
        <v>1006</v>
      </c>
      <c r="G291" s="195" t="s">
        <v>1007</v>
      </c>
      <c r="H291" s="40" t="s">
        <v>40</v>
      </c>
      <c r="I291" s="155" t="s">
        <v>1993</v>
      </c>
      <c r="J291" s="109" t="s">
        <v>82</v>
      </c>
      <c r="K291" s="160"/>
      <c r="L291" s="161" t="s">
        <v>1994</v>
      </c>
      <c r="M291" s="160" t="s">
        <v>1995</v>
      </c>
      <c r="N291" s="160" t="s">
        <v>1996</v>
      </c>
      <c r="O291" s="187">
        <v>95</v>
      </c>
      <c r="P291" s="160" t="s">
        <v>139</v>
      </c>
      <c r="Q291" s="104" t="s">
        <v>105</v>
      </c>
      <c r="R291" s="162"/>
      <c r="S291" s="162"/>
      <c r="T291" s="158">
        <v>46014</v>
      </c>
      <c r="U291" s="158">
        <v>46014</v>
      </c>
      <c r="V291" s="160"/>
      <c r="W291" s="160"/>
      <c r="X291" s="160"/>
      <c r="Y291" s="160"/>
      <c r="Z291" s="160"/>
      <c r="AA291" s="160"/>
      <c r="AB291" s="160"/>
      <c r="AC291" s="160"/>
      <c r="AD291" s="160"/>
    </row>
    <row r="292" s="10" customFormat="1" ht="14" spans="1:30">
      <c r="A292" s="6" t="s">
        <v>207</v>
      </c>
      <c r="B292" s="158">
        <v>46010</v>
      </c>
      <c r="C292" s="104" t="str">
        <f t="shared" si="4"/>
        <v>2025年12月</v>
      </c>
      <c r="D292" s="104" t="s">
        <v>11</v>
      </c>
      <c r="E292" s="159" t="s">
        <v>1064</v>
      </c>
      <c r="F292" s="104" t="s">
        <v>1006</v>
      </c>
      <c r="G292" s="195" t="s">
        <v>1007</v>
      </c>
      <c r="H292" s="40" t="s">
        <v>47</v>
      </c>
      <c r="I292" s="155" t="s">
        <v>1997</v>
      </c>
      <c r="J292" s="109" t="s">
        <v>787</v>
      </c>
      <c r="K292" s="160"/>
      <c r="L292" s="161" t="s">
        <v>1998</v>
      </c>
      <c r="M292" s="160" t="s">
        <v>1999</v>
      </c>
      <c r="N292" s="160" t="s">
        <v>2000</v>
      </c>
      <c r="O292" s="187">
        <v>315</v>
      </c>
      <c r="P292" s="160" t="s">
        <v>173</v>
      </c>
      <c r="Q292" s="104" t="s">
        <v>7</v>
      </c>
      <c r="R292" s="162" t="s">
        <v>1959</v>
      </c>
      <c r="S292" s="162" t="s">
        <v>2001</v>
      </c>
      <c r="T292" s="160"/>
      <c r="U292" s="160"/>
      <c r="V292" s="160"/>
      <c r="W292" s="160"/>
      <c r="X292" s="160"/>
      <c r="Y292" s="160"/>
      <c r="Z292" s="160"/>
      <c r="AA292" s="160"/>
      <c r="AB292" s="160"/>
      <c r="AC292" s="160"/>
      <c r="AD292" s="160"/>
    </row>
    <row r="293" s="10" customFormat="1" ht="14" spans="1:30">
      <c r="A293" s="6" t="s">
        <v>207</v>
      </c>
      <c r="B293" s="158">
        <v>46010</v>
      </c>
      <c r="C293" s="104" t="str">
        <f t="shared" si="4"/>
        <v>2025年12月</v>
      </c>
      <c r="D293" s="104" t="s">
        <v>10</v>
      </c>
      <c r="E293" s="159"/>
      <c r="F293" s="104" t="s">
        <v>1006</v>
      </c>
      <c r="G293" s="195" t="s">
        <v>1007</v>
      </c>
      <c r="H293" s="40" t="s">
        <v>2002</v>
      </c>
      <c r="I293" s="155" t="s">
        <v>2003</v>
      </c>
      <c r="J293" s="109" t="s">
        <v>82</v>
      </c>
      <c r="K293" s="160"/>
      <c r="L293" s="161" t="s">
        <v>2004</v>
      </c>
      <c r="M293" s="160" t="s">
        <v>2005</v>
      </c>
      <c r="N293" s="160" t="s">
        <v>2006</v>
      </c>
      <c r="O293" s="187">
        <v>65</v>
      </c>
      <c r="P293" s="160" t="s">
        <v>173</v>
      </c>
      <c r="Q293" s="104" t="s">
        <v>105</v>
      </c>
      <c r="R293" s="162" t="s">
        <v>1663</v>
      </c>
      <c r="S293" s="162"/>
      <c r="T293" s="158">
        <v>46020</v>
      </c>
      <c r="U293" s="158">
        <v>46021</v>
      </c>
      <c r="V293" s="158">
        <v>46027</v>
      </c>
      <c r="W293" s="160"/>
      <c r="X293" s="160"/>
      <c r="Y293" s="160"/>
      <c r="Z293" s="160"/>
      <c r="AA293" s="160"/>
      <c r="AB293" s="160"/>
      <c r="AC293" s="160"/>
      <c r="AD293" s="160"/>
    </row>
    <row r="294" s="10" customFormat="1" ht="14" spans="1:30">
      <c r="A294" s="6" t="s">
        <v>142</v>
      </c>
      <c r="B294" s="158">
        <v>46013</v>
      </c>
      <c r="C294" s="104" t="str">
        <f t="shared" si="4"/>
        <v>2025年12月</v>
      </c>
      <c r="D294" s="104" t="s">
        <v>11</v>
      </c>
      <c r="E294" s="159" t="s">
        <v>2007</v>
      </c>
      <c r="F294" s="104" t="s">
        <v>1006</v>
      </c>
      <c r="G294" s="195" t="s">
        <v>1011</v>
      </c>
      <c r="H294" s="40" t="s">
        <v>48</v>
      </c>
      <c r="I294" s="155" t="s">
        <v>2008</v>
      </c>
      <c r="J294" s="109" t="s">
        <v>82</v>
      </c>
      <c r="K294" s="160"/>
      <c r="L294" s="161" t="s">
        <v>2009</v>
      </c>
      <c r="M294" s="160" t="s">
        <v>2010</v>
      </c>
      <c r="N294" s="160" t="s">
        <v>2011</v>
      </c>
      <c r="O294" s="187">
        <v>471</v>
      </c>
      <c r="P294" s="160" t="s">
        <v>173</v>
      </c>
      <c r="Q294" s="104" t="s">
        <v>7</v>
      </c>
      <c r="R294" s="162"/>
      <c r="S294" s="162"/>
      <c r="T294" s="158">
        <v>46014</v>
      </c>
      <c r="U294" s="158">
        <v>46014</v>
      </c>
      <c r="V294" s="160"/>
      <c r="W294" s="160"/>
      <c r="X294" s="160"/>
      <c r="Y294" s="160"/>
      <c r="Z294" s="160"/>
      <c r="AA294" s="160"/>
      <c r="AB294" s="160"/>
      <c r="AC294" s="160"/>
      <c r="AD294" s="160"/>
    </row>
    <row r="295" s="10" customFormat="1" ht="14" spans="1:30">
      <c r="A295" s="6" t="s">
        <v>142</v>
      </c>
      <c r="B295" s="158">
        <v>46014</v>
      </c>
      <c r="C295" s="104" t="str">
        <f t="shared" si="4"/>
        <v>2025年12月</v>
      </c>
      <c r="D295" s="104" t="s">
        <v>10</v>
      </c>
      <c r="E295" s="159" t="s">
        <v>1504</v>
      </c>
      <c r="F295" s="104" t="s">
        <v>1029</v>
      </c>
      <c r="G295" s="195" t="s">
        <v>1011</v>
      </c>
      <c r="H295" s="40" t="s">
        <v>51</v>
      </c>
      <c r="I295" s="155" t="s">
        <v>2012</v>
      </c>
      <c r="J295" s="109" t="s">
        <v>82</v>
      </c>
      <c r="K295" s="160"/>
      <c r="L295" s="161" t="s">
        <v>1815</v>
      </c>
      <c r="M295" s="160" t="s">
        <v>2013</v>
      </c>
      <c r="N295" s="160" t="s">
        <v>2014</v>
      </c>
      <c r="O295" s="187">
        <v>481220</v>
      </c>
      <c r="P295" s="160" t="s">
        <v>173</v>
      </c>
      <c r="Q295" s="104" t="s">
        <v>7</v>
      </c>
      <c r="R295" s="162"/>
      <c r="S295" s="162"/>
      <c r="T295" s="158">
        <v>46024</v>
      </c>
      <c r="U295" s="160"/>
      <c r="V295" s="160"/>
      <c r="W295" s="160"/>
      <c r="X295" s="160"/>
      <c r="Y295" s="160"/>
      <c r="Z295" s="160"/>
      <c r="AA295" s="160"/>
      <c r="AB295" s="160"/>
      <c r="AC295" s="160"/>
      <c r="AD295" s="160"/>
    </row>
    <row r="296" s="10" customFormat="1" ht="14" spans="1:30">
      <c r="A296" s="6" t="s">
        <v>142</v>
      </c>
      <c r="B296" s="158">
        <v>46014</v>
      </c>
      <c r="C296" s="104" t="str">
        <f t="shared" si="4"/>
        <v>2025年12月</v>
      </c>
      <c r="D296" s="104" t="s">
        <v>10</v>
      </c>
      <c r="E296" s="159" t="s">
        <v>1800</v>
      </c>
      <c r="F296" s="104" t="s">
        <v>1006</v>
      </c>
      <c r="G296" s="195" t="s">
        <v>1007</v>
      </c>
      <c r="H296" s="40" t="s">
        <v>40</v>
      </c>
      <c r="I296" s="155" t="s">
        <v>2015</v>
      </c>
      <c r="J296" s="109" t="s">
        <v>82</v>
      </c>
      <c r="K296" s="160"/>
      <c r="L296" s="161" t="s">
        <v>2016</v>
      </c>
      <c r="M296" s="160" t="s">
        <v>1316</v>
      </c>
      <c r="N296" s="160" t="s">
        <v>2017</v>
      </c>
      <c r="O296" s="187">
        <v>199</v>
      </c>
      <c r="P296" s="160" t="s">
        <v>80</v>
      </c>
      <c r="Q296" s="104" t="s">
        <v>105</v>
      </c>
      <c r="R296" s="162"/>
      <c r="S296" s="162"/>
      <c r="T296" s="160"/>
      <c r="U296" s="160"/>
      <c r="V296" s="160"/>
      <c r="W296" s="160"/>
      <c r="X296" s="160"/>
      <c r="Y296" s="160"/>
      <c r="Z296" s="160"/>
      <c r="AA296" s="160"/>
      <c r="AB296" s="160"/>
      <c r="AC296" s="160"/>
      <c r="AD296" s="160"/>
    </row>
    <row r="297" s="10" customFormat="1" ht="14" spans="1:30">
      <c r="A297" s="6" t="s">
        <v>142</v>
      </c>
      <c r="B297" s="158">
        <v>46015</v>
      </c>
      <c r="C297" s="104" t="str">
        <f t="shared" si="4"/>
        <v>2025年12月</v>
      </c>
      <c r="D297" s="104" t="s">
        <v>12</v>
      </c>
      <c r="E297" s="159" t="s">
        <v>2018</v>
      </c>
      <c r="F297" s="104" t="s">
        <v>1029</v>
      </c>
      <c r="G297" s="195" t="s">
        <v>1011</v>
      </c>
      <c r="H297" s="40" t="s">
        <v>48</v>
      </c>
      <c r="I297" s="155" t="s">
        <v>2019</v>
      </c>
      <c r="J297" s="109" t="s">
        <v>82</v>
      </c>
      <c r="K297" s="160"/>
      <c r="L297" s="161" t="s">
        <v>1870</v>
      </c>
      <c r="M297" s="160" t="s">
        <v>2020</v>
      </c>
      <c r="N297" s="160" t="s">
        <v>2021</v>
      </c>
      <c r="O297" s="187">
        <v>1492.43</v>
      </c>
      <c r="P297" s="160" t="s">
        <v>173</v>
      </c>
      <c r="Q297" s="104" t="s">
        <v>7</v>
      </c>
      <c r="R297" s="162"/>
      <c r="S297" s="162"/>
      <c r="T297" s="160"/>
      <c r="U297" s="160"/>
      <c r="V297" s="160"/>
      <c r="W297" s="160"/>
      <c r="X297" s="160"/>
      <c r="Y297" s="160"/>
      <c r="Z297" s="160"/>
      <c r="AA297" s="160"/>
      <c r="AB297" s="160"/>
      <c r="AC297" s="160"/>
      <c r="AD297" s="160"/>
    </row>
    <row r="298" s="10" customFormat="1" ht="14" spans="1:30">
      <c r="A298" s="6" t="s">
        <v>207</v>
      </c>
      <c r="B298" s="158">
        <v>46015</v>
      </c>
      <c r="C298" s="104" t="str">
        <f t="shared" ref="C298:C361" si="5">YEAR(B298)&amp;"年"&amp;MONTH(B298)&amp;"月"</f>
        <v>2025年12月</v>
      </c>
      <c r="D298" s="104" t="s">
        <v>12</v>
      </c>
      <c r="E298" s="159" t="s">
        <v>1876</v>
      </c>
      <c r="F298" s="104" t="s">
        <v>1029</v>
      </c>
      <c r="G298" s="195" t="s">
        <v>1011</v>
      </c>
      <c r="H298" s="40" t="s">
        <v>39</v>
      </c>
      <c r="I298" s="155" t="s">
        <v>2022</v>
      </c>
      <c r="J298" s="109" t="s">
        <v>82</v>
      </c>
      <c r="K298" s="160"/>
      <c r="L298" s="161" t="s">
        <v>1071</v>
      </c>
      <c r="M298" s="160" t="s">
        <v>1072</v>
      </c>
      <c r="N298" s="160" t="s">
        <v>2023</v>
      </c>
      <c r="O298" s="187">
        <v>200000</v>
      </c>
      <c r="P298" s="160" t="s">
        <v>173</v>
      </c>
      <c r="Q298" s="104" t="s">
        <v>7</v>
      </c>
      <c r="R298" s="162" t="s">
        <v>715</v>
      </c>
      <c r="S298" s="162"/>
      <c r="T298" s="160"/>
      <c r="U298" s="160"/>
      <c r="V298" s="160"/>
      <c r="W298" s="160"/>
      <c r="X298" s="160"/>
      <c r="Y298" s="160"/>
      <c r="Z298" s="160"/>
      <c r="AA298" s="160"/>
      <c r="AB298" s="160"/>
      <c r="AC298" s="160"/>
      <c r="AD298" s="160"/>
    </row>
    <row r="299" s="10" customFormat="1" ht="14" spans="1:30">
      <c r="A299" s="6" t="s">
        <v>207</v>
      </c>
      <c r="B299" s="158">
        <v>46016</v>
      </c>
      <c r="C299" s="104" t="str">
        <f t="shared" si="5"/>
        <v>2025年12月</v>
      </c>
      <c r="D299" s="104" t="s">
        <v>10</v>
      </c>
      <c r="E299" s="159"/>
      <c r="F299" s="104" t="s">
        <v>1006</v>
      </c>
      <c r="G299" s="195" t="s">
        <v>1007</v>
      </c>
      <c r="H299" s="40" t="s">
        <v>2002</v>
      </c>
      <c r="I299" s="155" t="s">
        <v>2024</v>
      </c>
      <c r="J299" s="109" t="s">
        <v>82</v>
      </c>
      <c r="K299" s="160"/>
      <c r="L299" s="161" t="s">
        <v>2025</v>
      </c>
      <c r="M299" s="160" t="s">
        <v>1333</v>
      </c>
      <c r="N299" s="160" t="s">
        <v>2026</v>
      </c>
      <c r="O299" s="187"/>
      <c r="P299" s="160"/>
      <c r="Q299" s="104" t="s">
        <v>105</v>
      </c>
      <c r="R299" s="162" t="s">
        <v>674</v>
      </c>
      <c r="S299" s="162" t="s">
        <v>2027</v>
      </c>
      <c r="T299" s="160"/>
      <c r="U299" s="160"/>
      <c r="V299" s="160"/>
      <c r="W299" s="160"/>
      <c r="X299" s="160"/>
      <c r="Y299" s="160"/>
      <c r="Z299" s="160"/>
      <c r="AA299" s="160"/>
      <c r="AB299" s="160"/>
      <c r="AC299" s="160"/>
      <c r="AD299" s="160"/>
    </row>
    <row r="300" s="10" customFormat="1" ht="14" spans="1:30">
      <c r="A300" s="6" t="s">
        <v>142</v>
      </c>
      <c r="B300" s="158">
        <v>46017</v>
      </c>
      <c r="C300" s="104" t="str">
        <f t="shared" si="5"/>
        <v>2025年12月</v>
      </c>
      <c r="D300" s="104" t="s">
        <v>10</v>
      </c>
      <c r="E300" s="159"/>
      <c r="F300" s="104" t="s">
        <v>1029</v>
      </c>
      <c r="G300" s="195" t="s">
        <v>1011</v>
      </c>
      <c r="H300" s="40" t="s">
        <v>44</v>
      </c>
      <c r="I300" s="155" t="s">
        <v>2028</v>
      </c>
      <c r="J300" s="109" t="s">
        <v>82</v>
      </c>
      <c r="K300" s="160"/>
      <c r="L300" s="161" t="s">
        <v>708</v>
      </c>
      <c r="M300" s="160" t="s">
        <v>709</v>
      </c>
      <c r="N300" s="160" t="s">
        <v>2029</v>
      </c>
      <c r="O300" s="187">
        <v>5016.66</v>
      </c>
      <c r="P300" s="160" t="s">
        <v>173</v>
      </c>
      <c r="Q300" s="104" t="s">
        <v>7</v>
      </c>
      <c r="R300" s="162"/>
      <c r="S300" s="162"/>
      <c r="T300" s="160"/>
      <c r="U300" s="160"/>
      <c r="V300" s="160"/>
      <c r="W300" s="160"/>
      <c r="X300" s="160"/>
      <c r="Y300" s="160"/>
      <c r="Z300" s="160"/>
      <c r="AA300" s="160"/>
      <c r="AB300" s="160"/>
      <c r="AC300" s="160"/>
      <c r="AD300" s="160"/>
    </row>
    <row r="301" s="10" customFormat="1" ht="14" spans="1:30">
      <c r="A301" s="6" t="s">
        <v>142</v>
      </c>
      <c r="B301" s="158">
        <v>46017</v>
      </c>
      <c r="C301" s="104" t="str">
        <f t="shared" si="5"/>
        <v>2025年12月</v>
      </c>
      <c r="D301" s="104" t="s">
        <v>10</v>
      </c>
      <c r="E301" s="159"/>
      <c r="F301" s="104" t="s">
        <v>1029</v>
      </c>
      <c r="G301" s="195" t="s">
        <v>1011</v>
      </c>
      <c r="H301" s="40" t="s">
        <v>44</v>
      </c>
      <c r="I301" s="155" t="s">
        <v>2030</v>
      </c>
      <c r="J301" s="109" t="s">
        <v>82</v>
      </c>
      <c r="K301" s="160"/>
      <c r="L301" s="161" t="s">
        <v>708</v>
      </c>
      <c r="M301" s="160" t="s">
        <v>709</v>
      </c>
      <c r="N301" s="160" t="s">
        <v>2031</v>
      </c>
      <c r="O301" s="187">
        <v>20208.16</v>
      </c>
      <c r="P301" s="160" t="s">
        <v>173</v>
      </c>
      <c r="Q301" s="104" t="s">
        <v>7</v>
      </c>
      <c r="R301" s="162"/>
      <c r="S301" s="162"/>
      <c r="T301" s="160"/>
      <c r="U301" s="160"/>
      <c r="V301" s="160"/>
      <c r="W301" s="160"/>
      <c r="X301" s="160"/>
      <c r="Y301" s="160"/>
      <c r="Z301" s="160"/>
      <c r="AA301" s="160"/>
      <c r="AB301" s="160"/>
      <c r="AC301" s="160"/>
      <c r="AD301" s="160"/>
    </row>
    <row r="302" s="10" customFormat="1" ht="14" spans="1:30">
      <c r="A302" s="6" t="s">
        <v>142</v>
      </c>
      <c r="B302" s="158">
        <v>46017</v>
      </c>
      <c r="C302" s="104" t="str">
        <f t="shared" si="5"/>
        <v>2025年12月</v>
      </c>
      <c r="D302" s="104" t="s">
        <v>10</v>
      </c>
      <c r="E302" s="159"/>
      <c r="F302" s="104" t="s">
        <v>1029</v>
      </c>
      <c r="G302" s="195" t="s">
        <v>1011</v>
      </c>
      <c r="H302" s="40" t="s">
        <v>44</v>
      </c>
      <c r="I302" s="155" t="s">
        <v>2032</v>
      </c>
      <c r="J302" s="109" t="s">
        <v>82</v>
      </c>
      <c r="K302" s="160"/>
      <c r="L302" s="161" t="s">
        <v>708</v>
      </c>
      <c r="M302" s="160" t="s">
        <v>709</v>
      </c>
      <c r="N302" s="160" t="s">
        <v>2033</v>
      </c>
      <c r="O302" s="187">
        <v>19669.63</v>
      </c>
      <c r="P302" s="160" t="s">
        <v>173</v>
      </c>
      <c r="Q302" s="104" t="s">
        <v>7</v>
      </c>
      <c r="R302" s="162"/>
      <c r="S302" s="162"/>
      <c r="T302" s="160"/>
      <c r="U302" s="160"/>
      <c r="V302" s="160"/>
      <c r="W302" s="160"/>
      <c r="X302" s="160"/>
      <c r="Y302" s="160"/>
      <c r="Z302" s="160"/>
      <c r="AA302" s="160"/>
      <c r="AB302" s="160"/>
      <c r="AC302" s="160"/>
      <c r="AD302" s="160"/>
    </row>
    <row r="303" s="10" customFormat="1" ht="14" spans="1:30">
      <c r="A303" s="6" t="s">
        <v>207</v>
      </c>
      <c r="B303" s="158">
        <v>46020</v>
      </c>
      <c r="C303" s="104" t="str">
        <f t="shared" si="5"/>
        <v>2025年12月</v>
      </c>
      <c r="D303" s="104" t="s">
        <v>11</v>
      </c>
      <c r="E303" s="159"/>
      <c r="F303" s="104" t="s">
        <v>1006</v>
      </c>
      <c r="G303" s="195" t="s">
        <v>1007</v>
      </c>
      <c r="H303" s="40" t="s">
        <v>47</v>
      </c>
      <c r="I303" s="155" t="s">
        <v>2034</v>
      </c>
      <c r="J303" s="109" t="s">
        <v>787</v>
      </c>
      <c r="K303" s="160"/>
      <c r="L303" s="161" t="s">
        <v>1998</v>
      </c>
      <c r="M303" s="160" t="s">
        <v>1999</v>
      </c>
      <c r="N303" s="160" t="s">
        <v>2000</v>
      </c>
      <c r="O303" s="187">
        <v>148</v>
      </c>
      <c r="P303" s="160" t="s">
        <v>173</v>
      </c>
      <c r="Q303" s="104" t="s">
        <v>7</v>
      </c>
      <c r="R303" s="162" t="s">
        <v>1959</v>
      </c>
      <c r="S303" s="162"/>
      <c r="T303" s="160"/>
      <c r="U303" s="160"/>
      <c r="V303" s="160"/>
      <c r="W303" s="160"/>
      <c r="X303" s="160"/>
      <c r="Y303" s="160"/>
      <c r="Z303" s="160"/>
      <c r="AA303" s="160"/>
      <c r="AB303" s="160"/>
      <c r="AC303" s="160"/>
      <c r="AD303" s="160"/>
    </row>
    <row r="304" s="10" customFormat="1" ht="26" spans="1:30">
      <c r="A304" s="6" t="s">
        <v>207</v>
      </c>
      <c r="B304" s="158">
        <v>46020</v>
      </c>
      <c r="C304" s="104" t="str">
        <f t="shared" si="5"/>
        <v>2025年12月</v>
      </c>
      <c r="D304" s="104" t="s">
        <v>12</v>
      </c>
      <c r="E304" s="159"/>
      <c r="F304" s="104" t="s">
        <v>1006</v>
      </c>
      <c r="G304" s="195" t="s">
        <v>1007</v>
      </c>
      <c r="H304" s="40" t="s">
        <v>2035</v>
      </c>
      <c r="I304" s="155" t="s">
        <v>2036</v>
      </c>
      <c r="J304" s="109" t="s">
        <v>82</v>
      </c>
      <c r="K304" s="160"/>
      <c r="L304" s="161" t="s">
        <v>2037</v>
      </c>
      <c r="M304" s="160" t="s">
        <v>2038</v>
      </c>
      <c r="N304" s="160" t="s">
        <v>2039</v>
      </c>
      <c r="O304" s="187">
        <v>6900000000</v>
      </c>
      <c r="P304" s="160" t="s">
        <v>1349</v>
      </c>
      <c r="Q304" s="104" t="s">
        <v>7</v>
      </c>
      <c r="R304" s="162" t="s">
        <v>2040</v>
      </c>
      <c r="S304" s="162"/>
      <c r="T304" s="158">
        <v>46027</v>
      </c>
      <c r="U304" s="158">
        <v>46027</v>
      </c>
      <c r="V304" s="158">
        <v>46042</v>
      </c>
      <c r="W304" s="158">
        <v>46043</v>
      </c>
      <c r="X304" s="160"/>
      <c r="Y304" s="160"/>
      <c r="Z304" s="160"/>
      <c r="AA304" s="160"/>
      <c r="AB304" s="160"/>
      <c r="AC304" s="160"/>
      <c r="AD304" s="160"/>
    </row>
    <row r="305" s="10" customFormat="1" ht="39" spans="1:30">
      <c r="A305" s="6" t="s">
        <v>207</v>
      </c>
      <c r="B305" s="158">
        <v>46020</v>
      </c>
      <c r="C305" s="104" t="str">
        <f t="shared" si="5"/>
        <v>2025年12月</v>
      </c>
      <c r="D305" s="104" t="s">
        <v>12</v>
      </c>
      <c r="E305" s="159" t="s">
        <v>1616</v>
      </c>
      <c r="F305" s="104" t="s">
        <v>1029</v>
      </c>
      <c r="G305" s="195" t="s">
        <v>1011</v>
      </c>
      <c r="H305" s="40" t="s">
        <v>51</v>
      </c>
      <c r="I305" s="208" t="s">
        <v>2041</v>
      </c>
      <c r="J305" s="109" t="s">
        <v>82</v>
      </c>
      <c r="K305" s="160"/>
      <c r="L305" s="161" t="s">
        <v>1618</v>
      </c>
      <c r="M305" s="160" t="s">
        <v>1619</v>
      </c>
      <c r="N305" s="160" t="s">
        <v>2042</v>
      </c>
      <c r="O305" s="187">
        <v>59580</v>
      </c>
      <c r="P305" s="160" t="s">
        <v>173</v>
      </c>
      <c r="Q305" s="104" t="s">
        <v>7</v>
      </c>
      <c r="R305" s="162" t="s">
        <v>1843</v>
      </c>
      <c r="S305" s="162"/>
      <c r="T305" s="160"/>
      <c r="U305" s="160"/>
      <c r="V305" s="160"/>
      <c r="W305" s="160"/>
      <c r="X305" s="160"/>
      <c r="Y305" s="160"/>
      <c r="Z305" s="160"/>
      <c r="AA305" s="160"/>
      <c r="AB305" s="160"/>
      <c r="AC305" s="160"/>
      <c r="AD305" s="160"/>
    </row>
    <row r="306" s="10" customFormat="1" ht="14" spans="1:30">
      <c r="A306" s="6" t="s">
        <v>207</v>
      </c>
      <c r="B306" s="158">
        <v>46020</v>
      </c>
      <c r="C306" s="104" t="str">
        <f t="shared" si="5"/>
        <v>2025年12月</v>
      </c>
      <c r="D306" s="104" t="s">
        <v>11</v>
      </c>
      <c r="E306" s="159" t="s">
        <v>1321</v>
      </c>
      <c r="F306" s="104" t="s">
        <v>1006</v>
      </c>
      <c r="G306" s="195" t="s">
        <v>1011</v>
      </c>
      <c r="H306" s="40" t="s">
        <v>52</v>
      </c>
      <c r="I306" s="155" t="s">
        <v>2043</v>
      </c>
      <c r="J306" s="109" t="s">
        <v>82</v>
      </c>
      <c r="K306" s="160"/>
      <c r="L306" s="161" t="s">
        <v>2044</v>
      </c>
      <c r="M306" s="160" t="s">
        <v>2045</v>
      </c>
      <c r="N306" s="160" t="s">
        <v>2046</v>
      </c>
      <c r="O306" s="209">
        <v>17049</v>
      </c>
      <c r="P306" s="160" t="s">
        <v>149</v>
      </c>
      <c r="Q306" s="104" t="s">
        <v>7</v>
      </c>
      <c r="R306" s="162" t="s">
        <v>685</v>
      </c>
      <c r="S306" s="162"/>
      <c r="T306" s="160"/>
      <c r="U306" s="160"/>
      <c r="V306" s="160"/>
      <c r="W306" s="160"/>
      <c r="X306" s="160"/>
      <c r="Y306" s="160"/>
      <c r="Z306" s="160"/>
      <c r="AA306" s="160"/>
      <c r="AB306" s="160"/>
      <c r="AC306" s="160"/>
      <c r="AD306" s="160"/>
    </row>
    <row r="307" s="10" customFormat="1" ht="14.5" spans="1:30">
      <c r="A307" s="6" t="s">
        <v>207</v>
      </c>
      <c r="B307" s="158">
        <v>46020</v>
      </c>
      <c r="C307" s="104" t="str">
        <f t="shared" si="5"/>
        <v>2025年12月</v>
      </c>
      <c r="D307" s="104" t="s">
        <v>11</v>
      </c>
      <c r="E307" s="194" t="s">
        <v>1064</v>
      </c>
      <c r="F307" s="104" t="s">
        <v>1006</v>
      </c>
      <c r="G307" s="195" t="s">
        <v>1007</v>
      </c>
      <c r="H307" s="40" t="s">
        <v>39</v>
      </c>
      <c r="I307" s="155" t="s">
        <v>2047</v>
      </c>
      <c r="J307" s="109" t="s">
        <v>82</v>
      </c>
      <c r="K307" s="160"/>
      <c r="L307" s="159" t="s">
        <v>1268</v>
      </c>
      <c r="M307" s="128" t="s">
        <v>1269</v>
      </c>
      <c r="N307" s="160" t="s">
        <v>1270</v>
      </c>
      <c r="O307" s="187">
        <v>81941.33</v>
      </c>
      <c r="P307" s="160" t="s">
        <v>173</v>
      </c>
      <c r="Q307" s="104" t="s">
        <v>105</v>
      </c>
      <c r="R307" s="198" t="s">
        <v>1500</v>
      </c>
      <c r="S307" s="162"/>
      <c r="T307" s="160"/>
      <c r="U307" s="160"/>
      <c r="V307" s="160"/>
      <c r="W307" s="160"/>
      <c r="X307" s="160"/>
      <c r="Y307" s="160"/>
      <c r="Z307" s="160"/>
      <c r="AA307" s="160"/>
      <c r="AB307" s="160"/>
      <c r="AC307" s="160"/>
      <c r="AD307" s="160"/>
    </row>
    <row r="308" s="10" customFormat="1" ht="14" spans="1:30">
      <c r="A308" s="6" t="s">
        <v>207</v>
      </c>
      <c r="B308" s="158">
        <v>46021</v>
      </c>
      <c r="C308" s="104" t="str">
        <f t="shared" si="5"/>
        <v>2025年12月</v>
      </c>
      <c r="D308" s="104" t="s">
        <v>11</v>
      </c>
      <c r="E308" s="159"/>
      <c r="F308" s="104" t="s">
        <v>1006</v>
      </c>
      <c r="G308" s="195" t="s">
        <v>1007</v>
      </c>
      <c r="H308" s="40" t="s">
        <v>39</v>
      </c>
      <c r="I308" s="155" t="s">
        <v>2048</v>
      </c>
      <c r="J308" s="109" t="s">
        <v>82</v>
      </c>
      <c r="K308" s="160"/>
      <c r="L308" s="161" t="s">
        <v>2049</v>
      </c>
      <c r="M308" s="160" t="s">
        <v>2050</v>
      </c>
      <c r="N308" s="160" t="s">
        <v>2051</v>
      </c>
      <c r="O308" s="187">
        <v>6608.9</v>
      </c>
      <c r="P308" s="160" t="s">
        <v>173</v>
      </c>
      <c r="Q308" s="104" t="s">
        <v>105</v>
      </c>
      <c r="R308" s="162" t="s">
        <v>2052</v>
      </c>
      <c r="S308" s="162"/>
      <c r="T308" s="160"/>
      <c r="U308" s="160"/>
      <c r="V308" s="160"/>
      <c r="W308" s="160"/>
      <c r="X308" s="160"/>
      <c r="Y308" s="160"/>
      <c r="Z308" s="160"/>
      <c r="AA308" s="160"/>
      <c r="AB308" s="160"/>
      <c r="AC308" s="160"/>
      <c r="AD308" s="160"/>
    </row>
    <row r="309" s="10" customFormat="1" ht="14" spans="1:30">
      <c r="A309" s="6" t="s">
        <v>207</v>
      </c>
      <c r="B309" s="158">
        <v>46021</v>
      </c>
      <c r="C309" s="104" t="str">
        <f t="shared" si="5"/>
        <v>2025年12月</v>
      </c>
      <c r="D309" s="104" t="s">
        <v>11</v>
      </c>
      <c r="E309" s="159" t="s">
        <v>1321</v>
      </c>
      <c r="F309" s="104" t="s">
        <v>1029</v>
      </c>
      <c r="G309" s="195" t="s">
        <v>1011</v>
      </c>
      <c r="H309" s="40" t="s">
        <v>48</v>
      </c>
      <c r="I309" s="155" t="s">
        <v>2053</v>
      </c>
      <c r="J309" s="109" t="s">
        <v>1058</v>
      </c>
      <c r="K309" s="160"/>
      <c r="L309" s="161" t="s">
        <v>2054</v>
      </c>
      <c r="M309" s="160" t="s">
        <v>2055</v>
      </c>
      <c r="N309" s="160" t="s">
        <v>2056</v>
      </c>
      <c r="O309" s="209">
        <v>300200</v>
      </c>
      <c r="P309" s="160" t="s">
        <v>173</v>
      </c>
      <c r="Q309" s="104" t="s">
        <v>7</v>
      </c>
      <c r="R309" s="162" t="s">
        <v>685</v>
      </c>
      <c r="S309" s="162" t="s">
        <v>2057</v>
      </c>
      <c r="T309" s="160"/>
      <c r="U309" s="160"/>
      <c r="V309" s="160"/>
      <c r="W309" s="160"/>
      <c r="X309" s="160"/>
      <c r="Y309" s="160"/>
      <c r="Z309" s="160"/>
      <c r="AA309" s="160"/>
      <c r="AB309" s="160"/>
      <c r="AC309" s="160"/>
      <c r="AD309" s="160"/>
    </row>
    <row r="310" s="10" customFormat="1" ht="26" spans="1:30">
      <c r="A310" s="6" t="s">
        <v>142</v>
      </c>
      <c r="B310" s="158">
        <v>46022</v>
      </c>
      <c r="C310" s="104" t="str">
        <f t="shared" si="5"/>
        <v>2025年12月</v>
      </c>
      <c r="D310" s="104" t="s">
        <v>12</v>
      </c>
      <c r="E310" s="159"/>
      <c r="F310" s="104" t="s">
        <v>1029</v>
      </c>
      <c r="G310" s="195" t="s">
        <v>1011</v>
      </c>
      <c r="H310" s="40" t="s">
        <v>48</v>
      </c>
      <c r="I310" s="208" t="s">
        <v>2058</v>
      </c>
      <c r="J310" s="109" t="s">
        <v>82</v>
      </c>
      <c r="K310" s="160"/>
      <c r="L310" s="161" t="s">
        <v>1966</v>
      </c>
      <c r="M310" s="160" t="s">
        <v>2059</v>
      </c>
      <c r="N310" s="162" t="s">
        <v>2059</v>
      </c>
      <c r="O310" s="187">
        <v>120229.14</v>
      </c>
      <c r="P310" s="160" t="s">
        <v>173</v>
      </c>
      <c r="Q310" s="104" t="s">
        <v>7</v>
      </c>
      <c r="R310" s="162"/>
      <c r="S310" s="162"/>
      <c r="T310" s="160"/>
      <c r="U310" s="160"/>
      <c r="V310" s="160"/>
      <c r="W310" s="160"/>
      <c r="X310" s="160"/>
      <c r="Y310" s="160"/>
      <c r="Z310" s="160"/>
      <c r="AA310" s="160"/>
      <c r="AB310" s="160"/>
      <c r="AC310" s="160"/>
      <c r="AD310" s="160"/>
    </row>
    <row r="311" s="10" customFormat="1" ht="14" spans="1:30">
      <c r="A311" s="6" t="s">
        <v>142</v>
      </c>
      <c r="B311" s="158">
        <v>46024</v>
      </c>
      <c r="C311" s="104" t="str">
        <f t="shared" si="5"/>
        <v>2026年1月</v>
      </c>
      <c r="D311" s="104" t="s">
        <v>12</v>
      </c>
      <c r="E311" s="159"/>
      <c r="F311" s="104" t="s">
        <v>1029</v>
      </c>
      <c r="G311" s="195" t="s">
        <v>1011</v>
      </c>
      <c r="H311" s="40" t="s">
        <v>48</v>
      </c>
      <c r="I311" s="155" t="s">
        <v>2060</v>
      </c>
      <c r="J311" s="109" t="s">
        <v>82</v>
      </c>
      <c r="K311" s="160"/>
      <c r="L311" s="161" t="s">
        <v>1439</v>
      </c>
      <c r="M311" s="160" t="s">
        <v>1440</v>
      </c>
      <c r="N311" s="160" t="s">
        <v>1441</v>
      </c>
      <c r="O311" s="209">
        <v>92936.97</v>
      </c>
      <c r="P311" s="160" t="s">
        <v>149</v>
      </c>
      <c r="Q311" s="104" t="s">
        <v>7</v>
      </c>
      <c r="R311" s="162"/>
      <c r="S311" s="162"/>
      <c r="T311" s="160"/>
      <c r="U311" s="160"/>
      <c r="V311" s="160"/>
      <c r="W311" s="160"/>
      <c r="X311" s="160"/>
      <c r="Y311" s="160"/>
      <c r="Z311" s="160"/>
      <c r="AA311" s="160"/>
      <c r="AB311" s="160"/>
      <c r="AC311" s="160"/>
      <c r="AD311" s="160"/>
    </row>
    <row r="312" s="10" customFormat="1" ht="14" spans="1:30">
      <c r="A312" s="6" t="s">
        <v>142</v>
      </c>
      <c r="B312" s="158">
        <v>46024</v>
      </c>
      <c r="C312" s="104" t="str">
        <f t="shared" si="5"/>
        <v>2026年1月</v>
      </c>
      <c r="D312" s="104" t="s">
        <v>10</v>
      </c>
      <c r="E312" s="159"/>
      <c r="F312" s="104" t="s">
        <v>1029</v>
      </c>
      <c r="G312" s="195" t="s">
        <v>1011</v>
      </c>
      <c r="H312" s="40" t="s">
        <v>51</v>
      </c>
      <c r="I312" s="155" t="s">
        <v>2061</v>
      </c>
      <c r="J312" s="109" t="s">
        <v>82</v>
      </c>
      <c r="K312" s="160"/>
      <c r="L312" s="161" t="s">
        <v>2062</v>
      </c>
      <c r="M312" s="160" t="s">
        <v>2063</v>
      </c>
      <c r="N312" s="160" t="s">
        <v>2064</v>
      </c>
      <c r="O312" s="187">
        <v>9686464.64</v>
      </c>
      <c r="P312" s="160" t="s">
        <v>1186</v>
      </c>
      <c r="Q312" s="104" t="s">
        <v>7</v>
      </c>
      <c r="R312" s="162"/>
      <c r="S312" s="162"/>
      <c r="T312" s="158">
        <v>46035</v>
      </c>
      <c r="U312" s="160"/>
      <c r="V312" s="160"/>
      <c r="W312" s="160"/>
      <c r="X312" s="160"/>
      <c r="Y312" s="160"/>
      <c r="Z312" s="160"/>
      <c r="AA312" s="160"/>
      <c r="AB312" s="160"/>
      <c r="AC312" s="160"/>
      <c r="AD312" s="160"/>
    </row>
    <row r="313" s="10" customFormat="1" ht="14" spans="1:30">
      <c r="A313" s="6" t="s">
        <v>142</v>
      </c>
      <c r="B313" s="158">
        <v>46017</v>
      </c>
      <c r="C313" s="104" t="str">
        <f t="shared" si="5"/>
        <v>2025年12月</v>
      </c>
      <c r="D313" s="104" t="s">
        <v>10</v>
      </c>
      <c r="E313" s="159"/>
      <c r="F313" s="104" t="s">
        <v>1006</v>
      </c>
      <c r="G313" s="195" t="s">
        <v>1007</v>
      </c>
      <c r="H313" s="40" t="s">
        <v>40</v>
      </c>
      <c r="I313" s="155" t="s">
        <v>2065</v>
      </c>
      <c r="J313" s="109" t="s">
        <v>82</v>
      </c>
      <c r="K313" s="160"/>
      <c r="L313" s="161" t="s">
        <v>1022</v>
      </c>
      <c r="M313" s="160" t="s">
        <v>1023</v>
      </c>
      <c r="N313" s="160" t="s">
        <v>2066</v>
      </c>
      <c r="O313" s="187">
        <v>77.29</v>
      </c>
      <c r="P313" s="160" t="s">
        <v>149</v>
      </c>
      <c r="Q313" s="104" t="s">
        <v>105</v>
      </c>
      <c r="R313" s="162"/>
      <c r="S313" s="162"/>
      <c r="T313" s="160"/>
      <c r="U313" s="160"/>
      <c r="V313" s="160"/>
      <c r="W313" s="160"/>
      <c r="X313" s="160"/>
      <c r="Y313" s="160"/>
      <c r="Z313" s="160"/>
      <c r="AA313" s="160"/>
      <c r="AB313" s="160"/>
      <c r="AC313" s="160"/>
      <c r="AD313" s="160"/>
    </row>
    <row r="314" s="10" customFormat="1" ht="14" spans="1:30">
      <c r="A314" s="6" t="s">
        <v>142</v>
      </c>
      <c r="B314" s="158">
        <v>46029</v>
      </c>
      <c r="C314" s="104" t="str">
        <f t="shared" si="5"/>
        <v>2026年1月</v>
      </c>
      <c r="D314" s="104" t="s">
        <v>11</v>
      </c>
      <c r="E314" s="159"/>
      <c r="F314" s="104" t="s">
        <v>1006</v>
      </c>
      <c r="G314" s="195" t="s">
        <v>1007</v>
      </c>
      <c r="H314" s="40" t="s">
        <v>41</v>
      </c>
      <c r="I314" s="223" t="s">
        <v>2067</v>
      </c>
      <c r="J314" s="109" t="s">
        <v>1665</v>
      </c>
      <c r="K314" s="160"/>
      <c r="L314" s="161" t="s">
        <v>2068</v>
      </c>
      <c r="M314" s="10" t="s">
        <v>2069</v>
      </c>
      <c r="N314" s="160" t="s">
        <v>2070</v>
      </c>
      <c r="O314" s="211">
        <v>274000000</v>
      </c>
      <c r="P314" s="160" t="s">
        <v>1037</v>
      </c>
      <c r="Q314" s="104" t="s">
        <v>7</v>
      </c>
      <c r="R314" s="162"/>
      <c r="S314" s="162"/>
      <c r="T314" s="160"/>
      <c r="U314" s="160"/>
      <c r="V314" s="160"/>
      <c r="W314" s="160"/>
      <c r="X314" s="160"/>
      <c r="Y314" s="160"/>
      <c r="Z314" s="160"/>
      <c r="AA314" s="160"/>
      <c r="AB314" s="160"/>
      <c r="AC314" s="160"/>
      <c r="AD314" s="160"/>
    </row>
    <row r="315" s="10" customFormat="1" ht="14" spans="1:30">
      <c r="A315" s="6" t="s">
        <v>142</v>
      </c>
      <c r="B315" s="158">
        <v>46029</v>
      </c>
      <c r="C315" s="104" t="str">
        <f t="shared" si="5"/>
        <v>2026年1月</v>
      </c>
      <c r="D315" s="104" t="s">
        <v>11</v>
      </c>
      <c r="E315" s="159"/>
      <c r="F315" s="104" t="s">
        <v>1006</v>
      </c>
      <c r="G315" s="195" t="s">
        <v>1007</v>
      </c>
      <c r="H315" s="40" t="s">
        <v>41</v>
      </c>
      <c r="I315" s="155" t="s">
        <v>2071</v>
      </c>
      <c r="J315" s="109" t="s">
        <v>82</v>
      </c>
      <c r="K315" s="160"/>
      <c r="L315" s="161" t="s">
        <v>2068</v>
      </c>
      <c r="M315" s="10" t="s">
        <v>2069</v>
      </c>
      <c r="N315" s="160" t="s">
        <v>2070</v>
      </c>
      <c r="O315" s="211">
        <v>205000000</v>
      </c>
      <c r="P315" s="160" t="s">
        <v>1037</v>
      </c>
      <c r="Q315" s="104" t="s">
        <v>7</v>
      </c>
      <c r="R315" s="162"/>
      <c r="S315" s="162"/>
      <c r="T315" s="160"/>
      <c r="U315" s="160"/>
      <c r="V315" s="160"/>
      <c r="W315" s="160"/>
      <c r="X315" s="160"/>
      <c r="Y315" s="160"/>
      <c r="Z315" s="160"/>
      <c r="AA315" s="160"/>
      <c r="AB315" s="160"/>
      <c r="AC315" s="160"/>
      <c r="AD315" s="160"/>
    </row>
    <row r="316" s="10" customFormat="1" ht="26" spans="1:30">
      <c r="A316" s="6" t="s">
        <v>207</v>
      </c>
      <c r="B316" s="158">
        <v>46030</v>
      </c>
      <c r="C316" s="104" t="str">
        <f t="shared" si="5"/>
        <v>2026年1月</v>
      </c>
      <c r="D316" s="104" t="s">
        <v>11</v>
      </c>
      <c r="E316" s="159"/>
      <c r="F316" s="104" t="s">
        <v>1029</v>
      </c>
      <c r="G316" s="195" t="s">
        <v>1007</v>
      </c>
      <c r="H316" s="40" t="s">
        <v>48</v>
      </c>
      <c r="I316" s="155" t="s">
        <v>2072</v>
      </c>
      <c r="J316" s="109" t="s">
        <v>422</v>
      </c>
      <c r="K316" s="160"/>
      <c r="L316" s="161" t="s">
        <v>2073</v>
      </c>
      <c r="M316" s="160" t="s">
        <v>2074</v>
      </c>
      <c r="N316" s="160" t="s">
        <v>2075</v>
      </c>
      <c r="O316" s="187">
        <v>16396</v>
      </c>
      <c r="P316" s="160" t="s">
        <v>1062</v>
      </c>
      <c r="Q316" s="104" t="s">
        <v>7</v>
      </c>
      <c r="R316" s="162" t="s">
        <v>2076</v>
      </c>
      <c r="S316" s="162"/>
      <c r="T316" s="160"/>
      <c r="U316" s="160"/>
      <c r="V316" s="160"/>
      <c r="W316" s="160"/>
      <c r="X316" s="160"/>
      <c r="Y316" s="160"/>
      <c r="Z316" s="160"/>
      <c r="AA316" s="160"/>
      <c r="AB316" s="160"/>
      <c r="AC316" s="160"/>
      <c r="AD316" s="160"/>
    </row>
    <row r="317" s="10" customFormat="1" ht="14" spans="1:30">
      <c r="A317" s="6" t="s">
        <v>207</v>
      </c>
      <c r="B317" s="158">
        <v>46034</v>
      </c>
      <c r="C317" s="104" t="str">
        <f t="shared" si="5"/>
        <v>2026年1月</v>
      </c>
      <c r="D317" s="104" t="s">
        <v>12</v>
      </c>
      <c r="E317" s="159"/>
      <c r="F317" s="104" t="s">
        <v>1029</v>
      </c>
      <c r="G317" s="195" t="s">
        <v>1011</v>
      </c>
      <c r="H317" s="40" t="s">
        <v>48</v>
      </c>
      <c r="I317" s="155" t="s">
        <v>2077</v>
      </c>
      <c r="J317" s="109" t="s">
        <v>82</v>
      </c>
      <c r="K317" s="160"/>
      <c r="L317" s="161" t="s">
        <v>1439</v>
      </c>
      <c r="M317" s="160" t="s">
        <v>1440</v>
      </c>
      <c r="N317" s="160" t="s">
        <v>1441</v>
      </c>
      <c r="O317" s="187">
        <v>91967.94</v>
      </c>
      <c r="P317" s="160" t="s">
        <v>149</v>
      </c>
      <c r="Q317" s="104" t="s">
        <v>7</v>
      </c>
      <c r="R317" s="162" t="s">
        <v>1523</v>
      </c>
      <c r="S317" s="162"/>
      <c r="T317" s="160"/>
      <c r="U317" s="160"/>
      <c r="V317" s="160"/>
      <c r="W317" s="160"/>
      <c r="X317" s="160"/>
      <c r="Y317" s="160"/>
      <c r="Z317" s="160"/>
      <c r="AA317" s="160"/>
      <c r="AB317" s="160"/>
      <c r="AC317" s="160"/>
      <c r="AD317" s="160"/>
    </row>
    <row r="318" s="10" customFormat="1" ht="14" spans="1:30">
      <c r="A318" s="6" t="s">
        <v>142</v>
      </c>
      <c r="B318" s="158">
        <v>46035</v>
      </c>
      <c r="C318" s="104" t="str">
        <f t="shared" si="5"/>
        <v>2026年1月</v>
      </c>
      <c r="D318" s="104" t="s">
        <v>12</v>
      </c>
      <c r="E318" s="159"/>
      <c r="F318" s="104" t="s">
        <v>1029</v>
      </c>
      <c r="G318" s="195" t="s">
        <v>1011</v>
      </c>
      <c r="H318" s="40" t="s">
        <v>48</v>
      </c>
      <c r="I318" s="155" t="s">
        <v>2078</v>
      </c>
      <c r="J318" s="109" t="s">
        <v>82</v>
      </c>
      <c r="K318" s="160"/>
      <c r="L318" s="161" t="s">
        <v>2079</v>
      </c>
      <c r="M318" s="160" t="s">
        <v>2080</v>
      </c>
      <c r="N318" s="160" t="s">
        <v>2081</v>
      </c>
      <c r="O318" s="187">
        <v>241477</v>
      </c>
      <c r="P318" s="160" t="s">
        <v>173</v>
      </c>
      <c r="Q318" s="104" t="s">
        <v>105</v>
      </c>
      <c r="R318" s="162"/>
      <c r="S318" s="162"/>
      <c r="T318" s="160"/>
      <c r="U318" s="160"/>
      <c r="V318" s="160"/>
      <c r="W318" s="160"/>
      <c r="X318" s="160"/>
      <c r="Y318" s="160"/>
      <c r="Z318" s="160"/>
      <c r="AA318" s="160"/>
      <c r="AB318" s="160"/>
      <c r="AC318" s="160"/>
      <c r="AD318" s="160"/>
    </row>
    <row r="319" s="10" customFormat="1" ht="14" spans="1:30">
      <c r="A319" s="6" t="s">
        <v>207</v>
      </c>
      <c r="B319" s="158">
        <v>46035</v>
      </c>
      <c r="C319" s="104" t="str">
        <f t="shared" si="5"/>
        <v>2026年1月</v>
      </c>
      <c r="D319" s="104" t="s">
        <v>10</v>
      </c>
      <c r="E319" s="159"/>
      <c r="F319" s="104" t="s">
        <v>1006</v>
      </c>
      <c r="G319" s="195" t="s">
        <v>1007</v>
      </c>
      <c r="H319" s="40" t="s">
        <v>2002</v>
      </c>
      <c r="I319" s="155" t="s">
        <v>2082</v>
      </c>
      <c r="J319" s="109" t="s">
        <v>82</v>
      </c>
      <c r="K319" s="160"/>
      <c r="L319" s="161" t="s">
        <v>2083</v>
      </c>
      <c r="M319" s="160"/>
      <c r="N319" s="160" t="s">
        <v>2084</v>
      </c>
      <c r="O319" s="187"/>
      <c r="P319" s="160"/>
      <c r="Q319" s="104" t="s">
        <v>7</v>
      </c>
      <c r="R319" s="162" t="s">
        <v>2085</v>
      </c>
      <c r="S319" s="162"/>
      <c r="T319" s="160"/>
      <c r="U319" s="160"/>
      <c r="V319" s="160"/>
      <c r="W319" s="160"/>
      <c r="X319" s="160"/>
      <c r="Y319" s="160"/>
      <c r="Z319" s="160"/>
      <c r="AA319" s="160"/>
      <c r="AB319" s="160"/>
      <c r="AC319" s="160"/>
      <c r="AD319" s="160"/>
    </row>
    <row r="320" s="10" customFormat="1" ht="14" spans="1:30">
      <c r="A320" s="6" t="s">
        <v>207</v>
      </c>
      <c r="B320" s="158">
        <v>46035</v>
      </c>
      <c r="C320" s="104" t="str">
        <f t="shared" si="5"/>
        <v>2026年1月</v>
      </c>
      <c r="D320" s="104" t="s">
        <v>12</v>
      </c>
      <c r="E320" s="159"/>
      <c r="F320" s="104" t="s">
        <v>1029</v>
      </c>
      <c r="G320" s="195" t="s">
        <v>1007</v>
      </c>
      <c r="H320" s="40" t="s">
        <v>39</v>
      </c>
      <c r="I320" s="155" t="s">
        <v>2086</v>
      </c>
      <c r="J320" s="109" t="s">
        <v>82</v>
      </c>
      <c r="K320" s="160"/>
      <c r="L320" s="161" t="s">
        <v>1071</v>
      </c>
      <c r="M320" s="160" t="s">
        <v>1072</v>
      </c>
      <c r="N320" s="160" t="s">
        <v>2087</v>
      </c>
      <c r="O320" s="187">
        <v>2777</v>
      </c>
      <c r="P320" s="160" t="s">
        <v>173</v>
      </c>
      <c r="Q320" s="104" t="s">
        <v>105</v>
      </c>
      <c r="R320" s="162" t="s">
        <v>715</v>
      </c>
      <c r="S320" s="162"/>
      <c r="T320" s="160"/>
      <c r="U320" s="160"/>
      <c r="V320" s="160"/>
      <c r="W320" s="160"/>
      <c r="X320" s="160"/>
      <c r="Y320" s="160"/>
      <c r="Z320" s="160"/>
      <c r="AA320" s="160"/>
      <c r="AB320" s="160"/>
      <c r="AC320" s="160"/>
      <c r="AD320" s="160"/>
    </row>
    <row r="321" s="10" customFormat="1" ht="14" spans="1:30">
      <c r="A321" s="6" t="s">
        <v>142</v>
      </c>
      <c r="B321" s="158">
        <v>46036</v>
      </c>
      <c r="C321" s="104" t="str">
        <f t="shared" si="5"/>
        <v>2026年1月</v>
      </c>
      <c r="D321" s="104" t="s">
        <v>12</v>
      </c>
      <c r="E321" s="159" t="s">
        <v>2088</v>
      </c>
      <c r="F321" s="104" t="s">
        <v>1006</v>
      </c>
      <c r="G321" s="195" t="s">
        <v>1011</v>
      </c>
      <c r="H321" s="40" t="s">
        <v>46</v>
      </c>
      <c r="I321" s="155" t="s">
        <v>2089</v>
      </c>
      <c r="J321" s="109" t="s">
        <v>82</v>
      </c>
      <c r="K321" s="160"/>
      <c r="L321" s="161" t="s">
        <v>1990</v>
      </c>
      <c r="M321" s="160" t="s">
        <v>2090</v>
      </c>
      <c r="N321" s="160" t="s">
        <v>2091</v>
      </c>
      <c r="O321" s="187">
        <v>999968</v>
      </c>
      <c r="P321" s="160" t="s">
        <v>173</v>
      </c>
      <c r="Q321" s="104" t="s">
        <v>7</v>
      </c>
      <c r="R321" s="162"/>
      <c r="S321" s="162"/>
      <c r="T321" s="160"/>
      <c r="U321" s="160"/>
      <c r="V321" s="160"/>
      <c r="W321" s="160"/>
      <c r="X321" s="160"/>
      <c r="Y321" s="160"/>
      <c r="Z321" s="160"/>
      <c r="AA321" s="160"/>
      <c r="AB321" s="160"/>
      <c r="AC321" s="160"/>
      <c r="AD321" s="160"/>
    </row>
    <row r="322" s="10" customFormat="1" ht="14" spans="1:30">
      <c r="A322" s="6" t="s">
        <v>207</v>
      </c>
      <c r="B322" s="158">
        <v>46038</v>
      </c>
      <c r="C322" s="104" t="str">
        <f t="shared" si="5"/>
        <v>2026年1月</v>
      </c>
      <c r="D322" s="104" t="s">
        <v>10</v>
      </c>
      <c r="E322" s="159"/>
      <c r="F322" s="104" t="s">
        <v>1029</v>
      </c>
      <c r="G322" s="195" t="s">
        <v>1011</v>
      </c>
      <c r="H322" s="40" t="s">
        <v>46</v>
      </c>
      <c r="I322" s="10" t="s">
        <v>2092</v>
      </c>
      <c r="J322" s="109" t="s">
        <v>82</v>
      </c>
      <c r="K322" s="160"/>
      <c r="L322" s="161" t="s">
        <v>2093</v>
      </c>
      <c r="M322" s="160" t="s">
        <v>2094</v>
      </c>
      <c r="N322" s="160" t="s">
        <v>2095</v>
      </c>
      <c r="O322" s="187">
        <v>55009.72</v>
      </c>
      <c r="P322" s="160" t="s">
        <v>1062</v>
      </c>
      <c r="Q322" s="104" t="s">
        <v>7</v>
      </c>
      <c r="R322" s="162" t="s">
        <v>1904</v>
      </c>
      <c r="S322" s="162"/>
      <c r="T322" s="160"/>
      <c r="U322" s="160"/>
      <c r="V322" s="160"/>
      <c r="W322" s="160"/>
      <c r="X322" s="160"/>
      <c r="Y322" s="160"/>
      <c r="Z322" s="160"/>
      <c r="AA322" s="160"/>
      <c r="AB322" s="160"/>
      <c r="AC322" s="160"/>
      <c r="AD322" s="160"/>
    </row>
    <row r="323" s="10" customFormat="1" ht="14" spans="1:30">
      <c r="A323" s="6" t="s">
        <v>207</v>
      </c>
      <c r="B323" s="158">
        <v>46038</v>
      </c>
      <c r="C323" s="104" t="str">
        <f t="shared" si="5"/>
        <v>2026年1月</v>
      </c>
      <c r="D323" s="104" t="s">
        <v>10</v>
      </c>
      <c r="E323" s="159"/>
      <c r="F323" s="104" t="s">
        <v>1006</v>
      </c>
      <c r="G323" s="195" t="s">
        <v>1007</v>
      </c>
      <c r="H323" s="40" t="s">
        <v>40</v>
      </c>
      <c r="I323" s="155" t="s">
        <v>2096</v>
      </c>
      <c r="J323" s="109" t="s">
        <v>422</v>
      </c>
      <c r="K323" s="160"/>
      <c r="L323" s="161" t="s">
        <v>1526</v>
      </c>
      <c r="M323" s="160" t="s">
        <v>2097</v>
      </c>
      <c r="N323" s="160" t="s">
        <v>1528</v>
      </c>
      <c r="O323" s="187">
        <v>220</v>
      </c>
      <c r="P323" s="160" t="s">
        <v>149</v>
      </c>
      <c r="Q323" s="104" t="s">
        <v>105</v>
      </c>
      <c r="R323" s="162" t="s">
        <v>689</v>
      </c>
      <c r="S323" s="162" t="s">
        <v>2098</v>
      </c>
      <c r="T323" s="160"/>
      <c r="U323" s="160"/>
      <c r="V323" s="160"/>
      <c r="W323" s="160"/>
      <c r="X323" s="160"/>
      <c r="Y323" s="160"/>
      <c r="Z323" s="160"/>
      <c r="AA323" s="160"/>
      <c r="AB323" s="160"/>
      <c r="AC323" s="160"/>
      <c r="AD323" s="160"/>
    </row>
    <row r="324" s="10" customFormat="1" ht="14" spans="1:30">
      <c r="A324" s="6" t="s">
        <v>142</v>
      </c>
      <c r="B324" s="158">
        <v>46042</v>
      </c>
      <c r="C324" s="104" t="str">
        <f t="shared" si="5"/>
        <v>2026年1月</v>
      </c>
      <c r="D324" s="104" t="s">
        <v>12</v>
      </c>
      <c r="E324" s="159"/>
      <c r="F324" s="104" t="s">
        <v>1029</v>
      </c>
      <c r="G324" s="195" t="s">
        <v>1007</v>
      </c>
      <c r="H324" s="40" t="s">
        <v>39</v>
      </c>
      <c r="I324" s="155" t="s">
        <v>2099</v>
      </c>
      <c r="J324" s="109" t="s">
        <v>82</v>
      </c>
      <c r="K324" s="160"/>
      <c r="L324" s="161" t="s">
        <v>2100</v>
      </c>
      <c r="M324" s="160" t="s">
        <v>2101</v>
      </c>
      <c r="N324" s="160" t="s">
        <v>2102</v>
      </c>
      <c r="O324" s="187">
        <v>15963</v>
      </c>
      <c r="P324" s="160" t="s">
        <v>149</v>
      </c>
      <c r="Q324" s="104" t="s">
        <v>7</v>
      </c>
      <c r="R324" s="162"/>
      <c r="S324" s="162"/>
      <c r="T324" s="160"/>
      <c r="U324" s="160"/>
      <c r="V324" s="160"/>
      <c r="W324" s="160"/>
      <c r="X324" s="160"/>
      <c r="Y324" s="160"/>
      <c r="Z324" s="160"/>
      <c r="AA324" s="160"/>
      <c r="AB324" s="160"/>
      <c r="AC324" s="160"/>
      <c r="AD324" s="160"/>
    </row>
    <row r="325" s="10" customFormat="1" ht="14" spans="1:30">
      <c r="A325" s="6" t="s">
        <v>207</v>
      </c>
      <c r="B325" s="158">
        <v>46043</v>
      </c>
      <c r="C325" s="104" t="str">
        <f t="shared" si="5"/>
        <v>2026年1月</v>
      </c>
      <c r="D325" s="104" t="s">
        <v>10</v>
      </c>
      <c r="E325" s="159"/>
      <c r="F325" s="104" t="s">
        <v>1006</v>
      </c>
      <c r="G325" s="195" t="s">
        <v>1007</v>
      </c>
      <c r="H325" s="40" t="s">
        <v>40</v>
      </c>
      <c r="I325" s="155" t="s">
        <v>2103</v>
      </c>
      <c r="J325" s="109" t="s">
        <v>82</v>
      </c>
      <c r="K325" s="160"/>
      <c r="L325" s="161" t="s">
        <v>2104</v>
      </c>
      <c r="M325" s="160" t="s">
        <v>2105</v>
      </c>
      <c r="N325" s="160" t="s">
        <v>2106</v>
      </c>
      <c r="O325" s="187">
        <v>53.52</v>
      </c>
      <c r="P325" s="160" t="s">
        <v>149</v>
      </c>
      <c r="Q325" s="104" t="s">
        <v>105</v>
      </c>
      <c r="R325" s="162" t="s">
        <v>800</v>
      </c>
      <c r="S325" s="162"/>
      <c r="T325" s="160"/>
      <c r="U325" s="160"/>
      <c r="V325" s="160"/>
      <c r="W325" s="160"/>
      <c r="X325" s="160"/>
      <c r="Y325" s="160"/>
      <c r="Z325" s="160"/>
      <c r="AA325" s="160"/>
      <c r="AB325" s="160"/>
      <c r="AC325" s="160"/>
      <c r="AD325" s="160"/>
    </row>
    <row r="326" s="10" customFormat="1" ht="14" spans="1:30">
      <c r="A326" s="6" t="s">
        <v>142</v>
      </c>
      <c r="B326" s="158">
        <v>46045</v>
      </c>
      <c r="C326" s="104" t="str">
        <f t="shared" si="5"/>
        <v>2026年1月</v>
      </c>
      <c r="D326" s="104" t="s">
        <v>10</v>
      </c>
      <c r="E326" s="159"/>
      <c r="F326" s="104" t="s">
        <v>1006</v>
      </c>
      <c r="G326" s="195" t="s">
        <v>1007</v>
      </c>
      <c r="H326" s="40" t="s">
        <v>40</v>
      </c>
      <c r="I326" s="155" t="s">
        <v>2107</v>
      </c>
      <c r="J326" s="109" t="s">
        <v>787</v>
      </c>
      <c r="K326" s="160" t="s">
        <v>2108</v>
      </c>
      <c r="L326" s="161" t="s">
        <v>2109</v>
      </c>
      <c r="M326" s="160" t="s">
        <v>2110</v>
      </c>
      <c r="N326" s="160" t="s">
        <v>2111</v>
      </c>
      <c r="O326" s="187">
        <v>1000</v>
      </c>
      <c r="P326" s="160" t="s">
        <v>149</v>
      </c>
      <c r="Q326" s="104" t="s">
        <v>7</v>
      </c>
      <c r="R326" s="162" t="s">
        <v>168</v>
      </c>
      <c r="S326" s="162"/>
      <c r="T326" s="160"/>
      <c r="U326" s="160"/>
      <c r="V326" s="160"/>
      <c r="W326" s="160"/>
      <c r="X326" s="160"/>
      <c r="Y326" s="160"/>
      <c r="Z326" s="160"/>
      <c r="AA326" s="160"/>
      <c r="AB326" s="160"/>
      <c r="AC326" s="160"/>
      <c r="AD326" s="160"/>
    </row>
    <row r="327" s="10" customFormat="1" ht="14" spans="1:30">
      <c r="A327" s="6" t="s">
        <v>142</v>
      </c>
      <c r="B327" s="158">
        <v>46045</v>
      </c>
      <c r="C327" s="104" t="str">
        <f t="shared" si="5"/>
        <v>2026年1月</v>
      </c>
      <c r="D327" s="104" t="s">
        <v>12</v>
      </c>
      <c r="E327" s="159"/>
      <c r="F327" s="104" t="s">
        <v>1029</v>
      </c>
      <c r="G327" s="195" t="s">
        <v>1007</v>
      </c>
      <c r="H327" s="40" t="s">
        <v>48</v>
      </c>
      <c r="I327" s="155" t="s">
        <v>2112</v>
      </c>
      <c r="J327" s="109" t="s">
        <v>82</v>
      </c>
      <c r="K327" s="160"/>
      <c r="L327" s="161" t="s">
        <v>2113</v>
      </c>
      <c r="M327" s="160" t="s">
        <v>2114</v>
      </c>
      <c r="N327" s="160" t="s">
        <v>2115</v>
      </c>
      <c r="O327" s="211">
        <v>219910</v>
      </c>
      <c r="P327" s="160" t="s">
        <v>1567</v>
      </c>
      <c r="Q327" s="104" t="s">
        <v>105</v>
      </c>
      <c r="R327" s="162"/>
      <c r="S327" s="162"/>
      <c r="T327" s="158">
        <v>46048</v>
      </c>
      <c r="U327" s="160"/>
      <c r="V327" s="160"/>
      <c r="W327" s="160"/>
      <c r="X327" s="160"/>
      <c r="Y327" s="160"/>
      <c r="Z327" s="160"/>
      <c r="AA327" s="160"/>
      <c r="AB327" s="160"/>
      <c r="AC327" s="160"/>
      <c r="AD327" s="160"/>
    </row>
    <row r="328" s="10" customFormat="1" ht="14" spans="1:30">
      <c r="A328" s="6" t="s">
        <v>142</v>
      </c>
      <c r="B328" s="158">
        <v>46044</v>
      </c>
      <c r="C328" s="104" t="str">
        <f t="shared" si="5"/>
        <v>2026年1月</v>
      </c>
      <c r="D328" s="104" t="s">
        <v>10</v>
      </c>
      <c r="E328" s="159"/>
      <c r="F328" s="104" t="s">
        <v>1006</v>
      </c>
      <c r="G328" s="195" t="s">
        <v>1007</v>
      </c>
      <c r="H328" s="40" t="s">
        <v>40</v>
      </c>
      <c r="I328" s="155" t="s">
        <v>2116</v>
      </c>
      <c r="J328" s="109" t="s">
        <v>787</v>
      </c>
      <c r="K328" s="160" t="s">
        <v>2117</v>
      </c>
      <c r="L328" s="161" t="s">
        <v>1882</v>
      </c>
      <c r="M328" s="160" t="s">
        <v>1023</v>
      </c>
      <c r="N328" s="160" t="s">
        <v>2118</v>
      </c>
      <c r="O328" s="187">
        <v>0.06</v>
      </c>
      <c r="P328" s="160" t="s">
        <v>149</v>
      </c>
      <c r="Q328" s="104" t="s">
        <v>7</v>
      </c>
      <c r="R328" s="162"/>
      <c r="S328" s="162" t="s">
        <v>2118</v>
      </c>
      <c r="T328" s="160"/>
      <c r="U328" s="160"/>
      <c r="V328" s="160"/>
      <c r="W328" s="160"/>
      <c r="X328" s="160"/>
      <c r="Y328" s="160"/>
      <c r="Z328" s="160"/>
      <c r="AA328" s="160"/>
      <c r="AB328" s="160"/>
      <c r="AC328" s="160"/>
      <c r="AD328" s="160"/>
    </row>
    <row r="329" s="10" customFormat="1" ht="14" spans="1:30">
      <c r="A329" s="6" t="s">
        <v>142</v>
      </c>
      <c r="B329" s="158">
        <v>46044</v>
      </c>
      <c r="C329" s="104" t="str">
        <f t="shared" si="5"/>
        <v>2026年1月</v>
      </c>
      <c r="D329" s="104" t="s">
        <v>10</v>
      </c>
      <c r="E329" s="159"/>
      <c r="F329" s="104" t="s">
        <v>1006</v>
      </c>
      <c r="G329" s="195" t="s">
        <v>1007</v>
      </c>
      <c r="H329" s="40" t="s">
        <v>40</v>
      </c>
      <c r="I329" s="155" t="s">
        <v>2119</v>
      </c>
      <c r="J329" s="109" t="s">
        <v>787</v>
      </c>
      <c r="K329" s="160" t="s">
        <v>2120</v>
      </c>
      <c r="L329" s="161" t="s">
        <v>1526</v>
      </c>
      <c r="M329" s="162" t="s">
        <v>2121</v>
      </c>
      <c r="N329" s="160" t="s">
        <v>1528</v>
      </c>
      <c r="O329" s="187">
        <v>250</v>
      </c>
      <c r="P329" s="160" t="s">
        <v>139</v>
      </c>
      <c r="Q329" s="104" t="s">
        <v>7</v>
      </c>
      <c r="R329" s="162" t="s">
        <v>85</v>
      </c>
      <c r="S329" s="162"/>
      <c r="T329" s="160"/>
      <c r="U329" s="160"/>
      <c r="V329" s="160"/>
      <c r="W329" s="160"/>
      <c r="X329" s="160"/>
      <c r="Y329" s="160"/>
      <c r="Z329" s="160"/>
      <c r="AA329" s="160"/>
      <c r="AB329" s="160"/>
      <c r="AC329" s="160"/>
      <c r="AD329" s="160"/>
    </row>
    <row r="330" s="10" customFormat="1" ht="14" spans="1:30">
      <c r="A330" s="6" t="s">
        <v>207</v>
      </c>
      <c r="B330" s="158">
        <v>46045</v>
      </c>
      <c r="C330" s="104" t="str">
        <f t="shared" si="5"/>
        <v>2026年1月</v>
      </c>
      <c r="D330" s="104" t="s">
        <v>12</v>
      </c>
      <c r="E330" s="159"/>
      <c r="F330" s="104" t="s">
        <v>1029</v>
      </c>
      <c r="G330" s="195" t="s">
        <v>1011</v>
      </c>
      <c r="H330" s="40" t="s">
        <v>48</v>
      </c>
      <c r="I330" s="155" t="s">
        <v>2122</v>
      </c>
      <c r="J330" s="109" t="s">
        <v>82</v>
      </c>
      <c r="K330" s="160"/>
      <c r="L330" s="161" t="s">
        <v>1439</v>
      </c>
      <c r="M330" s="160" t="s">
        <v>1440</v>
      </c>
      <c r="N330" s="160" t="s">
        <v>1441</v>
      </c>
      <c r="O330" s="187">
        <v>61928.01</v>
      </c>
      <c r="P330" s="160" t="s">
        <v>149</v>
      </c>
      <c r="Q330" s="104" t="s">
        <v>7</v>
      </c>
      <c r="R330" s="162" t="s">
        <v>1523</v>
      </c>
      <c r="S330" s="162"/>
      <c r="T330" s="160"/>
      <c r="U330" s="160"/>
      <c r="V330" s="160"/>
      <c r="W330" s="160"/>
      <c r="X330" s="160"/>
      <c r="Y330" s="160"/>
      <c r="Z330" s="160"/>
      <c r="AA330" s="160"/>
      <c r="AB330" s="160"/>
      <c r="AC330" s="160"/>
      <c r="AD330" s="160"/>
    </row>
    <row r="331" s="10" customFormat="1" ht="14" spans="1:30">
      <c r="A331" s="6" t="s">
        <v>142</v>
      </c>
      <c r="B331" s="158">
        <v>46046</v>
      </c>
      <c r="C331" s="104" t="str">
        <f t="shared" si="5"/>
        <v>2026年1月</v>
      </c>
      <c r="D331" s="104" t="s">
        <v>10</v>
      </c>
      <c r="E331" s="159"/>
      <c r="F331" s="104" t="s">
        <v>1029</v>
      </c>
      <c r="G331" s="195" t="s">
        <v>1007</v>
      </c>
      <c r="H331" s="40" t="s">
        <v>44</v>
      </c>
      <c r="I331" s="155" t="s">
        <v>2123</v>
      </c>
      <c r="J331" s="109" t="s">
        <v>82</v>
      </c>
      <c r="K331" s="160"/>
      <c r="L331" s="161" t="s">
        <v>2124</v>
      </c>
      <c r="M331" s="160" t="s">
        <v>2125</v>
      </c>
      <c r="N331" s="160" t="s">
        <v>2126</v>
      </c>
      <c r="O331" s="187">
        <v>39000000</v>
      </c>
      <c r="P331" s="160" t="s">
        <v>1172</v>
      </c>
      <c r="Q331" s="104" t="s">
        <v>105</v>
      </c>
      <c r="R331" s="162" t="s">
        <v>120</v>
      </c>
      <c r="S331" s="162"/>
      <c r="T331" s="158">
        <v>46048</v>
      </c>
      <c r="U331" s="158">
        <v>46051</v>
      </c>
      <c r="V331" s="160"/>
      <c r="W331" s="160"/>
      <c r="X331" s="160"/>
      <c r="Y331" s="160"/>
      <c r="Z331" s="160"/>
      <c r="AA331" s="160"/>
      <c r="AB331" s="160"/>
      <c r="AC331" s="160"/>
      <c r="AD331" s="160"/>
    </row>
    <row r="332" s="10" customFormat="1" ht="39" spans="1:30">
      <c r="A332" s="6" t="s">
        <v>207</v>
      </c>
      <c r="B332" s="158">
        <v>46048</v>
      </c>
      <c r="C332" s="104" t="str">
        <f t="shared" si="5"/>
        <v>2026年1月</v>
      </c>
      <c r="D332" s="104" t="s">
        <v>10</v>
      </c>
      <c r="E332" s="159"/>
      <c r="F332" s="104" t="s">
        <v>1006</v>
      </c>
      <c r="G332" s="195" t="s">
        <v>1007</v>
      </c>
      <c r="H332" s="40" t="s">
        <v>40</v>
      </c>
      <c r="I332" s="208" t="s">
        <v>2127</v>
      </c>
      <c r="J332" s="109" t="s">
        <v>82</v>
      </c>
      <c r="K332" s="160"/>
      <c r="L332" s="161" t="s">
        <v>2128</v>
      </c>
      <c r="M332" s="160"/>
      <c r="N332" s="160" t="s">
        <v>2129</v>
      </c>
      <c r="O332" s="187">
        <v>294</v>
      </c>
      <c r="P332" s="160" t="s">
        <v>149</v>
      </c>
      <c r="Q332" s="104" t="s">
        <v>105</v>
      </c>
      <c r="R332" s="162" t="s">
        <v>822</v>
      </c>
      <c r="S332" s="162"/>
      <c r="T332" s="160"/>
      <c r="U332" s="160"/>
      <c r="V332" s="160"/>
      <c r="W332" s="160"/>
      <c r="X332" s="160"/>
      <c r="Y332" s="160"/>
      <c r="Z332" s="160"/>
      <c r="AA332" s="160"/>
      <c r="AB332" s="160"/>
      <c r="AC332" s="160"/>
      <c r="AD332" s="160"/>
    </row>
    <row r="333" s="10" customFormat="1" ht="14" spans="1:30">
      <c r="A333" s="6" t="s">
        <v>207</v>
      </c>
      <c r="B333" s="158">
        <v>46048</v>
      </c>
      <c r="C333" s="104" t="str">
        <f t="shared" si="5"/>
        <v>2026年1月</v>
      </c>
      <c r="D333" s="104" t="s">
        <v>10</v>
      </c>
      <c r="E333" s="159"/>
      <c r="F333" s="104" t="s">
        <v>1006</v>
      </c>
      <c r="G333" s="195" t="s">
        <v>1007</v>
      </c>
      <c r="H333" s="40" t="s">
        <v>40</v>
      </c>
      <c r="I333" s="155" t="s">
        <v>2130</v>
      </c>
      <c r="J333" s="109" t="s">
        <v>82</v>
      </c>
      <c r="K333" s="160"/>
      <c r="L333" s="161" t="s">
        <v>2131</v>
      </c>
      <c r="M333" s="160" t="s">
        <v>1316</v>
      </c>
      <c r="N333" s="160" t="s">
        <v>2132</v>
      </c>
      <c r="O333" s="187">
        <v>110</v>
      </c>
      <c r="P333" s="160" t="s">
        <v>80</v>
      </c>
      <c r="Q333" s="104" t="s">
        <v>105</v>
      </c>
      <c r="R333" s="162" t="s">
        <v>1509</v>
      </c>
      <c r="S333" s="162"/>
      <c r="T333" s="160"/>
      <c r="U333" s="160"/>
      <c r="V333" s="160"/>
      <c r="W333" s="160"/>
      <c r="X333" s="160"/>
      <c r="Y333" s="160"/>
      <c r="Z333" s="160"/>
      <c r="AA333" s="160"/>
      <c r="AB333" s="160"/>
      <c r="AC333" s="160"/>
      <c r="AD333" s="160"/>
    </row>
    <row r="334" s="10" customFormat="1" ht="14" spans="1:30">
      <c r="A334" s="6" t="s">
        <v>207</v>
      </c>
      <c r="B334" s="158">
        <v>46049</v>
      </c>
      <c r="C334" s="104" t="str">
        <f t="shared" si="5"/>
        <v>2026年1月</v>
      </c>
      <c r="D334" s="104" t="s">
        <v>12</v>
      </c>
      <c r="E334" s="159"/>
      <c r="F334" s="104" t="s">
        <v>1029</v>
      </c>
      <c r="G334" s="195" t="s">
        <v>1007</v>
      </c>
      <c r="H334" s="40" t="s">
        <v>48</v>
      </c>
      <c r="I334" s="155" t="s">
        <v>2133</v>
      </c>
      <c r="J334" s="109" t="s">
        <v>787</v>
      </c>
      <c r="K334" s="160" t="s">
        <v>2134</v>
      </c>
      <c r="L334" s="161" t="s">
        <v>1071</v>
      </c>
      <c r="M334" s="160" t="s">
        <v>1072</v>
      </c>
      <c r="N334" s="160" t="s">
        <v>2135</v>
      </c>
      <c r="O334" s="187">
        <v>493827</v>
      </c>
      <c r="P334" s="160" t="s">
        <v>173</v>
      </c>
      <c r="Q334" s="104" t="s">
        <v>7</v>
      </c>
      <c r="R334" s="162" t="s">
        <v>715</v>
      </c>
      <c r="S334" s="162"/>
      <c r="T334" s="160"/>
      <c r="U334" s="160"/>
      <c r="V334" s="160"/>
      <c r="W334" s="160"/>
      <c r="X334" s="160"/>
      <c r="Y334" s="160"/>
      <c r="Z334" s="160"/>
      <c r="AA334" s="160"/>
      <c r="AB334" s="160"/>
      <c r="AC334" s="160"/>
      <c r="AD334" s="160"/>
    </row>
    <row r="335" s="10" customFormat="1" ht="14" spans="1:30">
      <c r="A335" s="6" t="s">
        <v>142</v>
      </c>
      <c r="B335" s="158">
        <v>46049</v>
      </c>
      <c r="C335" s="104" t="str">
        <f t="shared" si="5"/>
        <v>2026年1月</v>
      </c>
      <c r="D335" s="104" t="s">
        <v>12</v>
      </c>
      <c r="E335" s="159"/>
      <c r="F335" s="104" t="s">
        <v>1029</v>
      </c>
      <c r="G335" s="195" t="s">
        <v>1011</v>
      </c>
      <c r="H335" s="40" t="s">
        <v>39</v>
      </c>
      <c r="I335" s="155" t="s">
        <v>2136</v>
      </c>
      <c r="J335" s="109" t="s">
        <v>82</v>
      </c>
      <c r="K335" s="160"/>
      <c r="L335" s="161" t="s">
        <v>2100</v>
      </c>
      <c r="M335" s="160" t="s">
        <v>2101</v>
      </c>
      <c r="N335" s="160" t="s">
        <v>2137</v>
      </c>
      <c r="O335" s="187">
        <v>86246.37</v>
      </c>
      <c r="P335" s="160" t="s">
        <v>149</v>
      </c>
      <c r="Q335" s="104" t="s">
        <v>7</v>
      </c>
      <c r="R335" s="162"/>
      <c r="S335" s="162"/>
      <c r="T335" s="160"/>
      <c r="U335" s="160"/>
      <c r="V335" s="160"/>
      <c r="W335" s="160"/>
      <c r="X335" s="160"/>
      <c r="Y335" s="160"/>
      <c r="Z335" s="160"/>
      <c r="AA335" s="160"/>
      <c r="AB335" s="160"/>
      <c r="AC335" s="160"/>
      <c r="AD335" s="160"/>
    </row>
    <row r="336" s="10" customFormat="1" ht="14" spans="1:30">
      <c r="A336" s="6" t="s">
        <v>142</v>
      </c>
      <c r="B336" s="158">
        <v>46050</v>
      </c>
      <c r="C336" s="104" t="str">
        <f t="shared" si="5"/>
        <v>2026年1月</v>
      </c>
      <c r="D336" s="104" t="s">
        <v>10</v>
      </c>
      <c r="E336" s="159"/>
      <c r="F336" s="104" t="s">
        <v>1029</v>
      </c>
      <c r="G336" s="195" t="s">
        <v>1007</v>
      </c>
      <c r="H336" s="40" t="s">
        <v>48</v>
      </c>
      <c r="I336" s="155" t="s">
        <v>2138</v>
      </c>
      <c r="J336" s="109" t="s">
        <v>82</v>
      </c>
      <c r="K336" s="160"/>
      <c r="L336" s="161" t="s">
        <v>2079</v>
      </c>
      <c r="M336" s="160" t="s">
        <v>2080</v>
      </c>
      <c r="N336" s="160" t="s">
        <v>1817</v>
      </c>
      <c r="O336" s="187">
        <v>102350</v>
      </c>
      <c r="P336" s="160" t="s">
        <v>173</v>
      </c>
      <c r="Q336" s="104" t="s">
        <v>7</v>
      </c>
      <c r="R336" s="162"/>
      <c r="S336" s="162"/>
      <c r="T336" s="158">
        <v>46059</v>
      </c>
      <c r="U336" s="160"/>
      <c r="V336" s="160"/>
      <c r="W336" s="160"/>
      <c r="X336" s="160"/>
      <c r="Y336" s="160"/>
      <c r="Z336" s="160"/>
      <c r="AA336" s="160"/>
      <c r="AB336" s="160"/>
      <c r="AC336" s="160"/>
      <c r="AD336" s="160"/>
    </row>
    <row r="337" s="10" customFormat="1" ht="14" spans="1:30">
      <c r="A337" s="6" t="s">
        <v>207</v>
      </c>
      <c r="B337" s="158">
        <v>46050</v>
      </c>
      <c r="C337" s="104" t="str">
        <f t="shared" si="5"/>
        <v>2026年1月</v>
      </c>
      <c r="D337" s="104" t="s">
        <v>11</v>
      </c>
      <c r="E337" s="159"/>
      <c r="F337" s="104" t="s">
        <v>1029</v>
      </c>
      <c r="G337" s="195" t="s">
        <v>1007</v>
      </c>
      <c r="H337" s="40" t="s">
        <v>39</v>
      </c>
      <c r="I337" s="155" t="s">
        <v>2139</v>
      </c>
      <c r="J337" s="109" t="s">
        <v>82</v>
      </c>
      <c r="K337" s="160"/>
      <c r="L337" s="161" t="s">
        <v>1363</v>
      </c>
      <c r="M337" s="160" t="s">
        <v>1364</v>
      </c>
      <c r="N337" s="160" t="s">
        <v>2140</v>
      </c>
      <c r="O337" s="187">
        <v>692715</v>
      </c>
      <c r="P337" s="160" t="s">
        <v>1062</v>
      </c>
      <c r="Q337" s="104" t="s">
        <v>7</v>
      </c>
      <c r="R337" s="162" t="s">
        <v>2141</v>
      </c>
      <c r="S337" s="162" t="s">
        <v>2142</v>
      </c>
      <c r="T337" s="160"/>
      <c r="U337" s="160"/>
      <c r="V337" s="160"/>
      <c r="W337" s="160"/>
      <c r="X337" s="160"/>
      <c r="Y337" s="160"/>
      <c r="Z337" s="160"/>
      <c r="AA337" s="160"/>
      <c r="AB337" s="160"/>
      <c r="AC337" s="160"/>
      <c r="AD337" s="160"/>
    </row>
    <row r="338" s="10" customFormat="1" ht="14" spans="1:30">
      <c r="A338" s="6" t="s">
        <v>207</v>
      </c>
      <c r="B338" s="158">
        <v>46050</v>
      </c>
      <c r="C338" s="104" t="str">
        <f t="shared" si="5"/>
        <v>2026年1月</v>
      </c>
      <c r="D338" s="104" t="s">
        <v>10</v>
      </c>
      <c r="E338" s="159"/>
      <c r="F338" s="104" t="s">
        <v>1006</v>
      </c>
      <c r="G338" s="195" t="s">
        <v>1007</v>
      </c>
      <c r="H338" s="40" t="s">
        <v>40</v>
      </c>
      <c r="I338" s="155" t="s">
        <v>2143</v>
      </c>
      <c r="J338" s="109" t="s">
        <v>82</v>
      </c>
      <c r="K338" s="160"/>
      <c r="L338" s="161" t="s">
        <v>2128</v>
      </c>
      <c r="M338" s="160" t="s">
        <v>2144</v>
      </c>
      <c r="N338" s="160" t="s">
        <v>2129</v>
      </c>
      <c r="O338" s="187">
        <v>882</v>
      </c>
      <c r="P338" s="160" t="s">
        <v>149</v>
      </c>
      <c r="Q338" s="104" t="s">
        <v>7</v>
      </c>
      <c r="R338" s="162" t="s">
        <v>822</v>
      </c>
      <c r="S338" s="162"/>
      <c r="T338" s="160"/>
      <c r="U338" s="160"/>
      <c r="V338" s="160"/>
      <c r="W338" s="160"/>
      <c r="X338" s="160"/>
      <c r="Y338" s="160"/>
      <c r="Z338" s="160"/>
      <c r="AA338" s="160"/>
      <c r="AB338" s="160"/>
      <c r="AC338" s="160"/>
      <c r="AD338" s="160"/>
    </row>
    <row r="339" s="10" customFormat="1" ht="14" spans="1:30">
      <c r="A339" s="6" t="s">
        <v>142</v>
      </c>
      <c r="B339" s="158">
        <v>46052</v>
      </c>
      <c r="C339" s="104" t="str">
        <f t="shared" si="5"/>
        <v>2026年1月</v>
      </c>
      <c r="D339" s="104" t="s">
        <v>11</v>
      </c>
      <c r="E339" s="159"/>
      <c r="F339" s="104" t="s">
        <v>1029</v>
      </c>
      <c r="G339" s="195" t="s">
        <v>1007</v>
      </c>
      <c r="H339" s="40" t="s">
        <v>48</v>
      </c>
      <c r="I339" s="155" t="s">
        <v>2145</v>
      </c>
      <c r="J339" s="109" t="s">
        <v>82</v>
      </c>
      <c r="K339" s="160"/>
      <c r="L339" s="161" t="s">
        <v>2146</v>
      </c>
      <c r="M339" s="160" t="s">
        <v>2147</v>
      </c>
      <c r="N339" s="160" t="s">
        <v>2148</v>
      </c>
      <c r="O339" s="187">
        <v>132200</v>
      </c>
      <c r="P339" s="160" t="s">
        <v>173</v>
      </c>
      <c r="Q339" s="104" t="s">
        <v>105</v>
      </c>
      <c r="R339" s="162"/>
      <c r="S339" s="162"/>
      <c r="T339" s="160"/>
      <c r="U339" s="160"/>
      <c r="V339" s="160"/>
      <c r="W339" s="160"/>
      <c r="X339" s="160"/>
      <c r="Y339" s="160"/>
      <c r="Z339" s="160"/>
      <c r="AA339" s="160"/>
      <c r="AB339" s="160"/>
      <c r="AC339" s="160"/>
      <c r="AD339" s="160"/>
    </row>
    <row r="340" s="10" customFormat="1" ht="14" spans="1:30">
      <c r="A340" s="6" t="s">
        <v>207</v>
      </c>
      <c r="B340" s="158">
        <v>46052</v>
      </c>
      <c r="C340" s="104" t="str">
        <f t="shared" si="5"/>
        <v>2026年1月</v>
      </c>
      <c r="D340" s="104" t="s">
        <v>10</v>
      </c>
      <c r="E340" s="159"/>
      <c r="F340" s="104" t="s">
        <v>1006</v>
      </c>
      <c r="G340" s="195" t="s">
        <v>1007</v>
      </c>
      <c r="H340" s="40" t="s">
        <v>40</v>
      </c>
      <c r="I340" s="155" t="s">
        <v>2149</v>
      </c>
      <c r="J340" s="109" t="s">
        <v>82</v>
      </c>
      <c r="K340" s="160"/>
      <c r="L340" s="161" t="s">
        <v>2128</v>
      </c>
      <c r="M340" s="160"/>
      <c r="N340" s="160" t="s">
        <v>2129</v>
      </c>
      <c r="O340" s="187">
        <v>790</v>
      </c>
      <c r="P340" s="160" t="s">
        <v>149</v>
      </c>
      <c r="Q340" s="104" t="s">
        <v>7</v>
      </c>
      <c r="R340" s="162" t="s">
        <v>822</v>
      </c>
      <c r="S340" s="162"/>
      <c r="T340" s="160"/>
      <c r="U340" s="160"/>
      <c r="V340" s="160"/>
      <c r="W340" s="160"/>
      <c r="X340" s="160"/>
      <c r="Y340" s="160"/>
      <c r="Z340" s="160"/>
      <c r="AA340" s="160"/>
      <c r="AB340" s="160"/>
      <c r="AC340" s="160"/>
      <c r="AD340" s="160"/>
    </row>
    <row r="341" s="10" customFormat="1" ht="14" spans="1:30">
      <c r="A341" s="6" t="s">
        <v>207</v>
      </c>
      <c r="B341" s="158">
        <v>46052</v>
      </c>
      <c r="C341" s="104" t="str">
        <f t="shared" si="5"/>
        <v>2026年1月</v>
      </c>
      <c r="D341" s="104" t="s">
        <v>10</v>
      </c>
      <c r="E341" s="159"/>
      <c r="F341" s="104" t="s">
        <v>1006</v>
      </c>
      <c r="G341" s="195" t="s">
        <v>1007</v>
      </c>
      <c r="H341" s="40" t="s">
        <v>40</v>
      </c>
      <c r="I341" s="155" t="s">
        <v>2150</v>
      </c>
      <c r="J341" s="109" t="s">
        <v>787</v>
      </c>
      <c r="K341" s="160"/>
      <c r="L341" s="161" t="s">
        <v>1022</v>
      </c>
      <c r="M341" s="160" t="s">
        <v>1023</v>
      </c>
      <c r="N341" s="160" t="s">
        <v>1516</v>
      </c>
      <c r="O341" s="187">
        <v>76.36</v>
      </c>
      <c r="P341" s="160" t="s">
        <v>149</v>
      </c>
      <c r="Q341" s="104" t="s">
        <v>105</v>
      </c>
      <c r="R341" s="162" t="s">
        <v>1509</v>
      </c>
      <c r="S341" s="162" t="s">
        <v>2151</v>
      </c>
      <c r="T341" s="160"/>
      <c r="U341" s="160"/>
      <c r="V341" s="160"/>
      <c r="W341" s="160"/>
      <c r="X341" s="160"/>
      <c r="Y341" s="160"/>
      <c r="Z341" s="160"/>
      <c r="AA341" s="160"/>
      <c r="AB341" s="160"/>
      <c r="AC341" s="160"/>
      <c r="AD341" s="160"/>
    </row>
    <row r="342" s="10" customFormat="1" ht="14" spans="1:30">
      <c r="A342" s="6" t="s">
        <v>142</v>
      </c>
      <c r="B342" s="158">
        <v>46056</v>
      </c>
      <c r="C342" s="104" t="str">
        <f t="shared" si="5"/>
        <v>2026年2月</v>
      </c>
      <c r="D342" s="104" t="s">
        <v>11</v>
      </c>
      <c r="E342" s="159"/>
      <c r="F342" s="104" t="s">
        <v>1029</v>
      </c>
      <c r="G342" s="195" t="s">
        <v>1011</v>
      </c>
      <c r="H342" s="40" t="s">
        <v>48</v>
      </c>
      <c r="I342" s="155" t="s">
        <v>2152</v>
      </c>
      <c r="J342" s="109" t="s">
        <v>82</v>
      </c>
      <c r="K342" s="160"/>
      <c r="L342" s="161" t="s">
        <v>2153</v>
      </c>
      <c r="M342" s="160" t="s">
        <v>2154</v>
      </c>
      <c r="N342" s="162" t="s">
        <v>2155</v>
      </c>
      <c r="O342" s="187">
        <v>400000</v>
      </c>
      <c r="P342" s="160" t="s">
        <v>173</v>
      </c>
      <c r="Q342" s="104" t="s">
        <v>7</v>
      </c>
      <c r="R342" s="162"/>
      <c r="S342" s="162"/>
      <c r="T342" s="160"/>
      <c r="U342" s="160"/>
      <c r="V342" s="160"/>
      <c r="W342" s="160"/>
      <c r="X342" s="160"/>
      <c r="Y342" s="160"/>
      <c r="Z342" s="160"/>
      <c r="AA342" s="160"/>
      <c r="AB342" s="160"/>
      <c r="AC342" s="160"/>
      <c r="AD342" s="160"/>
    </row>
    <row r="343" s="10" customFormat="1" ht="14" spans="1:30">
      <c r="A343" s="6" t="s">
        <v>142</v>
      </c>
      <c r="B343" s="158">
        <v>46057</v>
      </c>
      <c r="C343" s="104" t="str">
        <f t="shared" si="5"/>
        <v>2026年2月</v>
      </c>
      <c r="D343" s="104" t="s">
        <v>12</v>
      </c>
      <c r="E343" s="159"/>
      <c r="F343" s="104" t="s">
        <v>1029</v>
      </c>
      <c r="G343" s="195" t="s">
        <v>1011</v>
      </c>
      <c r="H343" s="40" t="s">
        <v>48</v>
      </c>
      <c r="I343" s="155" t="s">
        <v>2156</v>
      </c>
      <c r="J343" s="109" t="s">
        <v>82</v>
      </c>
      <c r="K343" s="160"/>
      <c r="L343" s="161" t="s">
        <v>2157</v>
      </c>
      <c r="M343" s="160" t="s">
        <v>2158</v>
      </c>
      <c r="N343" s="160" t="s">
        <v>2159</v>
      </c>
      <c r="O343" s="211">
        <v>20000</v>
      </c>
      <c r="P343" s="160" t="s">
        <v>173</v>
      </c>
      <c r="Q343" s="104" t="s">
        <v>7</v>
      </c>
      <c r="R343" s="162"/>
      <c r="S343" s="162"/>
      <c r="T343" s="160"/>
      <c r="U343" s="160"/>
      <c r="V343" s="160"/>
      <c r="W343" s="160"/>
      <c r="X343" s="160"/>
      <c r="Y343" s="160"/>
      <c r="Z343" s="160"/>
      <c r="AA343" s="160"/>
      <c r="AB343" s="160"/>
      <c r="AC343" s="160"/>
      <c r="AD343" s="160"/>
    </row>
    <row r="344" s="10" customFormat="1" ht="14" spans="1:30">
      <c r="A344" s="6" t="s">
        <v>207</v>
      </c>
      <c r="B344" s="158">
        <v>46057</v>
      </c>
      <c r="C344" s="104" t="str">
        <f t="shared" si="5"/>
        <v>2026年2月</v>
      </c>
      <c r="D344" s="104" t="s">
        <v>10</v>
      </c>
      <c r="E344" s="159"/>
      <c r="F344" s="104" t="s">
        <v>1006</v>
      </c>
      <c r="G344" s="195" t="s">
        <v>1007</v>
      </c>
      <c r="H344" s="40" t="s">
        <v>40</v>
      </c>
      <c r="I344" s="155" t="s">
        <v>2160</v>
      </c>
      <c r="J344" s="109" t="s">
        <v>787</v>
      </c>
      <c r="K344" s="160"/>
      <c r="L344" s="161" t="s">
        <v>317</v>
      </c>
      <c r="M344" s="160" t="s">
        <v>2161</v>
      </c>
      <c r="N344" s="160" t="s">
        <v>318</v>
      </c>
      <c r="O344" s="187">
        <v>85.51</v>
      </c>
      <c r="P344" s="160" t="s">
        <v>80</v>
      </c>
      <c r="Q344" s="104" t="s">
        <v>105</v>
      </c>
      <c r="R344" s="162" t="s">
        <v>2162</v>
      </c>
      <c r="S344" s="162" t="s">
        <v>2163</v>
      </c>
      <c r="T344" s="160"/>
      <c r="U344" s="160"/>
      <c r="V344" s="160"/>
      <c r="W344" s="160"/>
      <c r="X344" s="160"/>
      <c r="Y344" s="160"/>
      <c r="Z344" s="160"/>
      <c r="AA344" s="160"/>
      <c r="AB344" s="160"/>
      <c r="AC344" s="160"/>
      <c r="AD344" s="160"/>
    </row>
    <row r="345" s="10" customFormat="1" ht="14" spans="1:30">
      <c r="A345" s="6" t="s">
        <v>207</v>
      </c>
      <c r="B345" s="158">
        <v>46058</v>
      </c>
      <c r="C345" s="104" t="str">
        <f t="shared" si="5"/>
        <v>2026年2月</v>
      </c>
      <c r="D345" s="104" t="s">
        <v>12</v>
      </c>
      <c r="E345" s="159"/>
      <c r="F345" s="104" t="s">
        <v>1029</v>
      </c>
      <c r="G345" s="195" t="s">
        <v>1007</v>
      </c>
      <c r="H345" s="40" t="s">
        <v>48</v>
      </c>
      <c r="I345" s="155" t="s">
        <v>2164</v>
      </c>
      <c r="J345" s="109" t="s">
        <v>82</v>
      </c>
      <c r="K345" s="160"/>
      <c r="L345" s="161" t="s">
        <v>2165</v>
      </c>
      <c r="M345" s="160" t="s">
        <v>2166</v>
      </c>
      <c r="N345" s="160" t="s">
        <v>2167</v>
      </c>
      <c r="O345" s="187">
        <v>4652.44</v>
      </c>
      <c r="P345" s="160" t="s">
        <v>173</v>
      </c>
      <c r="Q345" s="104" t="s">
        <v>105</v>
      </c>
      <c r="R345" s="162" t="s">
        <v>715</v>
      </c>
      <c r="S345" s="162"/>
      <c r="T345" s="160"/>
      <c r="U345" s="160"/>
      <c r="V345" s="160"/>
      <c r="W345" s="160"/>
      <c r="X345" s="160"/>
      <c r="Y345" s="160"/>
      <c r="Z345" s="160"/>
      <c r="AA345" s="160"/>
      <c r="AB345" s="160"/>
      <c r="AC345" s="160"/>
      <c r="AD345" s="160"/>
    </row>
    <row r="346" s="10" customFormat="1" ht="14" spans="1:30">
      <c r="A346" s="6" t="s">
        <v>207</v>
      </c>
      <c r="B346" s="158">
        <v>46058</v>
      </c>
      <c r="C346" s="104" t="str">
        <f t="shared" si="5"/>
        <v>2026年2月</v>
      </c>
      <c r="D346" s="104" t="s">
        <v>12</v>
      </c>
      <c r="E346" s="159"/>
      <c r="F346" s="104" t="s">
        <v>1029</v>
      </c>
      <c r="G346" s="195"/>
      <c r="H346" s="40" t="s">
        <v>2168</v>
      </c>
      <c r="I346" s="155" t="s">
        <v>2169</v>
      </c>
      <c r="J346" s="109" t="s">
        <v>82</v>
      </c>
      <c r="K346" s="160"/>
      <c r="L346" s="161" t="s">
        <v>2170</v>
      </c>
      <c r="M346" s="160" t="s">
        <v>2171</v>
      </c>
      <c r="N346" s="160" t="s">
        <v>2172</v>
      </c>
      <c r="O346" s="187">
        <v>784571250</v>
      </c>
      <c r="P346" s="160" t="s">
        <v>1037</v>
      </c>
      <c r="Q346" s="104" t="s">
        <v>7</v>
      </c>
      <c r="R346" s="162" t="s">
        <v>2173</v>
      </c>
      <c r="S346" s="162"/>
      <c r="T346" s="160"/>
      <c r="U346" s="160"/>
      <c r="V346" s="160"/>
      <c r="W346" s="160"/>
      <c r="X346" s="160"/>
      <c r="Y346" s="160"/>
      <c r="Z346" s="160"/>
      <c r="AA346" s="160"/>
      <c r="AB346" s="160"/>
      <c r="AC346" s="160"/>
      <c r="AD346" s="160"/>
    </row>
    <row r="347" s="10" customFormat="1" ht="14" spans="1:30">
      <c r="A347" s="6" t="s">
        <v>142</v>
      </c>
      <c r="B347" s="158">
        <v>46058</v>
      </c>
      <c r="C347" s="104" t="str">
        <f t="shared" si="5"/>
        <v>2026年2月</v>
      </c>
      <c r="D347" s="104" t="s">
        <v>12</v>
      </c>
      <c r="E347" s="159"/>
      <c r="F347" s="104" t="s">
        <v>1029</v>
      </c>
      <c r="G347" s="195" t="s">
        <v>1011</v>
      </c>
      <c r="H347" s="40" t="s">
        <v>48</v>
      </c>
      <c r="I347" s="155" t="s">
        <v>2174</v>
      </c>
      <c r="J347" s="109" t="s">
        <v>82</v>
      </c>
      <c r="K347" s="160"/>
      <c r="L347" s="161" t="s">
        <v>1439</v>
      </c>
      <c r="M347" s="160" t="s">
        <v>1440</v>
      </c>
      <c r="N347" s="160" t="s">
        <v>1441</v>
      </c>
      <c r="O347" s="209">
        <v>71088.84</v>
      </c>
      <c r="P347" s="160" t="s">
        <v>149</v>
      </c>
      <c r="Q347" s="104" t="s">
        <v>7</v>
      </c>
      <c r="R347" s="162" t="s">
        <v>1523</v>
      </c>
      <c r="S347" s="162"/>
      <c r="T347" s="160"/>
      <c r="U347" s="160"/>
      <c r="V347" s="160"/>
      <c r="W347" s="160"/>
      <c r="X347" s="160"/>
      <c r="Y347" s="160"/>
      <c r="Z347" s="160"/>
      <c r="AA347" s="160"/>
      <c r="AB347" s="160"/>
      <c r="AC347" s="160"/>
      <c r="AD347" s="160"/>
    </row>
    <row r="348" s="10" customFormat="1" ht="14" spans="1:30">
      <c r="A348" s="6" t="s">
        <v>142</v>
      </c>
      <c r="B348" s="158">
        <v>46058</v>
      </c>
      <c r="C348" s="104" t="str">
        <f t="shared" si="5"/>
        <v>2026年2月</v>
      </c>
      <c r="D348" s="104" t="s">
        <v>11</v>
      </c>
      <c r="E348" s="159"/>
      <c r="F348" s="104" t="s">
        <v>1029</v>
      </c>
      <c r="G348" s="195" t="s">
        <v>1011</v>
      </c>
      <c r="H348" s="40" t="s">
        <v>48</v>
      </c>
      <c r="I348" s="155" t="s">
        <v>2175</v>
      </c>
      <c r="J348" s="109" t="s">
        <v>82</v>
      </c>
      <c r="K348" s="160"/>
      <c r="L348" s="161" t="s">
        <v>2176</v>
      </c>
      <c r="M348" s="160" t="s">
        <v>2177</v>
      </c>
      <c r="N348" s="160" t="s">
        <v>2178</v>
      </c>
      <c r="O348" s="187">
        <v>14915</v>
      </c>
      <c r="P348" s="160" t="s">
        <v>173</v>
      </c>
      <c r="Q348" s="104" t="s">
        <v>7</v>
      </c>
      <c r="R348" s="162"/>
      <c r="S348" s="162"/>
      <c r="T348" s="160"/>
      <c r="U348" s="160"/>
      <c r="V348" s="160"/>
      <c r="W348" s="160"/>
      <c r="X348" s="160"/>
      <c r="Y348" s="160"/>
      <c r="Z348" s="160"/>
      <c r="AA348" s="160"/>
      <c r="AB348" s="160"/>
      <c r="AC348" s="160"/>
      <c r="AD348" s="160"/>
    </row>
    <row r="349" s="10" customFormat="1" ht="14" spans="1:30">
      <c r="A349" s="6" t="s">
        <v>142</v>
      </c>
      <c r="B349" s="158">
        <v>46058</v>
      </c>
      <c r="C349" s="104" t="str">
        <f t="shared" si="5"/>
        <v>2026年2月</v>
      </c>
      <c r="D349" s="104" t="s">
        <v>10</v>
      </c>
      <c r="E349" s="159"/>
      <c r="F349" s="104" t="s">
        <v>1006</v>
      </c>
      <c r="G349" s="195" t="s">
        <v>1007</v>
      </c>
      <c r="H349" s="40" t="s">
        <v>40</v>
      </c>
      <c r="I349" s="155" t="s">
        <v>2179</v>
      </c>
      <c r="J349" s="109" t="s">
        <v>82</v>
      </c>
      <c r="K349" s="160"/>
      <c r="L349" s="161" t="s">
        <v>2180</v>
      </c>
      <c r="M349" s="160" t="s">
        <v>1023</v>
      </c>
      <c r="N349" s="160" t="s">
        <v>2181</v>
      </c>
      <c r="O349" s="187">
        <v>67.61</v>
      </c>
      <c r="P349" s="160" t="s">
        <v>149</v>
      </c>
      <c r="Q349" s="104" t="s">
        <v>7</v>
      </c>
      <c r="R349" s="162"/>
      <c r="S349" s="162" t="s">
        <v>2182</v>
      </c>
      <c r="T349" s="160"/>
      <c r="U349" s="160"/>
      <c r="V349" s="160"/>
      <c r="W349" s="160"/>
      <c r="X349" s="160"/>
      <c r="Y349" s="160"/>
      <c r="Z349" s="160"/>
      <c r="AA349" s="160"/>
      <c r="AB349" s="160"/>
      <c r="AC349" s="160"/>
      <c r="AD349" s="160"/>
    </row>
    <row r="350" s="10" customFormat="1" ht="14" spans="1:30">
      <c r="A350" s="6" t="s">
        <v>207</v>
      </c>
      <c r="B350" s="158">
        <v>46059</v>
      </c>
      <c r="C350" s="104" t="str">
        <f t="shared" si="5"/>
        <v>2026年2月</v>
      </c>
      <c r="D350" s="104" t="s">
        <v>11</v>
      </c>
      <c r="E350" s="159"/>
      <c r="F350" s="104" t="s">
        <v>1029</v>
      </c>
      <c r="G350" s="195" t="s">
        <v>1011</v>
      </c>
      <c r="H350" s="40" t="s">
        <v>48</v>
      </c>
      <c r="I350" s="155" t="s">
        <v>2183</v>
      </c>
      <c r="J350" s="109" t="s">
        <v>82</v>
      </c>
      <c r="K350" s="160"/>
      <c r="L350" s="161" t="s">
        <v>2146</v>
      </c>
      <c r="M350" s="160" t="s">
        <v>2147</v>
      </c>
      <c r="N350" s="160" t="s">
        <v>2148</v>
      </c>
      <c r="O350" s="187">
        <v>132200</v>
      </c>
      <c r="P350" s="160" t="s">
        <v>173</v>
      </c>
      <c r="Q350" s="104" t="s">
        <v>7</v>
      </c>
      <c r="R350" s="162" t="s">
        <v>2184</v>
      </c>
      <c r="S350" s="162"/>
      <c r="T350" s="160"/>
      <c r="U350" s="160"/>
      <c r="V350" s="160"/>
      <c r="W350" s="160"/>
      <c r="X350" s="160"/>
      <c r="Y350" s="160"/>
      <c r="Z350" s="160"/>
      <c r="AA350" s="160"/>
      <c r="AB350" s="160"/>
      <c r="AC350" s="160"/>
      <c r="AD350" s="160"/>
    </row>
    <row r="351" s="10" customFormat="1" ht="14" spans="1:30">
      <c r="A351" s="6" t="s">
        <v>207</v>
      </c>
      <c r="B351" s="158">
        <v>46059</v>
      </c>
      <c r="C351" s="104" t="str">
        <f t="shared" si="5"/>
        <v>2026年2月</v>
      </c>
      <c r="D351" s="104" t="s">
        <v>12</v>
      </c>
      <c r="E351" s="159"/>
      <c r="F351" s="104" t="s">
        <v>1029</v>
      </c>
      <c r="G351" s="195" t="s">
        <v>1007</v>
      </c>
      <c r="H351" s="40" t="s">
        <v>48</v>
      </c>
      <c r="I351" s="155" t="s">
        <v>2185</v>
      </c>
      <c r="J351" s="109" t="s">
        <v>422</v>
      </c>
      <c r="K351" s="160"/>
      <c r="L351" s="161" t="s">
        <v>1071</v>
      </c>
      <c r="M351" s="160" t="s">
        <v>1072</v>
      </c>
      <c r="N351" s="160" t="s">
        <v>2186</v>
      </c>
      <c r="O351" s="187">
        <v>515813</v>
      </c>
      <c r="P351" s="160" t="s">
        <v>173</v>
      </c>
      <c r="Q351" s="104" t="s">
        <v>7</v>
      </c>
      <c r="R351" s="162" t="s">
        <v>2187</v>
      </c>
      <c r="S351" s="162"/>
      <c r="T351" s="160"/>
      <c r="U351" s="160"/>
      <c r="V351" s="160"/>
      <c r="W351" s="160"/>
      <c r="X351" s="160"/>
      <c r="Y351" s="160"/>
      <c r="Z351" s="160"/>
      <c r="AA351" s="160"/>
      <c r="AB351" s="160"/>
      <c r="AC351" s="160"/>
      <c r="AD351" s="160"/>
    </row>
    <row r="352" s="10" customFormat="1" ht="14" spans="1:30">
      <c r="A352" s="6" t="s">
        <v>207</v>
      </c>
      <c r="B352" s="158">
        <v>46062</v>
      </c>
      <c r="C352" s="104" t="str">
        <f t="shared" si="5"/>
        <v>2026年2月</v>
      </c>
      <c r="D352" s="104" t="s">
        <v>11</v>
      </c>
      <c r="E352" s="159"/>
      <c r="F352" s="104" t="s">
        <v>1029</v>
      </c>
      <c r="G352" s="195" t="s">
        <v>1007</v>
      </c>
      <c r="H352" s="40" t="s">
        <v>39</v>
      </c>
      <c r="I352" s="155" t="s">
        <v>2188</v>
      </c>
      <c r="J352" s="109" t="s">
        <v>82</v>
      </c>
      <c r="K352" s="160"/>
      <c r="L352" s="161" t="s">
        <v>2189</v>
      </c>
      <c r="M352" s="160" t="s">
        <v>2190</v>
      </c>
      <c r="N352" s="160" t="s">
        <v>2191</v>
      </c>
      <c r="O352" s="187">
        <v>38062.5</v>
      </c>
      <c r="P352" s="160" t="s">
        <v>1062</v>
      </c>
      <c r="Q352" s="104" t="s">
        <v>7</v>
      </c>
      <c r="R352" s="162" t="s">
        <v>1724</v>
      </c>
      <c r="S352" s="162"/>
      <c r="T352" s="160"/>
      <c r="U352" s="160"/>
      <c r="V352" s="160"/>
      <c r="W352" s="160"/>
      <c r="X352" s="160"/>
      <c r="Y352" s="160"/>
      <c r="Z352" s="160"/>
      <c r="AA352" s="160"/>
      <c r="AB352" s="160"/>
      <c r="AC352" s="160"/>
      <c r="AD352" s="160"/>
    </row>
    <row r="353" s="10" customFormat="1" ht="14" spans="1:30">
      <c r="A353" s="6" t="s">
        <v>142</v>
      </c>
      <c r="B353" s="158">
        <v>46063</v>
      </c>
      <c r="C353" s="104" t="str">
        <f t="shared" si="5"/>
        <v>2026年2月</v>
      </c>
      <c r="D353" s="104" t="s">
        <v>11</v>
      </c>
      <c r="E353" s="159"/>
      <c r="F353" s="104" t="s">
        <v>1029</v>
      </c>
      <c r="G353" s="195" t="s">
        <v>1011</v>
      </c>
      <c r="H353" s="40" t="s">
        <v>48</v>
      </c>
      <c r="I353" s="155" t="s">
        <v>2175</v>
      </c>
      <c r="J353" s="109" t="s">
        <v>82</v>
      </c>
      <c r="K353" s="160"/>
      <c r="L353" s="161" t="s">
        <v>2176</v>
      </c>
      <c r="M353" s="160" t="s">
        <v>2177</v>
      </c>
      <c r="N353" s="160" t="s">
        <v>2178</v>
      </c>
      <c r="O353" s="187">
        <v>14915</v>
      </c>
      <c r="P353" s="160" t="s">
        <v>173</v>
      </c>
      <c r="Q353" s="104" t="s">
        <v>7</v>
      </c>
      <c r="R353" s="162"/>
      <c r="S353" s="162"/>
      <c r="T353" s="160"/>
      <c r="U353" s="160"/>
      <c r="V353" s="160"/>
      <c r="W353" s="160"/>
      <c r="X353" s="160"/>
      <c r="Y353" s="160"/>
      <c r="Z353" s="160"/>
      <c r="AA353" s="160"/>
      <c r="AB353" s="160"/>
      <c r="AC353" s="160"/>
      <c r="AD353" s="160"/>
    </row>
    <row r="354" s="10" customFormat="1" ht="14" spans="1:30">
      <c r="A354" s="6" t="s">
        <v>142</v>
      </c>
      <c r="B354" s="158">
        <v>46063</v>
      </c>
      <c r="C354" s="104" t="str">
        <f t="shared" si="5"/>
        <v>2026年2月</v>
      </c>
      <c r="D354" s="104" t="s">
        <v>11</v>
      </c>
      <c r="E354" s="159"/>
      <c r="F354" s="104" t="s">
        <v>1029</v>
      </c>
      <c r="G354" s="195" t="s">
        <v>1011</v>
      </c>
      <c r="H354" s="40" t="s">
        <v>48</v>
      </c>
      <c r="I354" s="155" t="s">
        <v>2192</v>
      </c>
      <c r="J354" s="109" t="s">
        <v>82</v>
      </c>
      <c r="K354" s="160"/>
      <c r="L354" s="161" t="s">
        <v>2165</v>
      </c>
      <c r="M354" s="160" t="s">
        <v>2166</v>
      </c>
      <c r="N354" s="160" t="s">
        <v>2167</v>
      </c>
      <c r="O354" s="209">
        <v>6764.95</v>
      </c>
      <c r="P354" s="160" t="s">
        <v>173</v>
      </c>
      <c r="Q354" s="104" t="s">
        <v>105</v>
      </c>
      <c r="R354" s="162"/>
      <c r="S354" s="162"/>
      <c r="T354" s="160"/>
      <c r="U354" s="160"/>
      <c r="V354" s="160"/>
      <c r="W354" s="160"/>
      <c r="X354" s="160"/>
      <c r="Y354" s="160"/>
      <c r="Z354" s="160"/>
      <c r="AA354" s="160"/>
      <c r="AB354" s="160"/>
      <c r="AC354" s="160"/>
      <c r="AD354" s="160"/>
    </row>
    <row r="355" s="10" customFormat="1" ht="14" spans="1:30">
      <c r="A355" s="6" t="s">
        <v>142</v>
      </c>
      <c r="B355" s="158">
        <v>46063</v>
      </c>
      <c r="C355" s="104" t="str">
        <f t="shared" si="5"/>
        <v>2026年2月</v>
      </c>
      <c r="D355" s="104" t="s">
        <v>12</v>
      </c>
      <c r="E355" s="159"/>
      <c r="F355" s="104" t="s">
        <v>1029</v>
      </c>
      <c r="G355" s="195" t="s">
        <v>1011</v>
      </c>
      <c r="H355" s="40" t="s">
        <v>39</v>
      </c>
      <c r="I355" s="155" t="s">
        <v>2193</v>
      </c>
      <c r="J355" s="109" t="s">
        <v>82</v>
      </c>
      <c r="K355" s="160"/>
      <c r="L355" s="161" t="s">
        <v>2194</v>
      </c>
      <c r="M355" s="160" t="s">
        <v>2195</v>
      </c>
      <c r="N355" s="162" t="s">
        <v>2196</v>
      </c>
      <c r="O355" s="187">
        <v>80000</v>
      </c>
      <c r="P355" s="160" t="s">
        <v>173</v>
      </c>
      <c r="Q355" s="104" t="s">
        <v>105</v>
      </c>
      <c r="R355" s="162"/>
      <c r="S355" s="162"/>
      <c r="T355" s="160"/>
      <c r="U355" s="160"/>
      <c r="V355" s="160"/>
      <c r="W355" s="160"/>
      <c r="X355" s="160"/>
      <c r="Y355" s="160"/>
      <c r="Z355" s="160"/>
      <c r="AA355" s="160"/>
      <c r="AB355" s="160"/>
      <c r="AC355" s="160"/>
      <c r="AD355" s="160"/>
    </row>
    <row r="356" s="10" customFormat="1" ht="14" spans="1:30">
      <c r="A356" s="6" t="s">
        <v>142</v>
      </c>
      <c r="B356" s="158">
        <v>46063</v>
      </c>
      <c r="C356" s="104" t="str">
        <f t="shared" si="5"/>
        <v>2026年2月</v>
      </c>
      <c r="D356" s="104" t="s">
        <v>12</v>
      </c>
      <c r="E356" s="159"/>
      <c r="F356" s="104" t="s">
        <v>1029</v>
      </c>
      <c r="G356" s="195" t="s">
        <v>1011</v>
      </c>
      <c r="H356" s="40" t="s">
        <v>48</v>
      </c>
      <c r="I356" s="155" t="s">
        <v>2197</v>
      </c>
      <c r="J356" s="109" t="s">
        <v>82</v>
      </c>
      <c r="K356" s="160"/>
      <c r="L356" s="161" t="s">
        <v>2176</v>
      </c>
      <c r="M356" s="160" t="s">
        <v>2177</v>
      </c>
      <c r="N356" s="160" t="s">
        <v>2178</v>
      </c>
      <c r="O356" s="187">
        <v>18899</v>
      </c>
      <c r="P356" s="160" t="s">
        <v>173</v>
      </c>
      <c r="Q356" s="104" t="s">
        <v>7</v>
      </c>
      <c r="R356" s="162"/>
      <c r="S356" s="162"/>
      <c r="T356" s="160"/>
      <c r="U356" s="160"/>
      <c r="V356" s="160"/>
      <c r="W356" s="160"/>
      <c r="X356" s="160"/>
      <c r="Y356" s="160"/>
      <c r="Z356" s="160"/>
      <c r="AA356" s="160"/>
      <c r="AB356" s="160"/>
      <c r="AC356" s="160"/>
      <c r="AD356" s="160"/>
    </row>
    <row r="357" s="10" customFormat="1" ht="14" spans="1:30">
      <c r="A357" s="6" t="s">
        <v>142</v>
      </c>
      <c r="B357" s="158">
        <v>46064</v>
      </c>
      <c r="C357" s="104" t="str">
        <f t="shared" si="5"/>
        <v>2026年2月</v>
      </c>
      <c r="D357" s="104" t="s">
        <v>10</v>
      </c>
      <c r="E357" s="159"/>
      <c r="F357" s="104" t="s">
        <v>1006</v>
      </c>
      <c r="G357" s="195" t="s">
        <v>1007</v>
      </c>
      <c r="H357" s="40" t="s">
        <v>40</v>
      </c>
      <c r="I357" s="155" t="s">
        <v>2198</v>
      </c>
      <c r="J357" s="109" t="s">
        <v>787</v>
      </c>
      <c r="K357" s="160" t="s">
        <v>2108</v>
      </c>
      <c r="L357" s="161" t="s">
        <v>2109</v>
      </c>
      <c r="M357" s="160" t="s">
        <v>2110</v>
      </c>
      <c r="N357" s="160" t="s">
        <v>2111</v>
      </c>
      <c r="O357" s="187">
        <v>1000</v>
      </c>
      <c r="P357" s="160" t="s">
        <v>149</v>
      </c>
      <c r="Q357" s="104" t="s">
        <v>7</v>
      </c>
      <c r="R357" s="162"/>
      <c r="S357" s="162"/>
      <c r="T357" s="160"/>
      <c r="U357" s="160"/>
      <c r="V357" s="160"/>
      <c r="W357" s="160"/>
      <c r="X357" s="160"/>
      <c r="Y357" s="160"/>
      <c r="Z357" s="160"/>
      <c r="AA357" s="160"/>
      <c r="AB357" s="160"/>
      <c r="AC357" s="160"/>
      <c r="AD357" s="160"/>
    </row>
    <row r="358" s="185" customFormat="1" ht="14" spans="1:30">
      <c r="A358" s="92" t="s">
        <v>584</v>
      </c>
      <c r="B358" s="212">
        <v>46066</v>
      </c>
      <c r="C358" s="213" t="str">
        <f t="shared" si="5"/>
        <v>2026年2月</v>
      </c>
      <c r="D358" s="213" t="s">
        <v>11</v>
      </c>
      <c r="E358" s="214"/>
      <c r="F358" s="213" t="s">
        <v>1029</v>
      </c>
      <c r="G358" s="215" t="s">
        <v>1011</v>
      </c>
      <c r="H358" s="216" t="s">
        <v>48</v>
      </c>
      <c r="I358" s="157" t="s">
        <v>2199</v>
      </c>
      <c r="J358" s="218" t="s">
        <v>82</v>
      </c>
      <c r="K358" s="219"/>
      <c r="L358" s="220" t="s">
        <v>2176</v>
      </c>
      <c r="M358" s="219" t="s">
        <v>2177</v>
      </c>
      <c r="N358" s="219" t="s">
        <v>2178</v>
      </c>
      <c r="O358" s="224">
        <v>9337</v>
      </c>
      <c r="P358" s="219" t="s">
        <v>173</v>
      </c>
      <c r="Q358" s="213" t="s">
        <v>7</v>
      </c>
      <c r="R358" s="222" t="s">
        <v>1509</v>
      </c>
      <c r="S358" s="222"/>
      <c r="T358" s="219"/>
      <c r="U358" s="219"/>
      <c r="V358" s="219"/>
      <c r="W358" s="219"/>
      <c r="X358" s="219"/>
      <c r="Y358" s="219"/>
      <c r="Z358" s="219"/>
      <c r="AA358" s="219"/>
      <c r="AB358" s="219"/>
      <c r="AC358" s="219"/>
      <c r="AD358" s="219"/>
    </row>
    <row r="359" s="10" customFormat="1" ht="14" spans="1:30">
      <c r="A359" s="6" t="s">
        <v>584</v>
      </c>
      <c r="B359" s="158">
        <v>46066</v>
      </c>
      <c r="C359" s="104" t="str">
        <f t="shared" si="5"/>
        <v>2026年2月</v>
      </c>
      <c r="D359" s="104" t="s">
        <v>11</v>
      </c>
      <c r="E359" s="159"/>
      <c r="F359" s="104" t="s">
        <v>1029</v>
      </c>
      <c r="G359" s="195" t="s">
        <v>1011</v>
      </c>
      <c r="H359" s="40" t="s">
        <v>48</v>
      </c>
      <c r="I359" s="157" t="s">
        <v>2200</v>
      </c>
      <c r="J359" s="109" t="s">
        <v>82</v>
      </c>
      <c r="K359" s="160"/>
      <c r="L359" s="161" t="s">
        <v>2176</v>
      </c>
      <c r="M359" s="160" t="s">
        <v>2177</v>
      </c>
      <c r="N359" s="160" t="s">
        <v>2178</v>
      </c>
      <c r="O359" s="187">
        <v>49278</v>
      </c>
      <c r="P359" s="160" t="s">
        <v>173</v>
      </c>
      <c r="Q359" s="104" t="s">
        <v>7</v>
      </c>
      <c r="R359" s="162" t="s">
        <v>1509</v>
      </c>
      <c r="S359" s="162"/>
      <c r="T359" s="160"/>
      <c r="U359" s="160"/>
      <c r="V359" s="160"/>
      <c r="W359" s="160"/>
      <c r="X359" s="160"/>
      <c r="Y359" s="160"/>
      <c r="Z359" s="160"/>
      <c r="AA359" s="160"/>
      <c r="AB359" s="160"/>
      <c r="AC359" s="160"/>
      <c r="AD359" s="160"/>
    </row>
    <row r="360" s="10" customFormat="1" ht="28" spans="1:30">
      <c r="A360" s="6" t="s">
        <v>142</v>
      </c>
      <c r="B360" s="158">
        <v>46066</v>
      </c>
      <c r="C360" s="104" t="str">
        <f t="shared" si="5"/>
        <v>2026年2月</v>
      </c>
      <c r="D360" s="104" t="s">
        <v>12</v>
      </c>
      <c r="E360" s="159"/>
      <c r="F360" s="104" t="s">
        <v>1029</v>
      </c>
      <c r="G360" s="195" t="s">
        <v>1011</v>
      </c>
      <c r="H360" s="40" t="s">
        <v>48</v>
      </c>
      <c r="I360" s="157" t="s">
        <v>2201</v>
      </c>
      <c r="J360" s="109" t="s">
        <v>82</v>
      </c>
      <c r="K360" s="160"/>
      <c r="L360" s="161" t="s">
        <v>2202</v>
      </c>
      <c r="M360" s="160" t="s">
        <v>2203</v>
      </c>
      <c r="N360" s="160" t="s">
        <v>2204</v>
      </c>
      <c r="O360" s="187">
        <v>114620</v>
      </c>
      <c r="P360" s="160" t="s">
        <v>173</v>
      </c>
      <c r="Q360" s="104" t="s">
        <v>7</v>
      </c>
      <c r="R360" s="162" t="s">
        <v>2141</v>
      </c>
      <c r="S360" s="162"/>
      <c r="T360" s="160"/>
      <c r="U360" s="160"/>
      <c r="V360" s="160"/>
      <c r="W360" s="160"/>
      <c r="X360" s="160"/>
      <c r="Y360" s="160"/>
      <c r="Z360" s="160"/>
      <c r="AA360" s="160"/>
      <c r="AB360" s="160"/>
      <c r="AC360" s="160"/>
      <c r="AD360" s="160"/>
    </row>
    <row r="361" s="10" customFormat="1" ht="14" spans="1:30">
      <c r="A361" s="6" t="s">
        <v>142</v>
      </c>
      <c r="B361" s="158">
        <v>46066</v>
      </c>
      <c r="C361" s="104" t="str">
        <f t="shared" si="5"/>
        <v>2026年2月</v>
      </c>
      <c r="D361" s="104" t="s">
        <v>12</v>
      </c>
      <c r="E361" s="159"/>
      <c r="F361" s="104" t="s">
        <v>1029</v>
      </c>
      <c r="G361" s="195" t="s">
        <v>1011</v>
      </c>
      <c r="H361" s="40" t="s">
        <v>48</v>
      </c>
      <c r="I361" s="157" t="s">
        <v>2205</v>
      </c>
      <c r="J361" s="109" t="s">
        <v>82</v>
      </c>
      <c r="K361" s="160"/>
      <c r="L361" s="161" t="s">
        <v>2202</v>
      </c>
      <c r="M361" s="160" t="s">
        <v>2203</v>
      </c>
      <c r="N361" s="160" t="s">
        <v>2204</v>
      </c>
      <c r="O361" s="187">
        <v>126085</v>
      </c>
      <c r="P361" s="160" t="s">
        <v>173</v>
      </c>
      <c r="Q361" s="104" t="s">
        <v>7</v>
      </c>
      <c r="R361" s="162" t="s">
        <v>2141</v>
      </c>
      <c r="S361" s="162"/>
      <c r="T361" s="160"/>
      <c r="U361" s="160"/>
      <c r="V361" s="160"/>
      <c r="W361" s="160"/>
      <c r="X361" s="160"/>
      <c r="Y361" s="160"/>
      <c r="Z361" s="160"/>
      <c r="AA361" s="160"/>
      <c r="AB361" s="160"/>
      <c r="AC361" s="160"/>
      <c r="AD361" s="160"/>
    </row>
    <row r="362" s="10" customFormat="1" ht="14" spans="1:30">
      <c r="A362" s="6" t="s">
        <v>142</v>
      </c>
      <c r="B362" s="158">
        <v>46071</v>
      </c>
      <c r="C362" s="104" t="str">
        <f t="shared" ref="C362:C368" si="6">YEAR(B362)&amp;"年"&amp;MONTH(B362)&amp;"月"</f>
        <v>2026年2月</v>
      </c>
      <c r="D362" s="104" t="s">
        <v>10</v>
      </c>
      <c r="E362" s="159"/>
      <c r="F362" s="104" t="s">
        <v>1006</v>
      </c>
      <c r="G362" s="195" t="s">
        <v>1007</v>
      </c>
      <c r="H362" s="40" t="s">
        <v>40</v>
      </c>
      <c r="I362" s="155" t="s">
        <v>2206</v>
      </c>
      <c r="J362" s="109" t="s">
        <v>82</v>
      </c>
      <c r="K362" s="160"/>
      <c r="L362" s="161" t="s">
        <v>2207</v>
      </c>
      <c r="M362" s="162" t="s">
        <v>1023</v>
      </c>
      <c r="N362" s="160" t="s">
        <v>2208</v>
      </c>
      <c r="O362" s="187">
        <v>270.3</v>
      </c>
      <c r="P362" s="160" t="s">
        <v>149</v>
      </c>
      <c r="Q362" s="104" t="s">
        <v>7</v>
      </c>
      <c r="R362" s="162" t="s">
        <v>801</v>
      </c>
      <c r="S362" s="162"/>
      <c r="T362" s="160"/>
      <c r="U362" s="160"/>
      <c r="V362" s="160"/>
      <c r="W362" s="160"/>
      <c r="X362" s="160"/>
      <c r="Y362" s="160"/>
      <c r="Z362" s="160"/>
      <c r="AA362" s="160"/>
      <c r="AB362" s="160"/>
      <c r="AC362" s="160"/>
      <c r="AD362" s="160"/>
    </row>
    <row r="363" s="10" customFormat="1" ht="14" spans="1:30">
      <c r="A363" s="6" t="s">
        <v>142</v>
      </c>
      <c r="B363" s="158">
        <v>46072</v>
      </c>
      <c r="C363" s="104" t="str">
        <f t="shared" si="6"/>
        <v>2026年2月</v>
      </c>
      <c r="D363" s="104" t="s">
        <v>10</v>
      </c>
      <c r="E363" s="159"/>
      <c r="F363" s="104" t="s">
        <v>1006</v>
      </c>
      <c r="G363" s="195" t="s">
        <v>1007</v>
      </c>
      <c r="H363" s="40" t="s">
        <v>40</v>
      </c>
      <c r="I363" s="155" t="s">
        <v>2209</v>
      </c>
      <c r="J363" s="109" t="s">
        <v>787</v>
      </c>
      <c r="K363" s="160"/>
      <c r="L363" s="161" t="s">
        <v>2109</v>
      </c>
      <c r="M363" s="162" t="s">
        <v>2110</v>
      </c>
      <c r="N363" s="160" t="s">
        <v>2111</v>
      </c>
      <c r="O363" s="187">
        <v>1000</v>
      </c>
      <c r="P363" s="160" t="s">
        <v>149</v>
      </c>
      <c r="Q363" s="104" t="s">
        <v>7</v>
      </c>
      <c r="R363" s="162"/>
      <c r="S363" s="162"/>
      <c r="T363" s="160"/>
      <c r="U363" s="160"/>
      <c r="V363" s="160"/>
      <c r="W363" s="160"/>
      <c r="X363" s="160"/>
      <c r="Y363" s="160"/>
      <c r="Z363" s="160"/>
      <c r="AA363" s="160"/>
      <c r="AB363" s="160"/>
      <c r="AC363" s="160"/>
      <c r="AD363" s="160"/>
    </row>
    <row r="364" s="10" customFormat="1" ht="14" spans="1:30">
      <c r="A364" s="6" t="s">
        <v>142</v>
      </c>
      <c r="B364" s="158">
        <v>46069</v>
      </c>
      <c r="C364" s="104" t="str">
        <f t="shared" si="6"/>
        <v>2026年2月</v>
      </c>
      <c r="D364" s="104" t="s">
        <v>12</v>
      </c>
      <c r="E364" s="159"/>
      <c r="F364" s="104" t="s">
        <v>1029</v>
      </c>
      <c r="G364" s="195" t="s">
        <v>1011</v>
      </c>
      <c r="H364" s="40" t="s">
        <v>48</v>
      </c>
      <c r="I364" s="155" t="s">
        <v>2210</v>
      </c>
      <c r="J364" s="109" t="s">
        <v>82</v>
      </c>
      <c r="K364" s="160"/>
      <c r="L364" s="161" t="s">
        <v>1439</v>
      </c>
      <c r="M364" s="160" t="s">
        <v>1440</v>
      </c>
      <c r="N364" s="160" t="s">
        <v>1441</v>
      </c>
      <c r="O364" s="187">
        <v>69450.48</v>
      </c>
      <c r="P364" s="160" t="s">
        <v>149</v>
      </c>
      <c r="Q364" s="104" t="s">
        <v>7</v>
      </c>
      <c r="R364" s="162"/>
      <c r="S364" s="162"/>
      <c r="T364" s="160"/>
      <c r="U364" s="160"/>
      <c r="V364" s="160"/>
      <c r="W364" s="160"/>
      <c r="X364" s="160"/>
      <c r="Y364" s="160"/>
      <c r="Z364" s="160"/>
      <c r="AA364" s="160"/>
      <c r="AB364" s="160"/>
      <c r="AC364" s="160"/>
      <c r="AD364" s="160"/>
    </row>
    <row r="365" s="10" customFormat="1" ht="14" spans="1:30">
      <c r="A365" s="6" t="s">
        <v>142</v>
      </c>
      <c r="B365" s="158">
        <v>46073</v>
      </c>
      <c r="C365" s="104" t="str">
        <f t="shared" si="6"/>
        <v>2026年2月</v>
      </c>
      <c r="D365" s="104" t="s">
        <v>12</v>
      </c>
      <c r="E365" s="159"/>
      <c r="F365" s="104" t="s">
        <v>1029</v>
      </c>
      <c r="G365" s="195" t="s">
        <v>1011</v>
      </c>
      <c r="H365" s="40" t="s">
        <v>48</v>
      </c>
      <c r="I365" s="217" t="s">
        <v>2211</v>
      </c>
      <c r="J365" s="109" t="s">
        <v>82</v>
      </c>
      <c r="K365" s="160" t="s">
        <v>2212</v>
      </c>
      <c r="L365" s="161" t="s">
        <v>2176</v>
      </c>
      <c r="M365" s="160" t="s">
        <v>2177</v>
      </c>
      <c r="N365" s="160" t="s">
        <v>2178</v>
      </c>
      <c r="O365" s="187">
        <v>49702</v>
      </c>
      <c r="P365" s="160" t="s">
        <v>173</v>
      </c>
      <c r="Q365" s="104" t="s">
        <v>7</v>
      </c>
      <c r="R365" s="162" t="s">
        <v>1509</v>
      </c>
      <c r="S365" s="162"/>
      <c r="T365" s="160"/>
      <c r="U365" s="160"/>
      <c r="V365" s="160"/>
      <c r="W365" s="160"/>
      <c r="X365" s="160"/>
      <c r="Y365" s="160"/>
      <c r="Z365" s="160"/>
      <c r="AA365" s="160"/>
      <c r="AB365" s="160"/>
      <c r="AC365" s="160"/>
      <c r="AD365" s="160"/>
    </row>
    <row r="366" s="10" customFormat="1" ht="14" spans="1:30">
      <c r="A366" s="6" t="s">
        <v>142</v>
      </c>
      <c r="B366" s="158">
        <v>46069</v>
      </c>
      <c r="C366" s="104" t="str">
        <f t="shared" si="6"/>
        <v>2026年2月</v>
      </c>
      <c r="D366" s="104" t="s">
        <v>12</v>
      </c>
      <c r="E366" s="159"/>
      <c r="F366" s="104" t="s">
        <v>1029</v>
      </c>
      <c r="G366" s="195" t="s">
        <v>1011</v>
      </c>
      <c r="H366" s="40" t="s">
        <v>51</v>
      </c>
      <c r="I366" s="155" t="s">
        <v>2213</v>
      </c>
      <c r="J366" s="109" t="s">
        <v>82</v>
      </c>
      <c r="K366" s="160"/>
      <c r="L366" s="9" t="s">
        <v>2062</v>
      </c>
      <c r="M366" s="10" t="s">
        <v>2214</v>
      </c>
      <c r="N366" s="10" t="s">
        <v>2064</v>
      </c>
      <c r="O366" s="10">
        <v>10000</v>
      </c>
      <c r="P366" s="10" t="s">
        <v>1239</v>
      </c>
      <c r="Q366" s="104" t="s">
        <v>7</v>
      </c>
      <c r="R366" s="162" t="s">
        <v>1904</v>
      </c>
      <c r="S366" s="162"/>
      <c r="T366" s="160"/>
      <c r="U366" s="160"/>
      <c r="V366" s="160"/>
      <c r="W366" s="160"/>
      <c r="X366" s="160"/>
      <c r="Y366" s="160"/>
      <c r="Z366" s="160"/>
      <c r="AA366" s="160"/>
      <c r="AB366" s="160"/>
      <c r="AC366" s="160"/>
      <c r="AD366" s="160"/>
    </row>
    <row r="367" s="10" customFormat="1" ht="14" spans="1:30">
      <c r="A367" s="6" t="s">
        <v>142</v>
      </c>
      <c r="B367" s="158">
        <v>46070</v>
      </c>
      <c r="C367" s="104" t="str">
        <f t="shared" si="6"/>
        <v>2026年2月</v>
      </c>
      <c r="D367" s="104" t="s">
        <v>10</v>
      </c>
      <c r="E367" s="159"/>
      <c r="F367" s="104" t="s">
        <v>1029</v>
      </c>
      <c r="G367" s="195"/>
      <c r="H367" s="40" t="s">
        <v>51</v>
      </c>
      <c r="I367" s="155" t="s">
        <v>2215</v>
      </c>
      <c r="J367" s="109" t="s">
        <v>82</v>
      </c>
      <c r="K367" s="160"/>
      <c r="L367" s="161" t="s">
        <v>2216</v>
      </c>
      <c r="M367" s="160" t="s">
        <v>2217</v>
      </c>
      <c r="N367" s="160" t="s">
        <v>2218</v>
      </c>
      <c r="O367" s="187">
        <v>1563225.07</v>
      </c>
      <c r="P367" s="160" t="s">
        <v>1062</v>
      </c>
      <c r="Q367" s="104" t="s">
        <v>7</v>
      </c>
      <c r="R367" s="162"/>
      <c r="S367" s="162"/>
      <c r="T367" s="160"/>
      <c r="U367" s="160"/>
      <c r="V367" s="160"/>
      <c r="W367" s="160"/>
      <c r="X367" s="160"/>
      <c r="Y367" s="160"/>
      <c r="Z367" s="160"/>
      <c r="AA367" s="160"/>
      <c r="AB367" s="160"/>
      <c r="AC367" s="160"/>
      <c r="AD367" s="160"/>
    </row>
    <row r="368" s="10" customFormat="1" ht="77.25" customHeight="1" spans="1:30">
      <c r="A368" s="6" t="s">
        <v>142</v>
      </c>
      <c r="B368" s="158">
        <v>46069</v>
      </c>
      <c r="C368" s="104" t="str">
        <f t="shared" si="6"/>
        <v>2026年2月</v>
      </c>
      <c r="D368" s="104" t="s">
        <v>12</v>
      </c>
      <c r="E368" s="159"/>
      <c r="F368" s="104" t="s">
        <v>1029</v>
      </c>
      <c r="G368" s="195" t="s">
        <v>1011</v>
      </c>
      <c r="H368" s="40" t="s">
        <v>51</v>
      </c>
      <c r="I368" s="173" t="s">
        <v>2219</v>
      </c>
      <c r="J368" s="109" t="s">
        <v>82</v>
      </c>
      <c r="K368" s="160"/>
      <c r="L368" s="9" t="s">
        <v>1071</v>
      </c>
      <c r="M368" s="160" t="s">
        <v>1072</v>
      </c>
      <c r="N368" s="10" t="s">
        <v>2220</v>
      </c>
      <c r="O368" s="187">
        <v>1026367.38</v>
      </c>
      <c r="P368" s="160" t="s">
        <v>1567</v>
      </c>
      <c r="Q368" s="104" t="s">
        <v>7</v>
      </c>
      <c r="R368" s="162" t="s">
        <v>2221</v>
      </c>
      <c r="S368" s="162"/>
      <c r="T368" s="160"/>
      <c r="U368" s="160"/>
      <c r="V368" s="160"/>
      <c r="W368" s="160"/>
      <c r="X368" s="160"/>
      <c r="Y368" s="160"/>
      <c r="Z368" s="160"/>
      <c r="AA368" s="160"/>
      <c r="AB368" s="160"/>
      <c r="AC368" s="160"/>
      <c r="AD368" s="160"/>
    </row>
    <row r="369" s="10" customFormat="1" ht="13" spans="1:30">
      <c r="H369" s="40"/>
      <c r="I369" s="10"/>
      <c r="J369" s="10"/>
      <c r="K369" s="10"/>
      <c r="L369" s="10"/>
      <c r="M369" s="10"/>
      <c r="N369" s="10"/>
      <c r="O369" s="10"/>
      <c r="P369" s="10"/>
      <c r="Q369" s="10"/>
      <c r="R369" s="10"/>
      <c r="S369" s="162"/>
      <c r="T369" s="160"/>
      <c r="U369" s="160"/>
      <c r="V369" s="160"/>
      <c r="W369" s="160"/>
      <c r="X369" s="160"/>
      <c r="Y369" s="160"/>
      <c r="Z369" s="160"/>
      <c r="AA369" s="160"/>
      <c r="AB369" s="160"/>
      <c r="AC369" s="160"/>
      <c r="AD369" s="160"/>
    </row>
    <row r="370" s="10" customFormat="1" ht="14" spans="1:30">
      <c r="A370" s="6" t="s">
        <v>142</v>
      </c>
      <c r="B370" s="158">
        <v>46077</v>
      </c>
      <c r="C370" s="104" t="str">
        <f t="shared" ref="C370:C414" si="7">YEAR(B370)&amp;"年"&amp;MONTH(B370)&amp;"月"</f>
        <v>2026年2月</v>
      </c>
      <c r="D370" s="104" t="s">
        <v>10</v>
      </c>
      <c r="E370" s="159"/>
      <c r="F370" s="104" t="s">
        <v>1006</v>
      </c>
      <c r="G370" s="195" t="s">
        <v>1007</v>
      </c>
      <c r="H370" s="40" t="s">
        <v>2168</v>
      </c>
      <c r="I370" s="155" t="s">
        <v>2222</v>
      </c>
      <c r="J370" s="109" t="s">
        <v>82</v>
      </c>
      <c r="K370" s="160"/>
      <c r="L370" s="161" t="s">
        <v>2223</v>
      </c>
      <c r="M370" s="160" t="s">
        <v>2224</v>
      </c>
      <c r="N370" s="160" t="s">
        <v>2225</v>
      </c>
      <c r="O370" s="187">
        <v>5639734</v>
      </c>
      <c r="P370" s="160" t="s">
        <v>1037</v>
      </c>
      <c r="Q370" s="104" t="s">
        <v>7</v>
      </c>
      <c r="R370" s="162"/>
      <c r="S370" s="162"/>
      <c r="T370" s="158"/>
      <c r="U370" s="160"/>
      <c r="V370" s="160"/>
      <c r="W370" s="160"/>
      <c r="X370" s="160"/>
      <c r="Y370" s="160"/>
      <c r="Z370" s="160"/>
      <c r="AA370" s="160"/>
      <c r="AB370" s="160"/>
      <c r="AC370" s="160"/>
      <c r="AD370" s="160"/>
    </row>
    <row r="371" s="10" customFormat="1" ht="14" spans="1:30">
      <c r="A371" s="6" t="s">
        <v>207</v>
      </c>
      <c r="B371" s="158">
        <v>46077</v>
      </c>
      <c r="C371" s="104" t="str">
        <f t="shared" si="7"/>
        <v>2026年2月</v>
      </c>
      <c r="D371" s="104" t="s">
        <v>11</v>
      </c>
      <c r="E371" s="159"/>
      <c r="F371" s="104" t="s">
        <v>1006</v>
      </c>
      <c r="G371" s="195" t="s">
        <v>1011</v>
      </c>
      <c r="H371" s="40" t="s">
        <v>39</v>
      </c>
      <c r="I371" s="155" t="s">
        <v>2226</v>
      </c>
      <c r="J371" s="109" t="s">
        <v>82</v>
      </c>
      <c r="K371" s="160"/>
      <c r="L371" s="161" t="s">
        <v>2227</v>
      </c>
      <c r="M371" s="160" t="s">
        <v>2228</v>
      </c>
      <c r="N371" s="160" t="s">
        <v>2229</v>
      </c>
      <c r="O371" s="209">
        <v>123809.97</v>
      </c>
      <c r="P371" s="160" t="s">
        <v>173</v>
      </c>
      <c r="Q371" s="104" t="s">
        <v>7</v>
      </c>
      <c r="R371" s="162" t="s">
        <v>2230</v>
      </c>
      <c r="S371" s="162" t="s">
        <v>2231</v>
      </c>
      <c r="T371" s="160"/>
      <c r="U371" s="160"/>
      <c r="V371" s="160"/>
      <c r="W371" s="160"/>
      <c r="X371" s="160"/>
      <c r="Y371" s="160"/>
      <c r="Z371" s="160"/>
      <c r="AA371" s="160"/>
      <c r="AB371" s="160"/>
      <c r="AC371" s="160"/>
      <c r="AD371" s="160"/>
    </row>
    <row r="372" s="10" customFormat="1" ht="14" spans="1:30">
      <c r="A372" s="6" t="s">
        <v>207</v>
      </c>
      <c r="B372" s="158">
        <v>46077</v>
      </c>
      <c r="C372" s="104" t="str">
        <f t="shared" si="7"/>
        <v>2026年2月</v>
      </c>
      <c r="D372" s="104" t="s">
        <v>10</v>
      </c>
      <c r="E372" s="159"/>
      <c r="F372" s="104" t="s">
        <v>1006</v>
      </c>
      <c r="G372" s="195" t="s">
        <v>1007</v>
      </c>
      <c r="H372" s="40" t="s">
        <v>47</v>
      </c>
      <c r="I372" s="208" t="s">
        <v>839</v>
      </c>
      <c r="J372" s="109" t="s">
        <v>82</v>
      </c>
      <c r="K372" s="160"/>
      <c r="L372" s="161" t="s">
        <v>840</v>
      </c>
      <c r="M372" s="160" t="s">
        <v>2232</v>
      </c>
      <c r="N372" s="160" t="s">
        <v>841</v>
      </c>
      <c r="O372" s="187">
        <v>32.68</v>
      </c>
      <c r="P372" s="160" t="s">
        <v>2233</v>
      </c>
      <c r="Q372" s="104" t="s">
        <v>7</v>
      </c>
      <c r="R372" s="162" t="s">
        <v>689</v>
      </c>
      <c r="S372" s="162"/>
      <c r="T372" s="160"/>
      <c r="U372" s="160"/>
      <c r="V372" s="160"/>
      <c r="W372" s="160"/>
      <c r="X372" s="160"/>
      <c r="Y372" s="160"/>
      <c r="Z372" s="160"/>
      <c r="AA372" s="160"/>
      <c r="AB372" s="160"/>
      <c r="AC372" s="160"/>
      <c r="AD372" s="160"/>
    </row>
    <row r="373" s="10" customFormat="1" ht="14" spans="1:30">
      <c r="A373" s="6" t="s">
        <v>142</v>
      </c>
      <c r="B373" s="158">
        <v>46078</v>
      </c>
      <c r="C373" s="104" t="str">
        <f t="shared" si="7"/>
        <v>2026年2月</v>
      </c>
      <c r="D373" s="104" t="s">
        <v>11</v>
      </c>
      <c r="E373" s="159"/>
      <c r="F373" s="104" t="s">
        <v>1029</v>
      </c>
      <c r="G373" s="195" t="s">
        <v>1007</v>
      </c>
      <c r="H373" s="40" t="s">
        <v>39</v>
      </c>
      <c r="I373" s="155" t="s">
        <v>2234</v>
      </c>
      <c r="J373" s="109" t="s">
        <v>82</v>
      </c>
      <c r="K373" s="160"/>
      <c r="L373" s="161" t="s">
        <v>2189</v>
      </c>
      <c r="M373" s="160" t="s">
        <v>2190</v>
      </c>
      <c r="N373" s="160" t="s">
        <v>2235</v>
      </c>
      <c r="O373" s="187">
        <v>131392</v>
      </c>
      <c r="P373" s="160" t="s">
        <v>1062</v>
      </c>
      <c r="Q373" s="104" t="s">
        <v>7</v>
      </c>
      <c r="R373" s="162"/>
      <c r="S373" s="162" t="s">
        <v>2236</v>
      </c>
      <c r="T373" s="158">
        <v>46092</v>
      </c>
      <c r="U373" s="160" t="s">
        <v>2237</v>
      </c>
      <c r="V373" s="160"/>
      <c r="W373" s="160"/>
      <c r="X373" s="160"/>
      <c r="Y373" s="160"/>
      <c r="Z373" s="160"/>
      <c r="AA373" s="160"/>
      <c r="AB373" s="160"/>
      <c r="AC373" s="160"/>
      <c r="AD373" s="160"/>
    </row>
    <row r="374" s="10" customFormat="1" ht="14" spans="1:30">
      <c r="A374" s="6" t="s">
        <v>207</v>
      </c>
      <c r="B374" s="158">
        <v>46079</v>
      </c>
      <c r="C374" s="104" t="str">
        <f t="shared" si="7"/>
        <v>2026年2月</v>
      </c>
      <c r="D374" s="104" t="s">
        <v>12</v>
      </c>
      <c r="E374" s="159"/>
      <c r="F374" s="104" t="s">
        <v>1029</v>
      </c>
      <c r="G374" s="195" t="s">
        <v>1007</v>
      </c>
      <c r="H374" s="40" t="s">
        <v>39</v>
      </c>
      <c r="I374" s="208" t="s">
        <v>2238</v>
      </c>
      <c r="J374" s="109" t="s">
        <v>82</v>
      </c>
      <c r="K374" s="160"/>
      <c r="L374" s="161" t="s">
        <v>2239</v>
      </c>
      <c r="M374" s="160" t="s">
        <v>2240</v>
      </c>
      <c r="N374" s="160" t="s">
        <v>2241</v>
      </c>
      <c r="O374" s="187">
        <v>854500</v>
      </c>
      <c r="P374" s="160" t="s">
        <v>2242</v>
      </c>
      <c r="Q374" s="104" t="s">
        <v>105</v>
      </c>
      <c r="R374" s="162"/>
      <c r="S374" s="161" t="s">
        <v>2243</v>
      </c>
      <c r="T374" s="160"/>
      <c r="U374" s="160"/>
      <c r="V374" s="160"/>
      <c r="W374" s="160"/>
      <c r="X374" s="160"/>
      <c r="Y374" s="160"/>
      <c r="Z374" s="160"/>
      <c r="AA374" s="160"/>
      <c r="AB374" s="160"/>
      <c r="AC374" s="160"/>
      <c r="AD374" s="160"/>
    </row>
    <row r="375" s="10" customFormat="1" ht="14" spans="1:30">
      <c r="A375" s="6" t="s">
        <v>142</v>
      </c>
      <c r="B375" s="158">
        <v>46081</v>
      </c>
      <c r="C375" s="104" t="str">
        <f t="shared" si="7"/>
        <v>2026年2月</v>
      </c>
      <c r="D375" s="104" t="s">
        <v>12</v>
      </c>
      <c r="E375" s="159"/>
      <c r="F375" s="104" t="s">
        <v>1029</v>
      </c>
      <c r="G375" s="195" t="s">
        <v>1011</v>
      </c>
      <c r="H375" s="40" t="s">
        <v>44</v>
      </c>
      <c r="I375" s="155" t="s">
        <v>2244</v>
      </c>
      <c r="J375" s="109" t="s">
        <v>82</v>
      </c>
      <c r="K375" s="160"/>
      <c r="L375" s="161" t="s">
        <v>708</v>
      </c>
      <c r="M375" s="160" t="s">
        <v>2245</v>
      </c>
      <c r="N375" s="160" t="s">
        <v>2246</v>
      </c>
      <c r="O375" s="187">
        <v>5337.81</v>
      </c>
      <c r="P375" s="160" t="s">
        <v>173</v>
      </c>
      <c r="Q375" s="104" t="s">
        <v>7</v>
      </c>
      <c r="R375" s="162"/>
      <c r="S375" s="162"/>
      <c r="T375" s="160"/>
      <c r="U375" s="160"/>
      <c r="V375" s="160"/>
      <c r="W375" s="160"/>
      <c r="X375" s="160"/>
      <c r="Y375" s="160"/>
      <c r="Z375" s="160"/>
      <c r="AA375" s="160"/>
      <c r="AB375" s="160"/>
      <c r="AC375" s="160"/>
      <c r="AD375" s="160"/>
    </row>
    <row r="376" s="10" customFormat="1" ht="14" spans="1:30">
      <c r="A376" s="6" t="s">
        <v>207</v>
      </c>
      <c r="B376" s="158">
        <v>46080</v>
      </c>
      <c r="C376" s="104" t="str">
        <f t="shared" si="7"/>
        <v>2026年2月</v>
      </c>
      <c r="D376" s="104" t="s">
        <v>12</v>
      </c>
      <c r="E376" s="159"/>
      <c r="F376" s="104" t="s">
        <v>1029</v>
      </c>
      <c r="G376" s="195" t="s">
        <v>1011</v>
      </c>
      <c r="H376" s="40" t="s">
        <v>48</v>
      </c>
      <c r="I376" s="155" t="s">
        <v>2247</v>
      </c>
      <c r="J376" s="109" t="s">
        <v>82</v>
      </c>
      <c r="K376" s="160"/>
      <c r="L376" s="161" t="s">
        <v>2202</v>
      </c>
      <c r="M376" s="160" t="s">
        <v>2203</v>
      </c>
      <c r="N376" s="160" t="s">
        <v>2204</v>
      </c>
      <c r="O376" s="187">
        <v>80722</v>
      </c>
      <c r="P376" s="160" t="s">
        <v>173</v>
      </c>
      <c r="Q376" s="104" t="s">
        <v>7</v>
      </c>
      <c r="R376" s="162"/>
      <c r="S376" s="162"/>
      <c r="T376" s="160"/>
      <c r="U376" s="160"/>
      <c r="V376" s="160"/>
      <c r="W376" s="160"/>
      <c r="X376" s="160"/>
      <c r="Y376" s="160"/>
      <c r="Z376" s="160"/>
      <c r="AA376" s="160"/>
      <c r="AB376" s="160"/>
      <c r="AC376" s="160"/>
      <c r="AD376" s="160"/>
    </row>
    <row r="377" s="10" customFormat="1" ht="14" spans="1:30">
      <c r="A377" s="6" t="s">
        <v>207</v>
      </c>
      <c r="B377" s="158">
        <v>46083</v>
      </c>
      <c r="C377" s="104" t="str">
        <f t="shared" si="7"/>
        <v>2026年3月</v>
      </c>
      <c r="D377" s="104" t="s">
        <v>12</v>
      </c>
      <c r="E377" s="159"/>
      <c r="F377" s="104" t="s">
        <v>1029</v>
      </c>
      <c r="G377" s="195" t="s">
        <v>1011</v>
      </c>
      <c r="H377" s="40" t="s">
        <v>48</v>
      </c>
      <c r="I377" s="155" t="s">
        <v>2248</v>
      </c>
      <c r="J377" s="109" t="s">
        <v>82</v>
      </c>
      <c r="K377" s="160"/>
      <c r="L377" s="161" t="s">
        <v>1870</v>
      </c>
      <c r="M377" s="160" t="s">
        <v>2020</v>
      </c>
      <c r="N377" s="160" t="s">
        <v>2021</v>
      </c>
      <c r="O377" s="187">
        <v>499.04</v>
      </c>
      <c r="P377" s="160" t="s">
        <v>173</v>
      </c>
      <c r="Q377" s="104" t="s">
        <v>7</v>
      </c>
      <c r="R377" s="162"/>
      <c r="S377" s="162"/>
      <c r="T377" s="160"/>
      <c r="U377" s="160"/>
      <c r="V377" s="160"/>
      <c r="W377" s="160"/>
      <c r="X377" s="160"/>
      <c r="Y377" s="160"/>
      <c r="Z377" s="160"/>
      <c r="AA377" s="160"/>
      <c r="AB377" s="160"/>
      <c r="AC377" s="160"/>
      <c r="AD377" s="160"/>
    </row>
    <row r="378" s="10" customFormat="1" ht="14" spans="1:30">
      <c r="A378" s="6" t="s">
        <v>207</v>
      </c>
      <c r="B378" s="158">
        <v>46086</v>
      </c>
      <c r="C378" s="104" t="str">
        <f t="shared" si="7"/>
        <v>2026年3月</v>
      </c>
      <c r="D378" s="104" t="s">
        <v>11</v>
      </c>
      <c r="E378" s="159"/>
      <c r="F378" s="104" t="s">
        <v>1029</v>
      </c>
      <c r="G378" s="195" t="s">
        <v>1007</v>
      </c>
      <c r="H378" s="40" t="s">
        <v>39</v>
      </c>
      <c r="I378" s="155" t="s">
        <v>2249</v>
      </c>
      <c r="J378" s="109" t="s">
        <v>82</v>
      </c>
      <c r="K378" s="160"/>
      <c r="L378" s="161" t="s">
        <v>2250</v>
      </c>
      <c r="M378" s="160" t="s">
        <v>2251</v>
      </c>
      <c r="N378" s="160" t="s">
        <v>2252</v>
      </c>
      <c r="O378" s="187">
        <v>101500</v>
      </c>
      <c r="P378" s="160" t="s">
        <v>173</v>
      </c>
      <c r="Q378" s="104" t="s">
        <v>7</v>
      </c>
      <c r="R378" s="162"/>
      <c r="S378" s="162" t="s">
        <v>2253</v>
      </c>
      <c r="T378" s="160"/>
      <c r="U378" s="160"/>
      <c r="V378" s="160"/>
      <c r="W378" s="160"/>
      <c r="X378" s="160"/>
      <c r="Y378" s="160"/>
      <c r="Z378" s="160"/>
      <c r="AA378" s="160"/>
      <c r="AB378" s="160"/>
      <c r="AC378" s="160"/>
      <c r="AD378" s="160"/>
    </row>
    <row r="379" s="10" customFormat="1" ht="14" spans="1:30">
      <c r="A379" s="6" t="s">
        <v>584</v>
      </c>
      <c r="B379" s="158">
        <v>46087</v>
      </c>
      <c r="C379" s="104" t="str">
        <f t="shared" si="7"/>
        <v>2026年3月</v>
      </c>
      <c r="D379" s="104" t="s">
        <v>10</v>
      </c>
      <c r="E379" s="159"/>
      <c r="F379" s="104" t="s">
        <v>1006</v>
      </c>
      <c r="G379" s="195" t="s">
        <v>1007</v>
      </c>
      <c r="H379" s="40" t="s">
        <v>53</v>
      </c>
      <c r="I379" s="155" t="s">
        <v>2254</v>
      </c>
      <c r="J379" s="109" t="s">
        <v>787</v>
      </c>
      <c r="K379" s="160"/>
      <c r="L379" s="161" t="s">
        <v>2255</v>
      </c>
      <c r="M379" s="160" t="s">
        <v>2256</v>
      </c>
      <c r="N379" s="160" t="s">
        <v>2257</v>
      </c>
      <c r="O379" s="187"/>
      <c r="P379" s="160"/>
      <c r="Q379" s="104" t="s">
        <v>105</v>
      </c>
      <c r="R379" s="162" t="s">
        <v>689</v>
      </c>
      <c r="S379" s="162" t="s">
        <v>2258</v>
      </c>
      <c r="T379" s="160"/>
      <c r="U379" s="160"/>
      <c r="V379" s="160"/>
      <c r="W379" s="160"/>
      <c r="X379" s="160"/>
      <c r="Y379" s="160"/>
      <c r="Z379" s="160"/>
      <c r="AA379" s="160"/>
      <c r="AB379" s="160"/>
      <c r="AC379" s="160"/>
      <c r="AD379" s="160"/>
    </row>
    <row r="380" s="10" customFormat="1" ht="14" spans="1:30">
      <c r="A380" s="6" t="s">
        <v>142</v>
      </c>
      <c r="B380" s="158">
        <v>46087</v>
      </c>
      <c r="C380" s="104" t="str">
        <f t="shared" si="7"/>
        <v>2026年3月</v>
      </c>
      <c r="D380" s="104" t="s">
        <v>12</v>
      </c>
      <c r="E380" s="159"/>
      <c r="F380" s="104" t="s">
        <v>1029</v>
      </c>
      <c r="G380" s="195" t="s">
        <v>1011</v>
      </c>
      <c r="H380" s="40" t="s">
        <v>48</v>
      </c>
      <c r="I380" s="155" t="s">
        <v>2259</v>
      </c>
      <c r="J380" s="109" t="s">
        <v>82</v>
      </c>
      <c r="K380" s="160"/>
      <c r="L380" s="161" t="s">
        <v>2202</v>
      </c>
      <c r="M380" s="160" t="s">
        <v>2203</v>
      </c>
      <c r="N380" s="160" t="s">
        <v>2204</v>
      </c>
      <c r="O380" s="209">
        <v>85064.99</v>
      </c>
      <c r="P380" s="160" t="s">
        <v>173</v>
      </c>
      <c r="Q380" s="104" t="s">
        <v>7</v>
      </c>
      <c r="R380" s="162"/>
      <c r="S380" s="162"/>
      <c r="T380" s="160"/>
      <c r="U380" s="160"/>
      <c r="V380" s="160"/>
      <c r="W380" s="160"/>
      <c r="X380" s="160"/>
      <c r="Y380" s="160"/>
      <c r="Z380" s="160"/>
      <c r="AA380" s="160"/>
      <c r="AB380" s="160"/>
      <c r="AC380" s="160"/>
      <c r="AD380" s="160"/>
    </row>
    <row r="381" s="10" customFormat="1" ht="14" spans="1:30">
      <c r="A381" s="6" t="s">
        <v>142</v>
      </c>
      <c r="B381" s="158">
        <v>46087</v>
      </c>
      <c r="C381" s="104" t="str">
        <f t="shared" si="7"/>
        <v>2026年3月</v>
      </c>
      <c r="D381" s="104" t="s">
        <v>11</v>
      </c>
      <c r="E381" s="159"/>
      <c r="F381" s="104" t="s">
        <v>1029</v>
      </c>
      <c r="G381" s="195" t="s">
        <v>1007</v>
      </c>
      <c r="H381" s="40" t="s">
        <v>40</v>
      </c>
      <c r="I381" s="155" t="s">
        <v>2260</v>
      </c>
      <c r="J381" s="109" t="s">
        <v>82</v>
      </c>
      <c r="K381" s="160" t="s">
        <v>2261</v>
      </c>
      <c r="L381" s="161" t="s">
        <v>2262</v>
      </c>
      <c r="M381" s="160" t="s">
        <v>2263</v>
      </c>
      <c r="N381" s="160" t="s">
        <v>2264</v>
      </c>
      <c r="O381" s="187">
        <v>19890</v>
      </c>
      <c r="P381" s="160" t="s">
        <v>149</v>
      </c>
      <c r="Q381" s="104" t="s">
        <v>7</v>
      </c>
      <c r="R381" s="162"/>
      <c r="S381" s="162"/>
      <c r="T381" s="160"/>
      <c r="U381" s="160"/>
      <c r="V381" s="160"/>
      <c r="W381" s="160"/>
      <c r="X381" s="160"/>
      <c r="Y381" s="160"/>
      <c r="Z381" s="160"/>
      <c r="AA381" s="160"/>
      <c r="AB381" s="160"/>
      <c r="AC381" s="160"/>
      <c r="AD381" s="160"/>
    </row>
    <row r="382" s="10" customFormat="1" ht="14" spans="1:30">
      <c r="A382" s="6" t="s">
        <v>207</v>
      </c>
      <c r="B382" s="158">
        <v>46090</v>
      </c>
      <c r="C382" s="104" t="str">
        <f t="shared" si="7"/>
        <v>2026年3月</v>
      </c>
      <c r="D382" s="104" t="s">
        <v>10</v>
      </c>
      <c r="E382" s="159"/>
      <c r="F382" s="104" t="s">
        <v>1006</v>
      </c>
      <c r="G382" s="195" t="s">
        <v>1007</v>
      </c>
      <c r="H382" s="40" t="s">
        <v>39</v>
      </c>
      <c r="I382" s="155" t="s">
        <v>2265</v>
      </c>
      <c r="J382" s="109" t="s">
        <v>82</v>
      </c>
      <c r="K382" s="160"/>
      <c r="L382" s="161" t="s">
        <v>2266</v>
      </c>
      <c r="M382" s="160" t="s">
        <v>2267</v>
      </c>
      <c r="N382" s="160" t="s">
        <v>2268</v>
      </c>
      <c r="O382" s="187">
        <v>82987.17</v>
      </c>
      <c r="P382" s="160" t="s">
        <v>173</v>
      </c>
      <c r="Q382" s="104" t="s">
        <v>7</v>
      </c>
      <c r="R382" s="162" t="s">
        <v>678</v>
      </c>
      <c r="S382" s="162"/>
      <c r="T382" s="160"/>
      <c r="U382" s="160"/>
      <c r="V382" s="160"/>
      <c r="W382" s="160"/>
      <c r="X382" s="160"/>
      <c r="Y382" s="160"/>
      <c r="Z382" s="160"/>
      <c r="AA382" s="160"/>
      <c r="AB382" s="160"/>
      <c r="AC382" s="160"/>
      <c r="AD382" s="160"/>
    </row>
    <row r="383" s="10" customFormat="1" ht="26" spans="1:30">
      <c r="A383" s="6" t="s">
        <v>207</v>
      </c>
      <c r="B383" s="158">
        <v>46091</v>
      </c>
      <c r="C383" s="104" t="str">
        <f t="shared" si="7"/>
        <v>2026年3月</v>
      </c>
      <c r="D383" s="104" t="s">
        <v>10</v>
      </c>
      <c r="E383" s="159"/>
      <c r="F383" s="104" t="s">
        <v>1006</v>
      </c>
      <c r="G383" s="195" t="s">
        <v>1007</v>
      </c>
      <c r="H383" s="40" t="s">
        <v>47</v>
      </c>
      <c r="I383" s="155" t="s">
        <v>2269</v>
      </c>
      <c r="J383" s="109" t="s">
        <v>422</v>
      </c>
      <c r="K383" s="160"/>
      <c r="L383" s="161" t="s">
        <v>2270</v>
      </c>
      <c r="M383" s="160" t="s">
        <v>2271</v>
      </c>
      <c r="N383" s="160" t="s">
        <v>2272</v>
      </c>
      <c r="O383" s="187">
        <v>1.37</v>
      </c>
      <c r="P383" s="160" t="s">
        <v>1466</v>
      </c>
      <c r="Q383" s="104" t="s">
        <v>7</v>
      </c>
      <c r="R383" s="162" t="s">
        <v>800</v>
      </c>
      <c r="S383" s="162" t="s">
        <v>2273</v>
      </c>
      <c r="T383" s="160"/>
      <c r="U383" s="160"/>
      <c r="V383" s="160"/>
      <c r="W383" s="160"/>
      <c r="X383" s="160"/>
      <c r="Y383" s="160"/>
      <c r="Z383" s="160"/>
      <c r="AA383" s="160"/>
      <c r="AB383" s="160"/>
      <c r="AC383" s="160"/>
      <c r="AD383" s="160"/>
    </row>
    <row r="384" s="10" customFormat="1" ht="14" spans="1:30">
      <c r="A384" s="6" t="s">
        <v>142</v>
      </c>
      <c r="B384" s="158">
        <v>46090</v>
      </c>
      <c r="C384" s="104" t="str">
        <f t="shared" si="7"/>
        <v>2026年3月</v>
      </c>
      <c r="D384" s="104" t="s">
        <v>12</v>
      </c>
      <c r="E384" s="159"/>
      <c r="F384" s="104" t="s">
        <v>1006</v>
      </c>
      <c r="G384" s="195" t="s">
        <v>1007</v>
      </c>
      <c r="H384" s="40" t="s">
        <v>54</v>
      </c>
      <c r="I384" s="155" t="s">
        <v>2274</v>
      </c>
      <c r="J384" s="109" t="s">
        <v>422</v>
      </c>
      <c r="K384" s="160"/>
      <c r="L384" s="161" t="s">
        <v>2275</v>
      </c>
      <c r="M384" s="160" t="s">
        <v>2276</v>
      </c>
      <c r="N384" s="160" t="s">
        <v>2277</v>
      </c>
      <c r="O384" s="187">
        <v>500</v>
      </c>
      <c r="P384" s="160" t="s">
        <v>173</v>
      </c>
      <c r="Q384" s="104" t="s">
        <v>7</v>
      </c>
      <c r="R384" s="162"/>
      <c r="S384" s="162"/>
      <c r="T384" s="160"/>
      <c r="U384" s="160"/>
      <c r="V384" s="160"/>
      <c r="W384" s="160"/>
      <c r="X384" s="160"/>
      <c r="Y384" s="160"/>
      <c r="Z384" s="160"/>
      <c r="AA384" s="160"/>
      <c r="AB384" s="160"/>
      <c r="AC384" s="160"/>
      <c r="AD384" s="160"/>
    </row>
    <row r="385" s="10" customFormat="1" ht="39" spans="1:30">
      <c r="A385" s="6" t="s">
        <v>584</v>
      </c>
      <c r="B385" s="158">
        <v>46090</v>
      </c>
      <c r="C385" s="104" t="str">
        <f t="shared" si="7"/>
        <v>2026年3月</v>
      </c>
      <c r="D385" s="104" t="s">
        <v>10</v>
      </c>
      <c r="E385" s="159"/>
      <c r="F385" s="104" t="s">
        <v>1006</v>
      </c>
      <c r="G385" s="195" t="s">
        <v>1007</v>
      </c>
      <c r="H385" s="40" t="s">
        <v>53</v>
      </c>
      <c r="I385" s="155" t="s">
        <v>2278</v>
      </c>
      <c r="J385" s="109" t="s">
        <v>787</v>
      </c>
      <c r="K385" s="160"/>
      <c r="L385" s="161" t="s">
        <v>2255</v>
      </c>
      <c r="M385" s="160" t="s">
        <v>2279</v>
      </c>
      <c r="N385" s="160" t="s">
        <v>2257</v>
      </c>
      <c r="O385" s="187">
        <v>240</v>
      </c>
      <c r="P385" s="160" t="s">
        <v>173</v>
      </c>
      <c r="Q385" s="104" t="s">
        <v>7</v>
      </c>
      <c r="R385" s="162" t="s">
        <v>689</v>
      </c>
      <c r="S385" s="162" t="s">
        <v>2280</v>
      </c>
      <c r="T385" s="160"/>
      <c r="U385" s="160"/>
      <c r="V385" s="160"/>
      <c r="W385" s="160"/>
      <c r="X385" s="160"/>
      <c r="Y385" s="160"/>
      <c r="Z385" s="160"/>
      <c r="AA385" s="160"/>
      <c r="AB385" s="160"/>
      <c r="AC385" s="160"/>
      <c r="AD385" s="160"/>
    </row>
    <row r="386" s="10" customFormat="1" ht="14" spans="1:30">
      <c r="A386" s="6" t="s">
        <v>142</v>
      </c>
      <c r="B386" s="158">
        <v>46090</v>
      </c>
      <c r="C386" s="104" t="str">
        <f t="shared" si="7"/>
        <v>2026年3月</v>
      </c>
      <c r="D386" s="104" t="s">
        <v>12</v>
      </c>
      <c r="E386" s="159"/>
      <c r="F386" s="104" t="s">
        <v>1006</v>
      </c>
      <c r="G386" s="195" t="s">
        <v>1007</v>
      </c>
      <c r="H386" s="40" t="s">
        <v>39</v>
      </c>
      <c r="I386" s="155" t="s">
        <v>2281</v>
      </c>
      <c r="J386" s="109" t="s">
        <v>82</v>
      </c>
      <c r="K386" s="160"/>
      <c r="L386" s="161" t="s">
        <v>2282</v>
      </c>
      <c r="M386" s="160" t="s">
        <v>2283</v>
      </c>
      <c r="N386" s="160" t="s">
        <v>2283</v>
      </c>
      <c r="O386" s="187">
        <v>47668.44</v>
      </c>
      <c r="P386" s="160" t="s">
        <v>173</v>
      </c>
      <c r="Q386" s="104" t="s">
        <v>105</v>
      </c>
      <c r="R386" s="162" t="s">
        <v>1914</v>
      </c>
      <c r="S386" s="162"/>
      <c r="T386" s="160"/>
      <c r="U386" s="160"/>
      <c r="V386" s="160"/>
      <c r="W386" s="160"/>
      <c r="X386" s="160"/>
      <c r="Y386" s="160"/>
      <c r="Z386" s="160"/>
      <c r="AA386" s="160"/>
      <c r="AB386" s="160"/>
      <c r="AC386" s="160"/>
      <c r="AD386" s="160"/>
    </row>
    <row r="387" s="10" customFormat="1" ht="14" spans="1:30">
      <c r="A387" s="6" t="s">
        <v>207</v>
      </c>
      <c r="B387" s="158">
        <v>46092</v>
      </c>
      <c r="C387" s="104" t="str">
        <f t="shared" si="7"/>
        <v>2026年3月</v>
      </c>
      <c r="D387" s="104" t="s">
        <v>12</v>
      </c>
      <c r="E387" s="159"/>
      <c r="F387" s="104" t="s">
        <v>1006</v>
      </c>
      <c r="G387" s="195" t="s">
        <v>1007</v>
      </c>
      <c r="H387" s="40" t="s">
        <v>39</v>
      </c>
      <c r="I387" s="155" t="s">
        <v>2284</v>
      </c>
      <c r="J387" s="109" t="s">
        <v>82</v>
      </c>
      <c r="K387" s="160"/>
      <c r="L387" s="161" t="s">
        <v>2282</v>
      </c>
      <c r="M387" s="160" t="s">
        <v>2283</v>
      </c>
      <c r="N387" s="160" t="s">
        <v>2283</v>
      </c>
      <c r="O387" s="209">
        <v>51172.61</v>
      </c>
      <c r="P387" s="160" t="s">
        <v>173</v>
      </c>
      <c r="Q387" s="104" t="s">
        <v>105</v>
      </c>
      <c r="R387" s="162" t="s">
        <v>1914</v>
      </c>
      <c r="S387" s="162"/>
      <c r="T387" s="160"/>
      <c r="U387" s="160"/>
      <c r="V387" s="160"/>
      <c r="W387" s="160"/>
      <c r="X387" s="160"/>
      <c r="Y387" s="160"/>
      <c r="Z387" s="160"/>
      <c r="AA387" s="160"/>
      <c r="AB387" s="160"/>
      <c r="AC387" s="160"/>
      <c r="AD387" s="160"/>
    </row>
    <row r="388" s="10" customFormat="1" ht="14" spans="1:30">
      <c r="A388" s="6" t="s">
        <v>142</v>
      </c>
      <c r="B388" s="158">
        <v>46092</v>
      </c>
      <c r="C388" s="104" t="str">
        <f t="shared" si="7"/>
        <v>2026年3月</v>
      </c>
      <c r="D388" s="104" t="s">
        <v>12</v>
      </c>
      <c r="E388" s="159"/>
      <c r="F388" s="104" t="s">
        <v>1006</v>
      </c>
      <c r="G388" s="195" t="s">
        <v>1007</v>
      </c>
      <c r="H388" s="40" t="s">
        <v>39</v>
      </c>
      <c r="I388" s="155" t="s">
        <v>2285</v>
      </c>
      <c r="J388" s="109" t="s">
        <v>82</v>
      </c>
      <c r="K388" s="160"/>
      <c r="L388" s="161" t="s">
        <v>2282</v>
      </c>
      <c r="M388" s="160" t="s">
        <v>2283</v>
      </c>
      <c r="N388" s="160" t="s">
        <v>2283</v>
      </c>
      <c r="O388" s="209">
        <v>81715.38</v>
      </c>
      <c r="P388" s="160" t="s">
        <v>173</v>
      </c>
      <c r="Q388" s="104" t="s">
        <v>105</v>
      </c>
      <c r="R388" s="162" t="s">
        <v>1914</v>
      </c>
      <c r="S388" s="162"/>
      <c r="T388" s="160"/>
      <c r="U388" s="160"/>
      <c r="V388" s="160"/>
      <c r="W388" s="160"/>
      <c r="X388" s="160"/>
      <c r="Y388" s="160"/>
      <c r="Z388" s="160"/>
      <c r="AA388" s="160"/>
      <c r="AB388" s="160"/>
      <c r="AC388" s="160"/>
      <c r="AD388" s="160"/>
    </row>
    <row r="389" s="10" customFormat="1" ht="14" spans="1:30">
      <c r="A389" s="6" t="s">
        <v>207</v>
      </c>
      <c r="B389" s="158">
        <v>46093</v>
      </c>
      <c r="C389" s="104" t="str">
        <f t="shared" si="7"/>
        <v>2026年3月</v>
      </c>
      <c r="D389" s="104" t="s">
        <v>12</v>
      </c>
      <c r="E389" s="159"/>
      <c r="F389" s="104" t="s">
        <v>1029</v>
      </c>
      <c r="G389" s="195" t="s">
        <v>1007</v>
      </c>
      <c r="H389" s="40" t="s">
        <v>44</v>
      </c>
      <c r="I389" s="155" t="s">
        <v>2286</v>
      </c>
      <c r="J389" s="109" t="s">
        <v>422</v>
      </c>
      <c r="K389" s="160"/>
      <c r="L389" s="161" t="s">
        <v>2287</v>
      </c>
      <c r="M389" s="160" t="s">
        <v>2288</v>
      </c>
      <c r="N389" s="160" t="s">
        <v>2289</v>
      </c>
      <c r="O389" s="187">
        <v>50000</v>
      </c>
      <c r="P389" s="160" t="s">
        <v>1128</v>
      </c>
      <c r="Q389" s="104" t="s">
        <v>7</v>
      </c>
      <c r="R389" s="162" t="s">
        <v>2173</v>
      </c>
      <c r="S389" s="162"/>
      <c r="T389" s="160"/>
      <c r="U389" s="160"/>
      <c r="V389" s="160"/>
      <c r="W389" s="160"/>
      <c r="X389" s="160"/>
      <c r="Y389" s="160"/>
      <c r="Z389" s="160"/>
      <c r="AA389" s="160"/>
      <c r="AB389" s="160"/>
      <c r="AC389" s="160"/>
      <c r="AD389" s="160"/>
    </row>
    <row r="390" s="10" customFormat="1" ht="14" spans="1:30">
      <c r="A390" s="6" t="s">
        <v>142</v>
      </c>
      <c r="B390" s="158">
        <v>46093</v>
      </c>
      <c r="C390" s="104" t="str">
        <f t="shared" si="7"/>
        <v>2026年3月</v>
      </c>
      <c r="D390" s="104" t="s">
        <v>12</v>
      </c>
      <c r="E390" s="159"/>
      <c r="F390" s="104" t="s">
        <v>1029</v>
      </c>
      <c r="G390" s="195" t="s">
        <v>1011</v>
      </c>
      <c r="H390" s="40" t="s">
        <v>39</v>
      </c>
      <c r="I390" s="155" t="s">
        <v>2290</v>
      </c>
      <c r="J390" s="109" t="s">
        <v>82</v>
      </c>
      <c r="K390" s="160"/>
      <c r="L390" s="161" t="s">
        <v>1071</v>
      </c>
      <c r="M390" s="160" t="s">
        <v>1072</v>
      </c>
      <c r="N390" s="162" t="s">
        <v>2291</v>
      </c>
      <c r="O390" s="187">
        <v>943169.41</v>
      </c>
      <c r="P390" s="160" t="s">
        <v>149</v>
      </c>
      <c r="Q390" s="104" t="s">
        <v>7</v>
      </c>
      <c r="R390" s="162" t="s">
        <v>2221</v>
      </c>
      <c r="S390" s="162"/>
      <c r="T390" s="160"/>
      <c r="U390" s="160"/>
      <c r="V390" s="160"/>
      <c r="W390" s="160"/>
      <c r="X390" s="160"/>
      <c r="Y390" s="160"/>
      <c r="Z390" s="160"/>
      <c r="AA390" s="160"/>
      <c r="AB390" s="160"/>
      <c r="AC390" s="160"/>
      <c r="AD390" s="160"/>
    </row>
    <row r="391" s="10" customFormat="1" ht="14" spans="1:30">
      <c r="A391" s="6" t="s">
        <v>207</v>
      </c>
      <c r="B391" s="158">
        <v>46093</v>
      </c>
      <c r="C391" s="104" t="str">
        <f t="shared" si="7"/>
        <v>2026年3月</v>
      </c>
      <c r="D391" s="104" t="s">
        <v>12</v>
      </c>
      <c r="E391" s="159"/>
      <c r="F391" s="104" t="s">
        <v>1006</v>
      </c>
      <c r="G391" s="195" t="s">
        <v>1007</v>
      </c>
      <c r="H391" s="40" t="s">
        <v>39</v>
      </c>
      <c r="I391" s="155" t="s">
        <v>2292</v>
      </c>
      <c r="J391" s="109" t="s">
        <v>82</v>
      </c>
      <c r="K391" s="160"/>
      <c r="L391" s="161" t="s">
        <v>2282</v>
      </c>
      <c r="M391" s="160" t="s">
        <v>2283</v>
      </c>
      <c r="N391" s="160" t="s">
        <v>2283</v>
      </c>
      <c r="O391" s="209">
        <v>150799.46</v>
      </c>
      <c r="P391" s="160" t="s">
        <v>173</v>
      </c>
      <c r="Q391" s="104" t="s">
        <v>105</v>
      </c>
      <c r="R391" s="162" t="s">
        <v>1914</v>
      </c>
      <c r="S391" s="162"/>
      <c r="T391" s="160"/>
      <c r="U391" s="160"/>
      <c r="V391" s="160"/>
      <c r="W391" s="160"/>
      <c r="X391" s="160"/>
      <c r="Y391" s="160"/>
      <c r="Z391" s="160"/>
      <c r="AA391" s="160"/>
      <c r="AB391" s="160"/>
      <c r="AC391" s="160"/>
      <c r="AD391" s="160"/>
    </row>
    <row r="392" s="10" customFormat="1" ht="14" spans="1:30">
      <c r="A392" s="6" t="s">
        <v>207</v>
      </c>
      <c r="B392" s="158">
        <v>46093</v>
      </c>
      <c r="C392" s="104" t="str">
        <f t="shared" si="7"/>
        <v>2026年3月</v>
      </c>
      <c r="D392" s="104" t="s">
        <v>12</v>
      </c>
      <c r="E392" s="159"/>
      <c r="F392" s="104" t="s">
        <v>1029</v>
      </c>
      <c r="G392" s="195" t="s">
        <v>1011</v>
      </c>
      <c r="H392" s="40" t="s">
        <v>48</v>
      </c>
      <c r="I392" s="155" t="s">
        <v>2293</v>
      </c>
      <c r="J392" s="109" t="s">
        <v>82</v>
      </c>
      <c r="K392" s="160"/>
      <c r="L392" s="161" t="s">
        <v>2202</v>
      </c>
      <c r="M392" s="160" t="s">
        <v>2203</v>
      </c>
      <c r="N392" s="160" t="s">
        <v>2204</v>
      </c>
      <c r="O392" s="209">
        <v>84080.59</v>
      </c>
      <c r="P392" s="160" t="s">
        <v>173</v>
      </c>
      <c r="Q392" s="104" t="s">
        <v>7</v>
      </c>
      <c r="R392" s="162" t="s">
        <v>2141</v>
      </c>
      <c r="S392" s="162"/>
      <c r="T392" s="160"/>
      <c r="U392" s="160"/>
      <c r="V392" s="160"/>
      <c r="W392" s="160"/>
      <c r="X392" s="160"/>
      <c r="Y392" s="160"/>
      <c r="Z392" s="160"/>
      <c r="AA392" s="160"/>
      <c r="AB392" s="160"/>
      <c r="AC392" s="160"/>
      <c r="AD392" s="160"/>
    </row>
    <row r="393" s="10" customFormat="1" ht="14" spans="1:30">
      <c r="A393" s="6" t="s">
        <v>207</v>
      </c>
      <c r="B393" s="158">
        <v>46094</v>
      </c>
      <c r="C393" s="104" t="str">
        <f t="shared" si="7"/>
        <v>2026年3月</v>
      </c>
      <c r="D393" s="104" t="s">
        <v>12</v>
      </c>
      <c r="E393" s="159"/>
      <c r="F393" s="104" t="s">
        <v>1006</v>
      </c>
      <c r="G393" s="195" t="s">
        <v>1007</v>
      </c>
      <c r="H393" s="40" t="s">
        <v>39</v>
      </c>
      <c r="I393" s="155" t="s">
        <v>2294</v>
      </c>
      <c r="J393" s="109" t="s">
        <v>82</v>
      </c>
      <c r="K393" s="160"/>
      <c r="L393" s="161" t="s">
        <v>2282</v>
      </c>
      <c r="M393" s="160" t="s">
        <v>2283</v>
      </c>
      <c r="N393" s="160" t="s">
        <v>2283</v>
      </c>
      <c r="O393" s="209">
        <v>150799.46</v>
      </c>
      <c r="P393" s="160" t="s">
        <v>173</v>
      </c>
      <c r="Q393" s="104" t="s">
        <v>105</v>
      </c>
      <c r="R393" s="162" t="s">
        <v>1914</v>
      </c>
      <c r="S393" s="162"/>
      <c r="T393" s="160"/>
      <c r="U393" s="160"/>
      <c r="V393" s="160"/>
      <c r="W393" s="160"/>
      <c r="X393" s="160"/>
      <c r="Y393" s="160"/>
      <c r="Z393" s="160"/>
      <c r="AA393" s="160"/>
      <c r="AB393" s="160"/>
      <c r="AC393" s="160"/>
      <c r="AD393" s="160"/>
    </row>
    <row r="394" s="10" customFormat="1" ht="26" spans="1:30">
      <c r="A394" s="6" t="s">
        <v>78</v>
      </c>
      <c r="B394" s="158">
        <v>46097</v>
      </c>
      <c r="C394" s="104" t="str">
        <f t="shared" si="7"/>
        <v>2026年3月</v>
      </c>
      <c r="D394" s="104" t="s">
        <v>10</v>
      </c>
      <c r="E394" s="159"/>
      <c r="F394" s="104" t="s">
        <v>1006</v>
      </c>
      <c r="G394" s="195" t="s">
        <v>1007</v>
      </c>
      <c r="H394" s="40" t="s">
        <v>2168</v>
      </c>
      <c r="I394" s="155" t="s">
        <v>2295</v>
      </c>
      <c r="J394" s="109" t="s">
        <v>82</v>
      </c>
      <c r="K394" s="160"/>
      <c r="L394" s="162" t="s">
        <v>2296</v>
      </c>
      <c r="M394" s="162" t="s">
        <v>2224</v>
      </c>
      <c r="N394" s="160"/>
      <c r="O394" s="187"/>
      <c r="P394" s="160"/>
      <c r="Q394" s="104" t="s">
        <v>7</v>
      </c>
      <c r="R394" s="162" t="s">
        <v>194</v>
      </c>
      <c r="S394" s="162"/>
      <c r="T394" s="160"/>
      <c r="U394" s="160"/>
      <c r="V394" s="160"/>
      <c r="W394" s="160"/>
      <c r="X394" s="160"/>
      <c r="Y394" s="160"/>
      <c r="Z394" s="160"/>
      <c r="AA394" s="160"/>
      <c r="AB394" s="160"/>
      <c r="AC394" s="160"/>
      <c r="AD394" s="160"/>
    </row>
    <row r="395" s="10" customFormat="1" ht="14" spans="1:30">
      <c r="A395" s="6" t="s">
        <v>142</v>
      </c>
      <c r="B395" s="158">
        <v>46097</v>
      </c>
      <c r="C395" s="104" t="str">
        <f t="shared" si="7"/>
        <v>2026年3月</v>
      </c>
      <c r="D395" s="104" t="s">
        <v>11</v>
      </c>
      <c r="E395" s="10"/>
      <c r="F395" s="104" t="s">
        <v>1029</v>
      </c>
      <c r="G395" s="195" t="s">
        <v>1011</v>
      </c>
      <c r="H395" s="40" t="s">
        <v>39</v>
      </c>
      <c r="I395" s="155" t="s">
        <v>2297</v>
      </c>
      <c r="J395" s="109" t="s">
        <v>1665</v>
      </c>
      <c r="K395" s="160"/>
      <c r="L395" s="161" t="s">
        <v>2146</v>
      </c>
      <c r="M395" s="160" t="s">
        <v>2147</v>
      </c>
      <c r="N395" s="160" t="s">
        <v>2298</v>
      </c>
      <c r="O395" s="187">
        <v>16210.74</v>
      </c>
      <c r="P395" s="160" t="s">
        <v>149</v>
      </c>
      <c r="Q395" s="104" t="s">
        <v>7</v>
      </c>
      <c r="R395" s="162"/>
      <c r="S395" s="162"/>
      <c r="T395" s="160"/>
      <c r="U395" s="160"/>
      <c r="V395" s="160"/>
      <c r="W395" s="160"/>
      <c r="X395" s="160"/>
      <c r="Y395" s="160"/>
      <c r="Z395" s="160"/>
      <c r="AA395" s="160"/>
      <c r="AB395" s="160"/>
      <c r="AC395" s="160"/>
      <c r="AD395" s="160"/>
    </row>
    <row r="396" s="10" customFormat="1" ht="14" spans="1:30">
      <c r="A396" s="6" t="s">
        <v>547</v>
      </c>
      <c r="B396" s="158">
        <v>46080</v>
      </c>
      <c r="C396" s="104" t="str">
        <f t="shared" si="7"/>
        <v>2026年2月</v>
      </c>
      <c r="D396" s="104" t="s">
        <v>12</v>
      </c>
      <c r="E396" s="159"/>
      <c r="F396" s="104" t="s">
        <v>1006</v>
      </c>
      <c r="G396" s="195" t="s">
        <v>1007</v>
      </c>
      <c r="H396" s="40" t="s">
        <v>53</v>
      </c>
      <c r="I396" s="155" t="s">
        <v>2299</v>
      </c>
      <c r="J396" s="109" t="s">
        <v>82</v>
      </c>
      <c r="K396" s="160"/>
      <c r="L396" s="160"/>
      <c r="M396" s="160"/>
      <c r="N396" s="160"/>
      <c r="O396" s="187">
        <v>534</v>
      </c>
      <c r="P396" s="160" t="s">
        <v>173</v>
      </c>
      <c r="Q396" s="104" t="s">
        <v>105</v>
      </c>
      <c r="R396" s="162"/>
      <c r="S396" s="162"/>
      <c r="T396" s="160"/>
      <c r="U396" s="160"/>
      <c r="V396" s="160"/>
      <c r="W396" s="160"/>
      <c r="X396" s="160"/>
      <c r="Y396" s="160"/>
      <c r="Z396" s="160"/>
      <c r="AA396" s="160"/>
      <c r="AB396" s="160"/>
      <c r="AC396" s="160"/>
      <c r="AD396" s="160"/>
    </row>
    <row r="397" s="10" customFormat="1" ht="14" spans="1:30">
      <c r="A397" s="6" t="s">
        <v>142</v>
      </c>
      <c r="B397" s="158">
        <v>46099</v>
      </c>
      <c r="C397" s="104" t="str">
        <f t="shared" si="7"/>
        <v>2026年3月</v>
      </c>
      <c r="D397" s="104" t="s">
        <v>12</v>
      </c>
      <c r="E397" s="159"/>
      <c r="F397" s="104" t="s">
        <v>1006</v>
      </c>
      <c r="G397" s="195" t="s">
        <v>1011</v>
      </c>
      <c r="H397" s="40" t="s">
        <v>39</v>
      </c>
      <c r="I397" s="155" t="s">
        <v>2300</v>
      </c>
      <c r="J397" s="109" t="s">
        <v>82</v>
      </c>
      <c r="K397" s="160"/>
      <c r="L397" s="161" t="s">
        <v>2282</v>
      </c>
      <c r="M397" s="160" t="s">
        <v>2283</v>
      </c>
      <c r="N397" s="160" t="s">
        <v>2283</v>
      </c>
      <c r="O397" s="209">
        <v>179586.63</v>
      </c>
      <c r="P397" s="160" t="s">
        <v>173</v>
      </c>
      <c r="Q397" s="104" t="s">
        <v>105</v>
      </c>
      <c r="R397" s="162"/>
      <c r="S397" s="162"/>
      <c r="T397" s="160"/>
      <c r="U397" s="160"/>
      <c r="V397" s="160"/>
      <c r="W397" s="160"/>
      <c r="X397" s="160"/>
      <c r="Y397" s="160"/>
      <c r="Z397" s="160"/>
      <c r="AA397" s="160"/>
      <c r="AB397" s="160"/>
      <c r="AC397" s="160"/>
      <c r="AD397" s="160"/>
    </row>
    <row r="398" s="10" customFormat="1" ht="39" spans="1:30">
      <c r="A398" s="6" t="s">
        <v>872</v>
      </c>
      <c r="B398" s="158">
        <v>46101</v>
      </c>
      <c r="C398" s="104" t="str">
        <f t="shared" si="7"/>
        <v>2026年3月</v>
      </c>
      <c r="D398" s="104" t="s">
        <v>11</v>
      </c>
      <c r="E398" s="159"/>
      <c r="F398" s="104" t="s">
        <v>1006</v>
      </c>
      <c r="G398" s="195" t="s">
        <v>1678</v>
      </c>
      <c r="H398" s="40" t="s">
        <v>48</v>
      </c>
      <c r="I398" s="155" t="s">
        <v>2301</v>
      </c>
      <c r="J398" s="109" t="s">
        <v>82</v>
      </c>
      <c r="K398" s="160" t="s">
        <v>2261</v>
      </c>
      <c r="L398" s="161" t="s">
        <v>2302</v>
      </c>
      <c r="M398" s="160" t="s">
        <v>2303</v>
      </c>
      <c r="N398" s="160" t="s">
        <v>2304</v>
      </c>
      <c r="O398" s="209">
        <v>23396.82</v>
      </c>
      <c r="P398" s="160" t="s">
        <v>173</v>
      </c>
      <c r="Q398" s="104" t="s">
        <v>7</v>
      </c>
      <c r="R398" s="162" t="s">
        <v>194</v>
      </c>
      <c r="S398" s="162" t="s">
        <v>2305</v>
      </c>
      <c r="T398" s="160"/>
      <c r="U398" s="160"/>
      <c r="V398" s="160"/>
      <c r="W398" s="160"/>
      <c r="X398" s="160"/>
      <c r="Y398" s="160"/>
      <c r="Z398" s="160"/>
      <c r="AA398" s="160"/>
      <c r="AB398" s="160"/>
      <c r="AC398" s="160"/>
      <c r="AD398" s="160"/>
    </row>
    <row r="399" s="10" customFormat="1" ht="14" spans="1:30">
      <c r="A399" s="6" t="s">
        <v>872</v>
      </c>
      <c r="B399" s="158">
        <v>46105</v>
      </c>
      <c r="C399" s="104" t="str">
        <f t="shared" si="7"/>
        <v>2026年3月</v>
      </c>
      <c r="D399" s="104" t="s">
        <v>12</v>
      </c>
      <c r="E399" s="159"/>
      <c r="F399" s="104" t="s">
        <v>1029</v>
      </c>
      <c r="G399" s="195" t="s">
        <v>1011</v>
      </c>
      <c r="H399" s="40" t="s">
        <v>48</v>
      </c>
      <c r="I399" s="155" t="s">
        <v>2306</v>
      </c>
      <c r="J399" s="109" t="s">
        <v>82</v>
      </c>
      <c r="K399" s="160"/>
      <c r="L399" s="161" t="s">
        <v>1103</v>
      </c>
      <c r="M399" s="160" t="s">
        <v>2307</v>
      </c>
      <c r="N399" s="160" t="s">
        <v>2308</v>
      </c>
      <c r="O399" s="187">
        <v>23080</v>
      </c>
      <c r="P399" s="160" t="s">
        <v>2309</v>
      </c>
      <c r="Q399" s="104" t="s">
        <v>105</v>
      </c>
      <c r="R399" s="162"/>
      <c r="S399" s="162"/>
      <c r="T399" s="160"/>
      <c r="U399" s="160"/>
      <c r="V399" s="160"/>
      <c r="W399" s="160"/>
      <c r="X399" s="160"/>
      <c r="Y399" s="160"/>
      <c r="Z399" s="160"/>
      <c r="AA399" s="160"/>
      <c r="AB399" s="160"/>
      <c r="AC399" s="160"/>
      <c r="AD399" s="160"/>
    </row>
    <row r="400" s="10" customFormat="1" ht="14.5" spans="1:30">
      <c r="A400" s="6" t="s">
        <v>142</v>
      </c>
      <c r="B400" s="158">
        <v>46101</v>
      </c>
      <c r="C400" s="104" t="str">
        <f t="shared" si="7"/>
        <v>2026年3月</v>
      </c>
      <c r="D400" s="104" t="s">
        <v>10</v>
      </c>
      <c r="E400" s="159" t="s">
        <v>2310</v>
      </c>
      <c r="F400" s="104" t="s">
        <v>1006</v>
      </c>
      <c r="G400" s="195" t="s">
        <v>1007</v>
      </c>
      <c r="H400" s="40" t="s">
        <v>2002</v>
      </c>
      <c r="I400" s="155" t="s">
        <v>2311</v>
      </c>
      <c r="J400" s="109" t="s">
        <v>82</v>
      </c>
      <c r="K400" s="160"/>
      <c r="L400" s="161" t="s">
        <v>2083</v>
      </c>
      <c r="M400" s="160" t="s">
        <v>2312</v>
      </c>
      <c r="N400" s="160" t="s">
        <v>2084</v>
      </c>
      <c r="O400" s="187"/>
      <c r="P400" s="160"/>
      <c r="Q400" s="104" t="s">
        <v>7</v>
      </c>
      <c r="R400" s="162"/>
      <c r="S400" s="162"/>
      <c r="T400" s="160"/>
      <c r="U400" s="160"/>
      <c r="V400" s="160"/>
      <c r="W400" s="160"/>
      <c r="X400" s="160"/>
      <c r="Y400" s="160"/>
      <c r="Z400" s="160"/>
      <c r="AA400" s="160"/>
      <c r="AB400" s="160"/>
      <c r="AC400" s="160"/>
      <c r="AD400" s="160"/>
    </row>
    <row r="401" s="10" customFormat="1" ht="14" spans="1:30">
      <c r="A401" s="6" t="s">
        <v>142</v>
      </c>
      <c r="B401" s="158">
        <v>46107</v>
      </c>
      <c r="C401" s="104" t="str">
        <f t="shared" si="7"/>
        <v>2026年3月</v>
      </c>
      <c r="D401" s="104" t="s">
        <v>10</v>
      </c>
      <c r="E401" s="159"/>
      <c r="F401" s="104" t="s">
        <v>1006</v>
      </c>
      <c r="G401" s="195" t="s">
        <v>1007</v>
      </c>
      <c r="H401" s="40" t="s">
        <v>54</v>
      </c>
      <c r="I401" s="155" t="s">
        <v>2313</v>
      </c>
      <c r="J401" s="109" t="s">
        <v>422</v>
      </c>
      <c r="K401" s="160"/>
      <c r="L401" s="161" t="s">
        <v>2314</v>
      </c>
      <c r="M401" s="10" t="s">
        <v>2315</v>
      </c>
      <c r="N401" s="160" t="s">
        <v>2316</v>
      </c>
      <c r="O401" s="187"/>
      <c r="P401" s="160"/>
      <c r="Q401" s="104" t="s">
        <v>105</v>
      </c>
      <c r="R401" s="162"/>
      <c r="S401" s="162"/>
      <c r="T401" s="160"/>
      <c r="U401" s="160"/>
      <c r="V401" s="160"/>
      <c r="W401" s="160"/>
      <c r="X401" s="160"/>
      <c r="Y401" s="160"/>
      <c r="Z401" s="160"/>
      <c r="AA401" s="160"/>
      <c r="AB401" s="160"/>
      <c r="AC401" s="160"/>
      <c r="AD401" s="160"/>
    </row>
    <row r="402" s="10" customFormat="1" ht="14" spans="1:30">
      <c r="A402" s="6" t="s">
        <v>142</v>
      </c>
      <c r="B402" s="158">
        <v>46107</v>
      </c>
      <c r="C402" s="104" t="str">
        <f t="shared" si="7"/>
        <v>2026年3月</v>
      </c>
      <c r="D402" s="104" t="s">
        <v>11</v>
      </c>
      <c r="E402" s="159"/>
      <c r="F402" s="104" t="s">
        <v>1029</v>
      </c>
      <c r="G402" s="195" t="s">
        <v>1011</v>
      </c>
      <c r="H402" s="40" t="s">
        <v>48</v>
      </c>
      <c r="I402" s="155" t="s">
        <v>2317</v>
      </c>
      <c r="J402" s="109" t="s">
        <v>82</v>
      </c>
      <c r="K402" s="160"/>
      <c r="L402" s="9" t="s">
        <v>2318</v>
      </c>
      <c r="M402" s="10" t="s">
        <v>2319</v>
      </c>
      <c r="N402" s="160" t="s">
        <v>2320</v>
      </c>
      <c r="O402" s="187">
        <v>1227</v>
      </c>
      <c r="P402" s="160" t="s">
        <v>173</v>
      </c>
      <c r="Q402" s="104" t="s">
        <v>7</v>
      </c>
      <c r="R402" s="162"/>
      <c r="S402" s="162"/>
      <c r="T402" s="160"/>
      <c r="U402" s="160"/>
      <c r="V402" s="160"/>
      <c r="W402" s="160"/>
      <c r="X402" s="160"/>
      <c r="Y402" s="160"/>
      <c r="Z402" s="160"/>
      <c r="AA402" s="160"/>
      <c r="AB402" s="160"/>
      <c r="AC402" s="160"/>
      <c r="AD402" s="160"/>
    </row>
    <row r="403" s="10" customFormat="1" ht="14" spans="1:30">
      <c r="A403" s="6" t="s">
        <v>872</v>
      </c>
      <c r="B403" s="158">
        <v>46109</v>
      </c>
      <c r="C403" s="104" t="str">
        <f t="shared" si="7"/>
        <v>2026年3月</v>
      </c>
      <c r="D403" s="104" t="s">
        <v>10</v>
      </c>
      <c r="E403" s="159"/>
      <c r="F403" s="104" t="s">
        <v>1006</v>
      </c>
      <c r="G403" s="195" t="s">
        <v>1007</v>
      </c>
      <c r="H403" s="40" t="s">
        <v>40</v>
      </c>
      <c r="I403" s="155" t="s">
        <v>2321</v>
      </c>
      <c r="J403" s="109" t="s">
        <v>82</v>
      </c>
      <c r="K403" s="160"/>
      <c r="L403" s="161" t="s">
        <v>2322</v>
      </c>
      <c r="M403" s="160" t="s">
        <v>2323</v>
      </c>
      <c r="N403" s="160" t="s">
        <v>2324</v>
      </c>
      <c r="O403" s="187">
        <v>17.67</v>
      </c>
      <c r="P403" s="160" t="s">
        <v>149</v>
      </c>
      <c r="Q403" s="104" t="s">
        <v>105</v>
      </c>
      <c r="R403" s="162" t="s">
        <v>927</v>
      </c>
      <c r="S403" s="162"/>
      <c r="T403" s="160"/>
      <c r="U403" s="160"/>
      <c r="V403" s="160"/>
      <c r="W403" s="160"/>
      <c r="X403" s="160"/>
      <c r="Y403" s="160"/>
      <c r="Z403" s="160"/>
      <c r="AA403" s="160"/>
      <c r="AB403" s="160"/>
      <c r="AC403" s="160"/>
      <c r="AD403" s="160"/>
    </row>
    <row r="404" s="10" customFormat="1" customHeight="1" spans="1:30">
      <c r="A404" s="6" t="s">
        <v>142</v>
      </c>
      <c r="B404" s="158">
        <v>46112</v>
      </c>
      <c r="C404" s="104" t="str">
        <f t="shared" si="7"/>
        <v>2026年3月</v>
      </c>
      <c r="D404" s="104" t="s">
        <v>12</v>
      </c>
      <c r="E404" s="159"/>
      <c r="F404" s="104" t="s">
        <v>1029</v>
      </c>
      <c r="G404" s="195" t="s">
        <v>1011</v>
      </c>
      <c r="H404" s="40" t="s">
        <v>48</v>
      </c>
      <c r="I404" s="155" t="s">
        <v>2325</v>
      </c>
      <c r="J404" s="109" t="s">
        <v>82</v>
      </c>
      <c r="K404" s="160"/>
      <c r="L404" s="161" t="s">
        <v>1439</v>
      </c>
      <c r="M404" s="160" t="s">
        <v>1440</v>
      </c>
      <c r="N404" s="160" t="s">
        <v>1441</v>
      </c>
      <c r="O404" s="209">
        <v>65324.61</v>
      </c>
      <c r="P404" s="160" t="s">
        <v>149</v>
      </c>
      <c r="Q404" s="104" t="s">
        <v>7</v>
      </c>
      <c r="R404" s="162"/>
      <c r="S404" s="162"/>
      <c r="T404" s="160"/>
      <c r="U404" s="160"/>
      <c r="V404" s="160"/>
      <c r="W404" s="160"/>
      <c r="X404" s="160"/>
      <c r="Y404" s="160"/>
      <c r="Z404" s="160"/>
      <c r="AA404" s="160"/>
      <c r="AB404" s="160"/>
      <c r="AC404" s="160"/>
      <c r="AD404" s="160"/>
    </row>
    <row r="405" s="10" customFormat="1" ht="14" spans="1:30">
      <c r="A405" s="6" t="s">
        <v>872</v>
      </c>
      <c r="B405" s="158">
        <v>46114</v>
      </c>
      <c r="C405" s="104" t="str">
        <f t="shared" si="7"/>
        <v>2026年4月</v>
      </c>
      <c r="D405" s="104" t="s">
        <v>11</v>
      </c>
      <c r="E405" s="159"/>
      <c r="F405" s="104" t="s">
        <v>1006</v>
      </c>
      <c r="G405" s="195" t="s">
        <v>1678</v>
      </c>
      <c r="H405" s="40" t="s">
        <v>53</v>
      </c>
      <c r="I405" s="155" t="s">
        <v>2326</v>
      </c>
      <c r="J405" s="109" t="s">
        <v>82</v>
      </c>
      <c r="K405" s="160"/>
      <c r="L405" s="161" t="s">
        <v>2327</v>
      </c>
      <c r="M405" s="160" t="s">
        <v>2328</v>
      </c>
      <c r="N405" s="160" t="s">
        <v>2329</v>
      </c>
      <c r="O405" s="211">
        <v>42000</v>
      </c>
      <c r="P405" s="160" t="s">
        <v>173</v>
      </c>
      <c r="Q405" s="104" t="s">
        <v>7</v>
      </c>
      <c r="R405" s="162" t="s">
        <v>2330</v>
      </c>
      <c r="S405" s="162"/>
      <c r="T405" s="160"/>
      <c r="U405" s="160"/>
      <c r="V405" s="160"/>
      <c r="W405" s="160"/>
      <c r="X405" s="160"/>
      <c r="Y405" s="160"/>
      <c r="Z405" s="160"/>
      <c r="AA405" s="160"/>
      <c r="AB405" s="160"/>
      <c r="AC405" s="160"/>
      <c r="AD405" s="160"/>
    </row>
    <row r="406" s="10" customFormat="1" ht="26" spans="1:30">
      <c r="A406" s="6" t="s">
        <v>142</v>
      </c>
      <c r="B406" s="158">
        <v>46111</v>
      </c>
      <c r="C406" s="104" t="str">
        <f t="shared" si="7"/>
        <v>2026年3月</v>
      </c>
      <c r="D406" s="104" t="s">
        <v>12</v>
      </c>
      <c r="E406" s="159"/>
      <c r="F406" s="104" t="s">
        <v>1029</v>
      </c>
      <c r="G406" s="195" t="s">
        <v>1007</v>
      </c>
      <c r="H406" s="40" t="s">
        <v>39</v>
      </c>
      <c r="I406" s="208" t="s">
        <v>2331</v>
      </c>
      <c r="J406" s="109" t="s">
        <v>82</v>
      </c>
      <c r="K406" s="160"/>
      <c r="L406" s="161" t="s">
        <v>1071</v>
      </c>
      <c r="M406" s="160" t="s">
        <v>2332</v>
      </c>
      <c r="N406" s="160" t="s">
        <v>2333</v>
      </c>
      <c r="O406" s="187">
        <v>50000</v>
      </c>
      <c r="P406" s="160" t="s">
        <v>2334</v>
      </c>
      <c r="Q406" s="104" t="s">
        <v>7</v>
      </c>
      <c r="R406" s="210" t="s">
        <v>2335</v>
      </c>
      <c r="S406" s="162"/>
      <c r="T406" s="160"/>
      <c r="U406" s="160"/>
      <c r="V406" s="160"/>
      <c r="W406" s="160"/>
      <c r="X406" s="160"/>
      <c r="Y406" s="160"/>
      <c r="Z406" s="160"/>
      <c r="AA406" s="160"/>
      <c r="AB406" s="160"/>
      <c r="AC406" s="160"/>
      <c r="AD406" s="160"/>
    </row>
    <row r="407" s="176" customFormat="1" ht="14" spans="1:30">
      <c r="A407" s="6" t="s">
        <v>142</v>
      </c>
      <c r="B407" s="158">
        <v>46111</v>
      </c>
      <c r="C407" s="104" t="str">
        <f t="shared" si="7"/>
        <v>2026年3月</v>
      </c>
      <c r="D407" s="104" t="s">
        <v>12</v>
      </c>
      <c r="E407" s="159"/>
      <c r="F407" s="104" t="s">
        <v>1029</v>
      </c>
      <c r="G407" s="195" t="s">
        <v>1007</v>
      </c>
      <c r="H407" s="40" t="s">
        <v>39</v>
      </c>
      <c r="I407" s="155" t="s">
        <v>2336</v>
      </c>
      <c r="J407" s="109" t="s">
        <v>82</v>
      </c>
      <c r="K407" s="160"/>
      <c r="L407" s="161" t="s">
        <v>1618</v>
      </c>
      <c r="M407" s="160" t="s">
        <v>2337</v>
      </c>
      <c r="N407" s="160" t="s">
        <v>2338</v>
      </c>
      <c r="O407" s="187">
        <v>99350</v>
      </c>
      <c r="P407" s="160" t="s">
        <v>173</v>
      </c>
      <c r="Q407" s="104" t="s">
        <v>105</v>
      </c>
      <c r="R407" s="162"/>
      <c r="S407" s="162"/>
      <c r="T407" s="160"/>
      <c r="U407" s="160"/>
      <c r="V407" s="160"/>
      <c r="W407" s="160"/>
      <c r="X407" s="160"/>
      <c r="Y407" s="160"/>
      <c r="Z407" s="160"/>
      <c r="AA407" s="160"/>
      <c r="AB407" s="160"/>
      <c r="AC407" s="160"/>
      <c r="AD407" s="160"/>
    </row>
    <row r="408" s="10" customFormat="1" ht="26" spans="1:30">
      <c r="A408" s="6" t="s">
        <v>142</v>
      </c>
      <c r="B408" s="158">
        <v>46101</v>
      </c>
      <c r="C408" s="104" t="str">
        <f t="shared" si="7"/>
        <v>2026年3月</v>
      </c>
      <c r="D408" s="104" t="s">
        <v>11</v>
      </c>
      <c r="E408" s="159"/>
      <c r="F408" s="104" t="s">
        <v>1029</v>
      </c>
      <c r="G408" s="195" t="s">
        <v>2339</v>
      </c>
      <c r="H408" s="40" t="s">
        <v>39</v>
      </c>
      <c r="I408" s="208" t="s">
        <v>2340</v>
      </c>
      <c r="J408" s="109" t="s">
        <v>1665</v>
      </c>
      <c r="K408" s="160" t="s">
        <v>2341</v>
      </c>
      <c r="L408" s="9" t="s">
        <v>1363</v>
      </c>
      <c r="M408" s="161" t="s">
        <v>2342</v>
      </c>
      <c r="N408" s="160" t="s">
        <v>2343</v>
      </c>
      <c r="O408" s="187">
        <v>210000</v>
      </c>
      <c r="P408" s="160" t="s">
        <v>173</v>
      </c>
      <c r="Q408" s="104" t="s">
        <v>7</v>
      </c>
      <c r="R408" s="162"/>
      <c r="S408" s="162"/>
      <c r="T408" s="160"/>
      <c r="U408" s="160"/>
      <c r="V408" s="160"/>
      <c r="W408" s="160"/>
      <c r="X408" s="160"/>
      <c r="Y408" s="160"/>
      <c r="Z408" s="160"/>
      <c r="AA408" s="160"/>
      <c r="AB408" s="160"/>
      <c r="AC408" s="160"/>
      <c r="AD408" s="160"/>
    </row>
    <row r="409" s="10" customFormat="1" ht="14" spans="1:30">
      <c r="A409" s="6" t="s">
        <v>142</v>
      </c>
      <c r="B409" s="158">
        <v>46111</v>
      </c>
      <c r="C409" s="104" t="str">
        <f t="shared" si="7"/>
        <v>2026年3月</v>
      </c>
      <c r="D409" s="104" t="s">
        <v>12</v>
      </c>
      <c r="E409" s="159"/>
      <c r="F409" s="104" t="s">
        <v>1029</v>
      </c>
      <c r="G409" s="195" t="s">
        <v>1276</v>
      </c>
      <c r="H409" s="40" t="s">
        <v>39</v>
      </c>
      <c r="I409" s="155" t="s">
        <v>2344</v>
      </c>
      <c r="J409" s="109" t="s">
        <v>82</v>
      </c>
      <c r="K409" s="160"/>
      <c r="L409" s="161" t="s">
        <v>2146</v>
      </c>
      <c r="M409" s="160" t="s">
        <v>2147</v>
      </c>
      <c r="N409" s="160" t="s">
        <v>2298</v>
      </c>
      <c r="O409" s="187">
        <v>16210.74</v>
      </c>
      <c r="P409" s="160" t="s">
        <v>149</v>
      </c>
      <c r="Q409" s="104" t="s">
        <v>7</v>
      </c>
      <c r="R409" s="162"/>
      <c r="S409" s="162"/>
      <c r="T409" s="160"/>
      <c r="U409" s="160"/>
      <c r="V409" s="160"/>
      <c r="W409" s="160"/>
      <c r="X409" s="160"/>
      <c r="Y409" s="160"/>
      <c r="Z409" s="160"/>
      <c r="AA409" s="160"/>
      <c r="AB409" s="160"/>
      <c r="AC409" s="160"/>
      <c r="AD409" s="160"/>
    </row>
    <row r="410" s="10" customFormat="1" ht="14" spans="1:30">
      <c r="A410" s="6" t="s">
        <v>142</v>
      </c>
      <c r="B410" s="158">
        <v>46116</v>
      </c>
      <c r="C410" s="104" t="str">
        <f t="shared" si="7"/>
        <v>2026年4月</v>
      </c>
      <c r="D410" s="104" t="s">
        <v>12</v>
      </c>
      <c r="E410" s="159"/>
      <c r="F410" s="104" t="s">
        <v>1029</v>
      </c>
      <c r="G410" s="195" t="s">
        <v>1011</v>
      </c>
      <c r="H410" s="40" t="s">
        <v>44</v>
      </c>
      <c r="I410" s="155" t="s">
        <v>2345</v>
      </c>
      <c r="J410" s="109" t="s">
        <v>82</v>
      </c>
      <c r="K410" s="160"/>
      <c r="L410" s="161" t="s">
        <v>1609</v>
      </c>
      <c r="M410" s="160" t="s">
        <v>1610</v>
      </c>
      <c r="N410" s="160" t="s">
        <v>2346</v>
      </c>
      <c r="O410" s="187">
        <v>120000</v>
      </c>
      <c r="P410" s="160" t="s">
        <v>1466</v>
      </c>
      <c r="Q410" s="104" t="s">
        <v>7</v>
      </c>
      <c r="R410" s="162"/>
      <c r="S410" s="162"/>
      <c r="T410" s="160"/>
      <c r="U410" s="160"/>
      <c r="V410" s="160"/>
      <c r="W410" s="160"/>
      <c r="X410" s="160"/>
      <c r="Y410" s="160"/>
      <c r="Z410" s="160"/>
      <c r="AA410" s="160"/>
      <c r="AB410" s="160"/>
      <c r="AC410" s="160"/>
      <c r="AD410" s="160"/>
    </row>
    <row r="411" s="10" customFormat="1" ht="14" spans="1:30">
      <c r="A411" s="6" t="s">
        <v>872</v>
      </c>
      <c r="B411" s="158">
        <v>46115</v>
      </c>
      <c r="C411" s="104" t="str">
        <f t="shared" si="7"/>
        <v>2026年4月</v>
      </c>
      <c r="D411" s="104" t="s">
        <v>10</v>
      </c>
      <c r="E411" s="159"/>
      <c r="F411" s="104" t="s">
        <v>1006</v>
      </c>
      <c r="G411" s="195" t="s">
        <v>1007</v>
      </c>
      <c r="H411" s="40" t="s">
        <v>40</v>
      </c>
      <c r="I411" s="155" t="s">
        <v>2347</v>
      </c>
      <c r="J411" s="109" t="s">
        <v>422</v>
      </c>
      <c r="K411" s="160" t="s">
        <v>2348</v>
      </c>
      <c r="L411" s="161" t="s">
        <v>2349</v>
      </c>
      <c r="M411" s="160" t="s">
        <v>2350</v>
      </c>
      <c r="N411" s="160" t="s">
        <v>2351</v>
      </c>
      <c r="O411" s="10">
        <v>0.14</v>
      </c>
      <c r="P411" s="160" t="s">
        <v>149</v>
      </c>
      <c r="Q411" s="104" t="s">
        <v>105</v>
      </c>
      <c r="R411" s="162" t="s">
        <v>1509</v>
      </c>
      <c r="S411" s="162"/>
      <c r="T411" s="160"/>
      <c r="U411" s="160"/>
      <c r="V411" s="160"/>
      <c r="W411" s="160"/>
      <c r="X411" s="160"/>
      <c r="Y411" s="160"/>
      <c r="Z411" s="160"/>
      <c r="AA411" s="160"/>
      <c r="AB411" s="160"/>
      <c r="AC411" s="160"/>
      <c r="AD411" s="160"/>
    </row>
    <row r="412" s="10" customFormat="1" ht="14" spans="1:30">
      <c r="A412" s="6" t="s">
        <v>2352</v>
      </c>
      <c r="B412" s="158">
        <v>46119</v>
      </c>
      <c r="C412" s="104" t="str">
        <f t="shared" si="7"/>
        <v>2026年4月</v>
      </c>
      <c r="D412" s="104" t="s">
        <v>10</v>
      </c>
      <c r="E412" s="159"/>
      <c r="F412" s="104" t="s">
        <v>1006</v>
      </c>
      <c r="G412" s="195" t="s">
        <v>1007</v>
      </c>
      <c r="H412" s="40" t="s">
        <v>54</v>
      </c>
      <c r="I412" s="155" t="s">
        <v>2353</v>
      </c>
      <c r="J412" s="109" t="s">
        <v>82</v>
      </c>
      <c r="K412" s="160"/>
      <c r="L412" s="161" t="s">
        <v>2275</v>
      </c>
      <c r="M412" s="160" t="s">
        <v>2354</v>
      </c>
      <c r="N412" s="160" t="s">
        <v>2355</v>
      </c>
      <c r="O412" s="187">
        <v>812</v>
      </c>
      <c r="P412" s="160" t="s">
        <v>173</v>
      </c>
      <c r="Q412" s="104" t="s">
        <v>105</v>
      </c>
      <c r="R412" s="162"/>
      <c r="S412" s="162"/>
      <c r="T412" s="160"/>
      <c r="U412" s="160"/>
      <c r="V412" s="160"/>
      <c r="W412" s="160"/>
      <c r="X412" s="160"/>
      <c r="Y412" s="160"/>
      <c r="Z412" s="160"/>
      <c r="AA412" s="160"/>
      <c r="AB412" s="160"/>
      <c r="AC412" s="160"/>
      <c r="AD412" s="160"/>
    </row>
    <row r="413" s="10" customFormat="1" ht="14" spans="1:30">
      <c r="A413" s="6" t="s">
        <v>872</v>
      </c>
      <c r="B413" s="158">
        <v>46120</v>
      </c>
      <c r="C413" s="104" t="str">
        <f t="shared" si="7"/>
        <v>2026年4月</v>
      </c>
      <c r="D413" s="104" t="s">
        <v>11</v>
      </c>
      <c r="E413" s="159"/>
      <c r="F413" s="104" t="s">
        <v>1006</v>
      </c>
      <c r="G413" s="195" t="s">
        <v>1678</v>
      </c>
      <c r="H413" s="40" t="s">
        <v>53</v>
      </c>
      <c r="I413" s="155" t="s">
        <v>2356</v>
      </c>
      <c r="J413" s="109" t="s">
        <v>82</v>
      </c>
      <c r="K413" s="160"/>
      <c r="L413" s="161" t="s">
        <v>2357</v>
      </c>
      <c r="M413" s="160" t="s">
        <v>2358</v>
      </c>
      <c r="N413" s="160" t="s">
        <v>2359</v>
      </c>
      <c r="O413" s="209">
        <v>142533.14</v>
      </c>
      <c r="P413" s="160" t="s">
        <v>173</v>
      </c>
      <c r="Q413" s="104" t="s">
        <v>7</v>
      </c>
      <c r="R413" s="162" t="s">
        <v>1914</v>
      </c>
      <c r="S413" s="162"/>
      <c r="T413" s="160"/>
      <c r="U413" s="160"/>
      <c r="V413" s="160"/>
      <c r="W413" s="160"/>
      <c r="X413" s="160"/>
      <c r="Y413" s="160"/>
      <c r="Z413" s="160"/>
      <c r="AA413" s="160"/>
      <c r="AB413" s="160"/>
      <c r="AC413" s="160"/>
      <c r="AD413" s="160"/>
    </row>
    <row r="414" s="10" customFormat="1" ht="14" spans="1:30">
      <c r="A414" s="6" t="s">
        <v>872</v>
      </c>
      <c r="B414" s="158">
        <v>46120</v>
      </c>
      <c r="C414" s="104" t="str">
        <f t="shared" si="7"/>
        <v>2026年4月</v>
      </c>
      <c r="D414" s="104" t="s">
        <v>10</v>
      </c>
      <c r="E414" s="159"/>
      <c r="F414" s="104" t="s">
        <v>1029</v>
      </c>
      <c r="G414" s="195" t="s">
        <v>1011</v>
      </c>
      <c r="H414" s="40" t="s">
        <v>44</v>
      </c>
      <c r="I414" s="155" t="s">
        <v>2360</v>
      </c>
      <c r="J414" s="109" t="s">
        <v>82</v>
      </c>
      <c r="K414" s="160"/>
      <c r="L414" s="9" t="s">
        <v>2361</v>
      </c>
      <c r="M414" s="10" t="s">
        <v>2362</v>
      </c>
      <c r="N414" s="10" t="s">
        <v>2363</v>
      </c>
      <c r="O414" s="187">
        <v>46761560</v>
      </c>
      <c r="P414" s="160" t="s">
        <v>1172</v>
      </c>
      <c r="Q414" s="104" t="s">
        <v>7</v>
      </c>
      <c r="R414" s="162" t="s">
        <v>2364</v>
      </c>
      <c r="S414" s="162"/>
      <c r="T414" s="160"/>
      <c r="U414" s="160"/>
      <c r="V414" s="160"/>
      <c r="W414" s="160"/>
      <c r="X414" s="160"/>
      <c r="Y414" s="160"/>
      <c r="Z414" s="160"/>
      <c r="AA414" s="160"/>
      <c r="AB414" s="160"/>
      <c r="AC414" s="160"/>
      <c r="AD414" s="160"/>
    </row>
    <row r="415" s="10" customFormat="1" ht="14" spans="1:30">
      <c r="E415" s="159"/>
      <c r="F415" s="10"/>
      <c r="G415" s="10"/>
      <c r="H415" s="10"/>
      <c r="I415" s="10"/>
      <c r="J415" s="109" t="s">
        <v>82</v>
      </c>
      <c r="K415" s="160" t="s">
        <v>2365</v>
      </c>
      <c r="L415" s="161" t="s">
        <v>1976</v>
      </c>
      <c r="M415" s="160" t="s">
        <v>1977</v>
      </c>
      <c r="N415" s="10"/>
      <c r="O415" s="187">
        <v>83700000</v>
      </c>
      <c r="P415" s="160" t="s">
        <v>1172</v>
      </c>
      <c r="Q415" s="104" t="s">
        <v>7</v>
      </c>
      <c r="R415" s="162" t="s">
        <v>1914</v>
      </c>
      <c r="S415" s="162"/>
      <c r="T415" s="160"/>
      <c r="U415" s="160"/>
      <c r="V415" s="160"/>
      <c r="W415" s="160"/>
      <c r="X415" s="160"/>
      <c r="Y415" s="160"/>
      <c r="Z415" s="160"/>
      <c r="AA415" s="160"/>
      <c r="AB415" s="160"/>
      <c r="AC415" s="160"/>
      <c r="AD415" s="160"/>
    </row>
    <row r="416" s="10" customFormat="1" ht="14" spans="1:30">
      <c r="A416" s="6" t="s">
        <v>872</v>
      </c>
      <c r="B416" s="158">
        <v>46126</v>
      </c>
      <c r="C416" s="104" t="str">
        <f t="shared" ref="C416:C441" si="8">YEAR(B416)&amp;"年"&amp;MONTH(B416)&amp;"月"</f>
        <v>2026年4月</v>
      </c>
      <c r="D416" s="104" t="s">
        <v>10</v>
      </c>
      <c r="E416" s="159"/>
      <c r="F416" s="104" t="s">
        <v>1006</v>
      </c>
      <c r="G416" s="195" t="s">
        <v>1007</v>
      </c>
      <c r="H416" s="40" t="s">
        <v>40</v>
      </c>
      <c r="I416" s="155" t="s">
        <v>2366</v>
      </c>
      <c r="J416" s="109" t="s">
        <v>82</v>
      </c>
      <c r="K416" s="160"/>
      <c r="L416" s="161" t="s">
        <v>2367</v>
      </c>
      <c r="M416" s="160" t="s">
        <v>2368</v>
      </c>
      <c r="N416" s="160" t="s">
        <v>2369</v>
      </c>
      <c r="O416" s="187">
        <v>28</v>
      </c>
      <c r="P416" s="160" t="s">
        <v>139</v>
      </c>
      <c r="Q416" s="104" t="s">
        <v>7</v>
      </c>
      <c r="R416" s="162" t="s">
        <v>801</v>
      </c>
      <c r="S416" s="162"/>
      <c r="T416" s="160"/>
      <c r="U416" s="160"/>
      <c r="V416" s="160"/>
      <c r="W416" s="160"/>
      <c r="X416" s="160"/>
      <c r="Y416" s="160"/>
      <c r="Z416" s="160"/>
      <c r="AA416" s="160"/>
      <c r="AB416" s="160"/>
      <c r="AC416" s="160"/>
      <c r="AD416" s="160"/>
    </row>
    <row r="417" s="10" customFormat="1" ht="26" spans="1:30">
      <c r="A417" s="6" t="s">
        <v>872</v>
      </c>
      <c r="B417" s="7">
        <v>46118</v>
      </c>
      <c r="C417" s="6" t="str">
        <f t="shared" si="8"/>
        <v>2026年4月</v>
      </c>
      <c r="D417" s="6" t="s">
        <v>10</v>
      </c>
      <c r="E417" s="40"/>
      <c r="F417" s="104" t="s">
        <v>1006</v>
      </c>
      <c r="G417" s="195" t="s">
        <v>1007</v>
      </c>
      <c r="H417" s="40" t="s">
        <v>53</v>
      </c>
      <c r="I417" s="208" t="s">
        <v>2370</v>
      </c>
      <c r="J417" s="109" t="s">
        <v>82</v>
      </c>
      <c r="K417" s="160"/>
      <c r="L417" s="161" t="s">
        <v>2371</v>
      </c>
      <c r="M417" s="160" t="s">
        <v>2372</v>
      </c>
      <c r="N417" s="160" t="s">
        <v>2373</v>
      </c>
      <c r="O417" s="187">
        <v>15</v>
      </c>
      <c r="P417" s="160" t="s">
        <v>173</v>
      </c>
      <c r="Q417" s="104" t="s">
        <v>105</v>
      </c>
      <c r="R417" s="162" t="s">
        <v>833</v>
      </c>
      <c r="S417" s="162"/>
      <c r="T417" s="160"/>
      <c r="U417" s="160"/>
      <c r="V417" s="160"/>
      <c r="W417" s="160"/>
      <c r="X417" s="160"/>
      <c r="Y417" s="160"/>
      <c r="Z417" s="160"/>
      <c r="AA417" s="160"/>
      <c r="AB417" s="160"/>
      <c r="AC417" s="160"/>
      <c r="AD417" s="160"/>
    </row>
    <row r="418" s="10" customFormat="1" ht="26" spans="1:30">
      <c r="A418" s="6" t="s">
        <v>872</v>
      </c>
      <c r="B418" s="158">
        <v>46127</v>
      </c>
      <c r="C418" s="104" t="str">
        <f t="shared" si="8"/>
        <v>2026年4月</v>
      </c>
      <c r="D418" s="104" t="s">
        <v>10</v>
      </c>
      <c r="E418" s="159"/>
      <c r="F418" s="104" t="s">
        <v>1006</v>
      </c>
      <c r="G418" s="195" t="s">
        <v>1007</v>
      </c>
      <c r="H418" s="40" t="s">
        <v>53</v>
      </c>
      <c r="I418" s="208" t="s">
        <v>2374</v>
      </c>
      <c r="J418" s="109" t="s">
        <v>82</v>
      </c>
      <c r="K418" s="160" t="s">
        <v>2375</v>
      </c>
      <c r="L418" s="161" t="s">
        <v>2371</v>
      </c>
      <c r="M418" s="160" t="s">
        <v>2372</v>
      </c>
      <c r="N418" s="160" t="s">
        <v>2373</v>
      </c>
      <c r="O418" s="187">
        <v>37</v>
      </c>
      <c r="P418" s="160" t="s">
        <v>173</v>
      </c>
      <c r="Q418" s="104" t="s">
        <v>7</v>
      </c>
      <c r="R418" s="162" t="s">
        <v>833</v>
      </c>
      <c r="S418" s="162"/>
      <c r="T418" s="160"/>
      <c r="U418" s="160"/>
      <c r="V418" s="160"/>
      <c r="W418" s="160"/>
      <c r="X418" s="160"/>
      <c r="Y418" s="160"/>
      <c r="Z418" s="160"/>
      <c r="AA418" s="160"/>
      <c r="AB418" s="160"/>
      <c r="AC418" s="160"/>
      <c r="AD418" s="160"/>
    </row>
    <row r="419" s="10" customFormat="1" ht="26" spans="1:30">
      <c r="A419" s="6" t="s">
        <v>872</v>
      </c>
      <c r="B419" s="158">
        <v>46127</v>
      </c>
      <c r="C419" s="104" t="str">
        <f t="shared" si="8"/>
        <v>2026年4月</v>
      </c>
      <c r="D419" s="104" t="s">
        <v>10</v>
      </c>
      <c r="E419" s="159"/>
      <c r="F419" s="104" t="s">
        <v>1006</v>
      </c>
      <c r="G419" s="195" t="s">
        <v>1007</v>
      </c>
      <c r="H419" s="40" t="s">
        <v>53</v>
      </c>
      <c r="I419" s="208" t="s">
        <v>2376</v>
      </c>
      <c r="J419" s="109" t="s">
        <v>82</v>
      </c>
      <c r="K419" s="10"/>
      <c r="L419" s="10"/>
      <c r="M419" s="10"/>
      <c r="N419" s="10"/>
      <c r="O419" s="187">
        <v>37.8</v>
      </c>
      <c r="P419" s="160" t="s">
        <v>173</v>
      </c>
      <c r="Q419" s="104" t="s">
        <v>7</v>
      </c>
      <c r="R419" s="162" t="s">
        <v>833</v>
      </c>
      <c r="S419" s="162"/>
      <c r="T419" s="160"/>
      <c r="U419" s="160"/>
      <c r="V419" s="160"/>
      <c r="W419" s="160"/>
      <c r="X419" s="160"/>
      <c r="Y419" s="160"/>
      <c r="Z419" s="160"/>
      <c r="AA419" s="160"/>
      <c r="AB419" s="160"/>
      <c r="AC419" s="160"/>
      <c r="AD419" s="160"/>
    </row>
    <row r="420" s="10" customFormat="1" ht="14" spans="1:30">
      <c r="A420" s="6" t="s">
        <v>142</v>
      </c>
      <c r="B420" s="158">
        <v>46127</v>
      </c>
      <c r="C420" s="104" t="str">
        <f t="shared" si="8"/>
        <v>2026年4月</v>
      </c>
      <c r="D420" s="104" t="s">
        <v>10</v>
      </c>
      <c r="E420" s="159"/>
      <c r="F420" s="104" t="s">
        <v>1029</v>
      </c>
      <c r="G420" s="195" t="s">
        <v>1007</v>
      </c>
      <c r="H420" s="40" t="s">
        <v>48</v>
      </c>
      <c r="I420" s="155" t="s">
        <v>2377</v>
      </c>
      <c r="J420" s="109" t="s">
        <v>82</v>
      </c>
      <c r="K420" s="160"/>
      <c r="L420" s="161" t="s">
        <v>2378</v>
      </c>
      <c r="M420" s="160" t="s">
        <v>2379</v>
      </c>
      <c r="N420" s="160" t="s">
        <v>2380</v>
      </c>
      <c r="O420" s="187">
        <v>1000</v>
      </c>
      <c r="P420" s="160" t="s">
        <v>173</v>
      </c>
      <c r="Q420" s="104" t="s">
        <v>7</v>
      </c>
      <c r="R420" s="162"/>
      <c r="S420" s="162"/>
      <c r="T420" s="160"/>
      <c r="U420" s="160"/>
      <c r="V420" s="160"/>
      <c r="W420" s="160"/>
      <c r="X420" s="160"/>
      <c r="Y420" s="160"/>
      <c r="Z420" s="160"/>
      <c r="AA420" s="160"/>
      <c r="AB420" s="160"/>
      <c r="AC420" s="160"/>
      <c r="AD420" s="160"/>
    </row>
    <row r="421" s="10" customFormat="1" ht="14" spans="1:30">
      <c r="A421" s="6" t="s">
        <v>142</v>
      </c>
      <c r="B421" s="158">
        <v>46126</v>
      </c>
      <c r="C421" s="104" t="str">
        <f t="shared" si="8"/>
        <v>2026年4月</v>
      </c>
      <c r="D421" s="104" t="s">
        <v>12</v>
      </c>
      <c r="E421" s="159"/>
      <c r="F421" s="104" t="s">
        <v>1006</v>
      </c>
      <c r="G421" s="195" t="s">
        <v>1007</v>
      </c>
      <c r="H421" s="40" t="s">
        <v>39</v>
      </c>
      <c r="I421" s="155" t="s">
        <v>2381</v>
      </c>
      <c r="J421" s="109" t="s">
        <v>82</v>
      </c>
      <c r="K421" s="160"/>
      <c r="L421" s="161" t="s">
        <v>2382</v>
      </c>
      <c r="M421" s="160" t="s">
        <v>2383</v>
      </c>
      <c r="N421" s="160" t="s">
        <v>2384</v>
      </c>
      <c r="O421" s="187">
        <v>50000</v>
      </c>
      <c r="P421" s="160" t="s">
        <v>1128</v>
      </c>
      <c r="Q421" s="104" t="s">
        <v>105</v>
      </c>
      <c r="R421" s="162"/>
      <c r="S421" s="162"/>
      <c r="T421" s="160"/>
      <c r="U421" s="160"/>
      <c r="V421" s="160"/>
      <c r="W421" s="160"/>
      <c r="X421" s="160"/>
      <c r="Y421" s="160"/>
      <c r="Z421" s="160"/>
      <c r="AA421" s="160"/>
      <c r="AB421" s="160"/>
      <c r="AC421" s="160"/>
      <c r="AD421" s="160"/>
    </row>
    <row r="422" s="10" customFormat="1" ht="14" spans="1:30">
      <c r="A422" s="6" t="s">
        <v>142</v>
      </c>
      <c r="B422" s="158">
        <v>46126</v>
      </c>
      <c r="C422" s="104" t="str">
        <f t="shared" si="8"/>
        <v>2026年4月</v>
      </c>
      <c r="D422" s="104" t="s">
        <v>12</v>
      </c>
      <c r="E422" s="159"/>
      <c r="F422" s="104" t="s">
        <v>1006</v>
      </c>
      <c r="G422" s="195" t="s">
        <v>1007</v>
      </c>
      <c r="H422" s="40" t="s">
        <v>48</v>
      </c>
      <c r="I422" s="155" t="s">
        <v>2385</v>
      </c>
      <c r="J422" s="109" t="s">
        <v>82</v>
      </c>
      <c r="K422" s="160"/>
      <c r="L422" s="161" t="s">
        <v>2386</v>
      </c>
      <c r="M422" s="10" t="s">
        <v>2387</v>
      </c>
      <c r="N422" s="160" t="s">
        <v>2388</v>
      </c>
      <c r="O422" s="187">
        <v>500</v>
      </c>
      <c r="P422" s="160" t="s">
        <v>2334</v>
      </c>
      <c r="Q422" s="104" t="s">
        <v>105</v>
      </c>
      <c r="R422" s="162"/>
      <c r="S422" s="162"/>
      <c r="T422" s="160"/>
      <c r="U422" s="160"/>
      <c r="V422" s="160"/>
      <c r="W422" s="160"/>
      <c r="X422" s="160"/>
      <c r="Y422" s="160"/>
      <c r="Z422" s="160"/>
      <c r="AA422" s="160"/>
      <c r="AB422" s="160"/>
      <c r="AC422" s="160"/>
      <c r="AD422" s="160"/>
    </row>
    <row r="423" s="10" customFormat="1" ht="14" spans="1:30">
      <c r="A423" s="6" t="s">
        <v>2352</v>
      </c>
      <c r="B423" s="158">
        <v>46129</v>
      </c>
      <c r="C423" s="104" t="str">
        <f t="shared" si="8"/>
        <v>2026年4月</v>
      </c>
      <c r="D423" s="104" t="s">
        <v>12</v>
      </c>
      <c r="E423" s="159"/>
      <c r="F423" s="104" t="s">
        <v>1029</v>
      </c>
      <c r="G423" s="195" t="s">
        <v>1011</v>
      </c>
      <c r="H423" s="40" t="s">
        <v>48</v>
      </c>
      <c r="I423" s="155" t="s">
        <v>2389</v>
      </c>
      <c r="J423" s="109" t="s">
        <v>82</v>
      </c>
      <c r="K423" s="160"/>
      <c r="L423" s="161" t="s">
        <v>2390</v>
      </c>
      <c r="M423" s="160" t="s">
        <v>2391</v>
      </c>
      <c r="N423" s="160" t="s">
        <v>2392</v>
      </c>
      <c r="O423" s="211">
        <v>100000</v>
      </c>
      <c r="P423" s="160" t="s">
        <v>173</v>
      </c>
      <c r="Q423" s="104" t="s">
        <v>7</v>
      </c>
      <c r="R423" s="162"/>
      <c r="S423" s="162"/>
      <c r="T423" s="160"/>
      <c r="U423" s="160"/>
      <c r="V423" s="160"/>
      <c r="W423" s="160"/>
      <c r="X423" s="160"/>
      <c r="Y423" s="160"/>
      <c r="Z423" s="160"/>
      <c r="AA423" s="160"/>
      <c r="AB423" s="160"/>
      <c r="AC423" s="160"/>
      <c r="AD423" s="160"/>
    </row>
    <row r="424" s="10" customFormat="1" ht="26" spans="1:30">
      <c r="A424" s="6" t="s">
        <v>872</v>
      </c>
      <c r="B424" s="158">
        <v>46132</v>
      </c>
      <c r="C424" s="104" t="str">
        <f t="shared" si="8"/>
        <v>2026年4月</v>
      </c>
      <c r="D424" s="104" t="s">
        <v>11</v>
      </c>
      <c r="E424" s="159"/>
      <c r="F424" s="104" t="s">
        <v>1029</v>
      </c>
      <c r="G424" s="195" t="s">
        <v>1011</v>
      </c>
      <c r="H424" s="40" t="s">
        <v>39</v>
      </c>
      <c r="I424" s="155" t="s">
        <v>2393</v>
      </c>
      <c r="J424" s="109" t="s">
        <v>82</v>
      </c>
      <c r="K424" s="160"/>
      <c r="L424" s="161" t="s">
        <v>2318</v>
      </c>
      <c r="M424" s="160" t="s">
        <v>2394</v>
      </c>
      <c r="N424" s="160" t="s">
        <v>2320</v>
      </c>
      <c r="O424" s="187">
        <v>1031</v>
      </c>
      <c r="P424" s="160" t="s">
        <v>173</v>
      </c>
      <c r="Q424" s="104" t="s">
        <v>7</v>
      </c>
      <c r="R424" s="162" t="s">
        <v>817</v>
      </c>
      <c r="S424" s="210" t="s">
        <v>2395</v>
      </c>
      <c r="T424" s="160"/>
      <c r="U424" s="160"/>
      <c r="V424" s="160"/>
      <c r="W424" s="160"/>
      <c r="X424" s="160"/>
      <c r="Y424" s="160"/>
      <c r="Z424" s="160"/>
      <c r="AA424" s="160"/>
      <c r="AB424" s="160"/>
      <c r="AC424" s="160"/>
      <c r="AD424" s="160"/>
    </row>
    <row r="425" s="10" customFormat="1" ht="14" spans="1:30">
      <c r="A425" s="6" t="s">
        <v>142</v>
      </c>
      <c r="B425" s="158">
        <v>46132</v>
      </c>
      <c r="C425" s="104" t="str">
        <f t="shared" si="8"/>
        <v>2026年4月</v>
      </c>
      <c r="D425" s="104" t="s">
        <v>12</v>
      </c>
      <c r="E425" s="159"/>
      <c r="F425" s="104" t="s">
        <v>1029</v>
      </c>
      <c r="G425" s="195" t="s">
        <v>1007</v>
      </c>
      <c r="H425" s="40" t="s">
        <v>44</v>
      </c>
      <c r="I425" s="155" t="s">
        <v>2396</v>
      </c>
      <c r="J425" s="109" t="s">
        <v>82</v>
      </c>
      <c r="K425" s="160"/>
      <c r="L425" s="161" t="s">
        <v>2397</v>
      </c>
      <c r="M425" s="160" t="s">
        <v>2398</v>
      </c>
      <c r="N425" s="160" t="s">
        <v>2399</v>
      </c>
      <c r="O425" s="187">
        <v>50000</v>
      </c>
      <c r="P425" s="160" t="s">
        <v>173</v>
      </c>
      <c r="Q425" s="104" t="s">
        <v>7</v>
      </c>
      <c r="R425" s="162"/>
      <c r="S425" s="210" t="s">
        <v>2400</v>
      </c>
      <c r="T425" s="160"/>
      <c r="U425" s="160"/>
      <c r="V425" s="160"/>
      <c r="W425" s="160"/>
      <c r="X425" s="160"/>
      <c r="Y425" s="160"/>
      <c r="Z425" s="160"/>
      <c r="AA425" s="160"/>
      <c r="AB425" s="160"/>
      <c r="AC425" s="160"/>
      <c r="AD425" s="160"/>
    </row>
    <row r="426" s="10" customFormat="1" ht="14" spans="1:30">
      <c r="A426" s="6" t="s">
        <v>142</v>
      </c>
      <c r="B426" s="158">
        <v>46136</v>
      </c>
      <c r="C426" s="104" t="str">
        <f t="shared" si="8"/>
        <v>2026年4月</v>
      </c>
      <c r="D426" s="104" t="s">
        <v>12</v>
      </c>
      <c r="E426" s="159"/>
      <c r="F426" s="104" t="s">
        <v>1029</v>
      </c>
      <c r="G426" s="195" t="s">
        <v>1007</v>
      </c>
      <c r="H426" s="40" t="s">
        <v>44</v>
      </c>
      <c r="I426" s="155" t="s">
        <v>2401</v>
      </c>
      <c r="J426" s="109" t="s">
        <v>82</v>
      </c>
      <c r="K426" s="160"/>
      <c r="L426" s="161" t="s">
        <v>2402</v>
      </c>
      <c r="M426" s="160" t="s">
        <v>2403</v>
      </c>
      <c r="N426" s="160" t="s">
        <v>2404</v>
      </c>
      <c r="O426" s="187">
        <v>130000</v>
      </c>
      <c r="P426" s="160" t="s">
        <v>1466</v>
      </c>
      <c r="Q426" s="104" t="s">
        <v>7</v>
      </c>
      <c r="R426" s="162"/>
      <c r="S426" s="162"/>
      <c r="T426" s="160"/>
      <c r="U426" s="160"/>
      <c r="V426" s="160"/>
      <c r="W426" s="160"/>
      <c r="X426" s="160"/>
      <c r="Y426" s="160"/>
      <c r="Z426" s="160"/>
      <c r="AA426" s="160"/>
      <c r="AB426" s="160"/>
      <c r="AC426" s="160"/>
      <c r="AD426" s="160"/>
    </row>
    <row r="427" s="10" customFormat="1" ht="14" spans="1:30">
      <c r="A427" s="6" t="s">
        <v>142</v>
      </c>
      <c r="B427" s="158">
        <v>46136</v>
      </c>
      <c r="C427" s="104" t="str">
        <f t="shared" si="8"/>
        <v>2026年4月</v>
      </c>
      <c r="D427" s="104" t="s">
        <v>12</v>
      </c>
      <c r="E427" s="159"/>
      <c r="F427" s="104" t="s">
        <v>1029</v>
      </c>
      <c r="G427" s="195" t="s">
        <v>1007</v>
      </c>
      <c r="H427" s="40" t="s">
        <v>44</v>
      </c>
      <c r="I427" s="155" t="s">
        <v>2401</v>
      </c>
      <c r="J427" s="109" t="s">
        <v>82</v>
      </c>
      <c r="K427" s="160"/>
      <c r="L427" s="10"/>
      <c r="M427" s="10"/>
      <c r="N427" s="10"/>
      <c r="O427" s="187">
        <v>140000</v>
      </c>
      <c r="P427" s="160" t="s">
        <v>1466</v>
      </c>
      <c r="Q427" s="104" t="s">
        <v>7</v>
      </c>
      <c r="R427" s="162"/>
      <c r="S427" s="162"/>
      <c r="T427" s="160"/>
      <c r="U427" s="160"/>
      <c r="V427" s="160"/>
      <c r="W427" s="160"/>
      <c r="X427" s="160"/>
      <c r="Y427" s="160"/>
      <c r="Z427" s="160"/>
      <c r="AA427" s="160"/>
      <c r="AB427" s="160"/>
      <c r="AC427" s="160"/>
      <c r="AD427" s="160"/>
    </row>
    <row r="428" s="10" customFormat="1" ht="14" spans="1:30">
      <c r="A428" s="6" t="s">
        <v>142</v>
      </c>
      <c r="B428" s="158">
        <v>46136</v>
      </c>
      <c r="C428" s="104" t="str">
        <f t="shared" si="8"/>
        <v>2026年4月</v>
      </c>
      <c r="D428" s="104" t="s">
        <v>12</v>
      </c>
      <c r="E428" s="159"/>
      <c r="F428" s="104" t="s">
        <v>1029</v>
      </c>
      <c r="G428" s="195" t="s">
        <v>1007</v>
      </c>
      <c r="H428" s="40" t="s">
        <v>44</v>
      </c>
      <c r="I428" s="155" t="s">
        <v>2401</v>
      </c>
      <c r="J428" s="109" t="s">
        <v>82</v>
      </c>
      <c r="K428" s="160"/>
      <c r="L428" s="10"/>
      <c r="M428" s="10"/>
      <c r="N428" s="10"/>
      <c r="O428" s="187">
        <v>160000</v>
      </c>
      <c r="P428" s="160" t="s">
        <v>1466</v>
      </c>
      <c r="Q428" s="104" t="s">
        <v>7</v>
      </c>
      <c r="R428" s="162"/>
      <c r="S428" s="162"/>
      <c r="T428" s="160"/>
      <c r="U428" s="160"/>
      <c r="V428" s="160"/>
      <c r="W428" s="160"/>
      <c r="X428" s="160"/>
      <c r="Y428" s="160"/>
      <c r="Z428" s="160"/>
      <c r="AA428" s="160"/>
      <c r="AB428" s="160"/>
      <c r="AC428" s="160"/>
      <c r="AD428" s="160"/>
    </row>
    <row r="429" s="176" customFormat="1" ht="14" spans="1:30">
      <c r="A429" s="6" t="s">
        <v>142</v>
      </c>
      <c r="B429" s="158">
        <v>46136</v>
      </c>
      <c r="C429" s="104" t="str">
        <f t="shared" si="8"/>
        <v>2026年4月</v>
      </c>
      <c r="D429" s="104" t="s">
        <v>12</v>
      </c>
      <c r="E429" s="159"/>
      <c r="F429" s="104" t="s">
        <v>1029</v>
      </c>
      <c r="G429" s="195" t="s">
        <v>1007</v>
      </c>
      <c r="H429" s="40" t="s">
        <v>44</v>
      </c>
      <c r="I429" s="155" t="s">
        <v>2401</v>
      </c>
      <c r="J429" s="109" t="s">
        <v>82</v>
      </c>
      <c r="K429" s="160"/>
      <c r="L429" s="10"/>
      <c r="M429" s="10"/>
      <c r="N429" s="10"/>
      <c r="O429" s="187">
        <v>170000</v>
      </c>
      <c r="P429" s="160" t="s">
        <v>1466</v>
      </c>
      <c r="Q429" s="104" t="s">
        <v>7</v>
      </c>
      <c r="R429" s="162"/>
      <c r="S429" s="162"/>
      <c r="T429" s="160"/>
      <c r="U429" s="160"/>
      <c r="V429" s="160"/>
      <c r="W429" s="160"/>
      <c r="X429" s="160"/>
      <c r="Y429" s="160"/>
      <c r="Z429" s="160"/>
      <c r="AA429" s="160"/>
      <c r="AB429" s="160"/>
      <c r="AC429" s="160"/>
      <c r="AD429" s="160"/>
    </row>
    <row r="430" s="10" customFormat="1" ht="14" spans="1:30">
      <c r="A430" s="6" t="s">
        <v>142</v>
      </c>
      <c r="B430" s="158">
        <v>46136</v>
      </c>
      <c r="C430" s="104" t="str">
        <f t="shared" si="8"/>
        <v>2026年4月</v>
      </c>
      <c r="D430" s="104" t="s">
        <v>12</v>
      </c>
      <c r="E430" s="159"/>
      <c r="F430" s="104" t="s">
        <v>1029</v>
      </c>
      <c r="G430" s="195" t="s">
        <v>1007</v>
      </c>
      <c r="H430" s="40" t="s">
        <v>44</v>
      </c>
      <c r="I430" s="155" t="s">
        <v>2401</v>
      </c>
      <c r="J430" s="109" t="s">
        <v>82</v>
      </c>
      <c r="K430" s="160"/>
      <c r="L430" s="10"/>
      <c r="M430" s="10"/>
      <c r="N430" s="10"/>
      <c r="O430" s="187">
        <v>180000</v>
      </c>
      <c r="P430" s="160" t="s">
        <v>1466</v>
      </c>
      <c r="Q430" s="104" t="s">
        <v>7</v>
      </c>
      <c r="R430" s="162"/>
      <c r="S430" s="162"/>
      <c r="T430" s="160"/>
      <c r="U430" s="160"/>
      <c r="V430" s="160"/>
      <c r="W430" s="160"/>
      <c r="X430" s="160"/>
      <c r="Y430" s="160"/>
      <c r="Z430" s="160"/>
      <c r="AA430" s="160"/>
      <c r="AB430" s="160"/>
      <c r="AC430" s="160"/>
      <c r="AD430" s="160"/>
    </row>
    <row r="431" s="10" customFormat="1" ht="14" spans="1:30">
      <c r="A431" s="6" t="s">
        <v>872</v>
      </c>
      <c r="B431" s="158">
        <v>46134</v>
      </c>
      <c r="C431" s="104" t="str">
        <f t="shared" si="8"/>
        <v>2026年4月</v>
      </c>
      <c r="D431" s="104" t="s">
        <v>12</v>
      </c>
      <c r="E431" s="159"/>
      <c r="F431" s="104" t="s">
        <v>1029</v>
      </c>
      <c r="G431" s="195" t="s">
        <v>1007</v>
      </c>
      <c r="H431" s="40" t="s">
        <v>44</v>
      </c>
      <c r="I431" s="155" t="s">
        <v>2405</v>
      </c>
      <c r="J431" s="109" t="s">
        <v>82</v>
      </c>
      <c r="K431" s="160"/>
      <c r="L431" s="161" t="s">
        <v>2406</v>
      </c>
      <c r="M431" s="160" t="s">
        <v>2407</v>
      </c>
      <c r="N431" s="160" t="s">
        <v>2346</v>
      </c>
      <c r="O431" s="187">
        <v>160000</v>
      </c>
      <c r="P431" s="160" t="s">
        <v>1466</v>
      </c>
      <c r="Q431" s="104" t="s">
        <v>7</v>
      </c>
      <c r="R431" s="162" t="s">
        <v>2173</v>
      </c>
      <c r="S431" s="90" t="s">
        <v>2408</v>
      </c>
      <c r="T431" s="160"/>
      <c r="U431" s="160"/>
      <c r="V431" s="160"/>
      <c r="W431" s="160"/>
      <c r="X431" s="160"/>
      <c r="Y431" s="160"/>
      <c r="Z431" s="160"/>
      <c r="AA431" s="160"/>
      <c r="AB431" s="160"/>
      <c r="AC431" s="160"/>
      <c r="AD431" s="160"/>
    </row>
    <row r="432" s="10" customFormat="1" ht="14" spans="1:30">
      <c r="A432" s="6" t="s">
        <v>872</v>
      </c>
      <c r="B432" s="158">
        <v>46134</v>
      </c>
      <c r="C432" s="104" t="str">
        <f t="shared" si="8"/>
        <v>2026年4月</v>
      </c>
      <c r="D432" s="104" t="s">
        <v>12</v>
      </c>
      <c r="E432" s="159"/>
      <c r="F432" s="104" t="s">
        <v>1029</v>
      </c>
      <c r="G432" s="195" t="s">
        <v>1007</v>
      </c>
      <c r="H432" s="40" t="s">
        <v>44</v>
      </c>
      <c r="I432" s="155" t="s">
        <v>2409</v>
      </c>
      <c r="J432" s="109" t="s">
        <v>82</v>
      </c>
      <c r="K432" s="160"/>
      <c r="L432" s="10"/>
      <c r="M432" s="10"/>
      <c r="N432" s="10"/>
      <c r="O432" s="187">
        <v>145000</v>
      </c>
      <c r="P432" s="160" t="s">
        <v>1466</v>
      </c>
      <c r="Q432" s="104" t="s">
        <v>7</v>
      </c>
      <c r="R432" s="162" t="s">
        <v>2173</v>
      </c>
      <c r="S432" s="90" t="s">
        <v>2410</v>
      </c>
      <c r="T432" s="160"/>
      <c r="U432" s="160"/>
      <c r="V432" s="160"/>
      <c r="W432" s="160"/>
      <c r="X432" s="160"/>
      <c r="Y432" s="160"/>
      <c r="Z432" s="160"/>
      <c r="AA432" s="160"/>
      <c r="AB432" s="160"/>
      <c r="AC432" s="160"/>
      <c r="AD432" s="160"/>
    </row>
    <row r="433" s="10" customFormat="1" ht="14" spans="1:30">
      <c r="A433" s="6" t="s">
        <v>872</v>
      </c>
      <c r="B433" s="158">
        <v>46134</v>
      </c>
      <c r="C433" s="104" t="str">
        <f t="shared" si="8"/>
        <v>2026年4月</v>
      </c>
      <c r="D433" s="104" t="s">
        <v>12</v>
      </c>
      <c r="E433" s="159"/>
      <c r="F433" s="104" t="s">
        <v>1029</v>
      </c>
      <c r="G433" s="195" t="s">
        <v>1007</v>
      </c>
      <c r="H433" s="40" t="s">
        <v>44</v>
      </c>
      <c r="I433" s="155" t="s">
        <v>2411</v>
      </c>
      <c r="J433" s="109" t="s">
        <v>82</v>
      </c>
      <c r="K433" s="160"/>
      <c r="L433" s="10"/>
      <c r="M433" s="10"/>
      <c r="N433" s="10"/>
      <c r="O433" s="187">
        <v>180000</v>
      </c>
      <c r="P433" s="160" t="s">
        <v>1466</v>
      </c>
      <c r="Q433" s="104" t="s">
        <v>7</v>
      </c>
      <c r="R433" s="162" t="s">
        <v>2173</v>
      </c>
      <c r="S433" s="90" t="s">
        <v>2412</v>
      </c>
      <c r="T433" s="160"/>
      <c r="U433" s="160"/>
      <c r="V433" s="160"/>
      <c r="W433" s="160"/>
      <c r="X433" s="160"/>
      <c r="Y433" s="160"/>
      <c r="Z433" s="160"/>
      <c r="AA433" s="160"/>
      <c r="AB433" s="160"/>
      <c r="AC433" s="160"/>
      <c r="AD433" s="160"/>
    </row>
    <row r="434" s="10" customFormat="1" ht="14" spans="1:30">
      <c r="A434" s="6" t="s">
        <v>872</v>
      </c>
      <c r="B434" s="158">
        <v>46134</v>
      </c>
      <c r="C434" s="104" t="str">
        <f t="shared" si="8"/>
        <v>2026年4月</v>
      </c>
      <c r="D434" s="104" t="s">
        <v>12</v>
      </c>
      <c r="E434" s="159"/>
      <c r="F434" s="104" t="s">
        <v>1029</v>
      </c>
      <c r="G434" s="195" t="s">
        <v>1007</v>
      </c>
      <c r="H434" s="40" t="s">
        <v>44</v>
      </c>
      <c r="I434" s="155" t="s">
        <v>2413</v>
      </c>
      <c r="J434" s="109" t="s">
        <v>82</v>
      </c>
      <c r="K434" s="160"/>
      <c r="L434" s="10"/>
      <c r="M434" s="10"/>
      <c r="N434" s="10"/>
      <c r="O434" s="187">
        <v>170000</v>
      </c>
      <c r="P434" s="160" t="s">
        <v>1466</v>
      </c>
      <c r="Q434" s="104" t="s">
        <v>7</v>
      </c>
      <c r="R434" s="162" t="s">
        <v>2173</v>
      </c>
      <c r="S434" s="90" t="s">
        <v>2414</v>
      </c>
      <c r="T434" s="160"/>
      <c r="U434" s="160"/>
      <c r="V434" s="160"/>
      <c r="W434" s="160"/>
      <c r="X434" s="160"/>
      <c r="Y434" s="160"/>
      <c r="Z434" s="160"/>
      <c r="AA434" s="160"/>
      <c r="AB434" s="160"/>
      <c r="AC434" s="160"/>
      <c r="AD434" s="160"/>
    </row>
    <row r="435" s="10" customFormat="1" ht="14" spans="1:30">
      <c r="A435" s="6" t="s">
        <v>872</v>
      </c>
      <c r="B435" s="158">
        <v>46134</v>
      </c>
      <c r="C435" s="104" t="str">
        <f t="shared" si="8"/>
        <v>2026年4月</v>
      </c>
      <c r="D435" s="104" t="s">
        <v>12</v>
      </c>
      <c r="E435" s="159"/>
      <c r="F435" s="104" t="s">
        <v>1029</v>
      </c>
      <c r="G435" s="195" t="s">
        <v>1007</v>
      </c>
      <c r="H435" s="40" t="s">
        <v>44</v>
      </c>
      <c r="I435" s="155" t="s">
        <v>2415</v>
      </c>
      <c r="J435" s="109" t="s">
        <v>82</v>
      </c>
      <c r="K435" s="160"/>
      <c r="L435" s="10"/>
      <c r="M435" s="10"/>
      <c r="N435" s="10"/>
      <c r="O435" s="187">
        <v>155000</v>
      </c>
      <c r="P435" s="160" t="s">
        <v>1466</v>
      </c>
      <c r="Q435" s="104" t="s">
        <v>7</v>
      </c>
      <c r="R435" s="162" t="s">
        <v>2173</v>
      </c>
      <c r="S435" s="90" t="s">
        <v>2416</v>
      </c>
      <c r="T435" s="160"/>
      <c r="U435" s="160"/>
      <c r="V435" s="160"/>
      <c r="W435" s="160"/>
      <c r="X435" s="160"/>
      <c r="Y435" s="160"/>
      <c r="Z435" s="160"/>
      <c r="AA435" s="160"/>
      <c r="AB435" s="160"/>
      <c r="AC435" s="160"/>
      <c r="AD435" s="160"/>
    </row>
    <row r="436" s="10" customFormat="1" ht="30" customHeight="1" spans="1:30">
      <c r="A436" s="6" t="s">
        <v>872</v>
      </c>
      <c r="B436" s="158">
        <v>46136</v>
      </c>
      <c r="C436" s="104" t="str">
        <f t="shared" si="8"/>
        <v>2026年4月</v>
      </c>
      <c r="D436" s="104" t="s">
        <v>12</v>
      </c>
      <c r="E436" s="159"/>
      <c r="F436" s="104" t="s">
        <v>1029</v>
      </c>
      <c r="G436" s="195" t="s">
        <v>1007</v>
      </c>
      <c r="H436" s="40" t="s">
        <v>44</v>
      </c>
      <c r="I436" s="140" t="s">
        <v>2417</v>
      </c>
      <c r="J436" s="109" t="s">
        <v>82</v>
      </c>
      <c r="K436" s="160"/>
      <c r="L436" s="10"/>
      <c r="M436" s="10"/>
      <c r="N436" s="10"/>
      <c r="O436" s="187">
        <v>190000</v>
      </c>
      <c r="P436" s="160" t="s">
        <v>1466</v>
      </c>
      <c r="Q436" s="104" t="s">
        <v>7</v>
      </c>
      <c r="R436" s="162" t="s">
        <v>2173</v>
      </c>
      <c r="S436" s="210" t="s">
        <v>2418</v>
      </c>
      <c r="T436" s="160"/>
      <c r="U436" s="160"/>
      <c r="V436" s="160"/>
      <c r="W436" s="160"/>
      <c r="X436" s="160"/>
      <c r="Y436" s="160"/>
      <c r="Z436" s="160"/>
      <c r="AA436" s="160"/>
      <c r="AB436" s="160"/>
      <c r="AC436" s="160"/>
      <c r="AD436" s="160"/>
    </row>
    <row r="437" s="10" customFormat="1" ht="30" customHeight="1" spans="1:30">
      <c r="A437" s="6" t="s">
        <v>872</v>
      </c>
      <c r="B437" s="158">
        <v>46136</v>
      </c>
      <c r="C437" s="104" t="str">
        <f t="shared" si="8"/>
        <v>2026年4月</v>
      </c>
      <c r="D437" s="104" t="s">
        <v>12</v>
      </c>
      <c r="E437" s="159"/>
      <c r="F437" s="104" t="s">
        <v>1029</v>
      </c>
      <c r="G437" s="195" t="s">
        <v>1007</v>
      </c>
      <c r="H437" s="40" t="s">
        <v>44</v>
      </c>
      <c r="I437" s="140" t="s">
        <v>2419</v>
      </c>
      <c r="J437" s="109" t="s">
        <v>82</v>
      </c>
      <c r="K437" s="160"/>
      <c r="L437" s="10"/>
      <c r="M437" s="10"/>
      <c r="N437" s="10"/>
      <c r="O437" s="187">
        <v>180000</v>
      </c>
      <c r="P437" s="160" t="s">
        <v>1466</v>
      </c>
      <c r="Q437" s="104" t="s">
        <v>7</v>
      </c>
      <c r="R437" s="162" t="s">
        <v>2173</v>
      </c>
      <c r="S437" s="210" t="s">
        <v>2420</v>
      </c>
      <c r="T437" s="160"/>
      <c r="U437" s="160"/>
      <c r="V437" s="160"/>
      <c r="W437" s="160"/>
      <c r="X437" s="160"/>
      <c r="Y437" s="160"/>
      <c r="Z437" s="160"/>
      <c r="AA437" s="160"/>
      <c r="AB437" s="160"/>
      <c r="AC437" s="160"/>
      <c r="AD437" s="160"/>
    </row>
    <row r="438" s="10" customFormat="1" ht="30" customHeight="1" spans="1:30">
      <c r="A438" s="6" t="s">
        <v>872</v>
      </c>
      <c r="B438" s="158">
        <v>46136</v>
      </c>
      <c r="C438" s="104" t="str">
        <f t="shared" si="8"/>
        <v>2026年4月</v>
      </c>
      <c r="D438" s="104" t="s">
        <v>12</v>
      </c>
      <c r="E438" s="159"/>
      <c r="F438" s="104" t="s">
        <v>1029</v>
      </c>
      <c r="G438" s="195" t="s">
        <v>1007</v>
      </c>
      <c r="H438" s="40" t="s">
        <v>44</v>
      </c>
      <c r="I438" s="140" t="s">
        <v>2421</v>
      </c>
      <c r="J438" s="109" t="s">
        <v>82</v>
      </c>
      <c r="K438" s="160"/>
      <c r="L438" s="10"/>
      <c r="M438" s="10"/>
      <c r="N438" s="10"/>
      <c r="O438" s="187">
        <v>170000</v>
      </c>
      <c r="P438" s="160" t="s">
        <v>1466</v>
      </c>
      <c r="Q438" s="104" t="s">
        <v>7</v>
      </c>
      <c r="R438" s="162" t="s">
        <v>2173</v>
      </c>
      <c r="S438" s="210" t="s">
        <v>2422</v>
      </c>
      <c r="T438" s="160"/>
      <c r="U438" s="160"/>
      <c r="V438" s="160"/>
      <c r="W438" s="160"/>
      <c r="X438" s="160"/>
      <c r="Y438" s="160"/>
      <c r="Z438" s="160"/>
      <c r="AA438" s="160"/>
      <c r="AB438" s="160"/>
      <c r="AC438" s="160"/>
      <c r="AD438" s="160"/>
    </row>
    <row r="439" s="10" customFormat="1" ht="14" spans="1:30">
      <c r="A439" s="6" t="s">
        <v>142</v>
      </c>
      <c r="B439" s="158">
        <v>46139</v>
      </c>
      <c r="C439" s="104" t="str">
        <f t="shared" si="8"/>
        <v>2026年4月</v>
      </c>
      <c r="D439" s="104" t="s">
        <v>11</v>
      </c>
      <c r="E439" s="159"/>
      <c r="F439" s="104" t="s">
        <v>1029</v>
      </c>
      <c r="G439" s="195" t="s">
        <v>1007</v>
      </c>
      <c r="H439" s="40" t="s">
        <v>48</v>
      </c>
      <c r="I439" s="217" t="s">
        <v>2423</v>
      </c>
      <c r="J439" s="109" t="s">
        <v>82</v>
      </c>
      <c r="K439" s="160" t="s">
        <v>2365</v>
      </c>
      <c r="L439" s="161" t="s">
        <v>2424</v>
      </c>
      <c r="M439" s="160" t="s">
        <v>2425</v>
      </c>
      <c r="N439" s="160" t="s">
        <v>2426</v>
      </c>
      <c r="O439" s="211">
        <v>66896</v>
      </c>
      <c r="P439" s="160" t="s">
        <v>173</v>
      </c>
      <c r="Q439" s="104" t="s">
        <v>7</v>
      </c>
      <c r="R439" s="162" t="s">
        <v>927</v>
      </c>
      <c r="S439" s="210" t="s">
        <v>2427</v>
      </c>
      <c r="T439" s="160"/>
      <c r="U439" s="160"/>
      <c r="V439" s="160"/>
      <c r="W439" s="160"/>
      <c r="X439" s="160"/>
      <c r="Y439" s="160"/>
      <c r="Z439" s="160"/>
      <c r="AA439" s="160"/>
      <c r="AB439" s="160"/>
      <c r="AC439" s="160"/>
      <c r="AD439" s="160"/>
    </row>
    <row r="440" s="10" customFormat="1" ht="14" spans="1:30">
      <c r="A440" s="6" t="s">
        <v>142</v>
      </c>
      <c r="B440" s="158">
        <v>46139</v>
      </c>
      <c r="C440" s="104" t="str">
        <f t="shared" si="8"/>
        <v>2026年4月</v>
      </c>
      <c r="D440" s="104" t="s">
        <v>11</v>
      </c>
      <c r="E440" s="159"/>
      <c r="F440" s="104" t="s">
        <v>1029</v>
      </c>
      <c r="G440" s="195" t="s">
        <v>1007</v>
      </c>
      <c r="H440" s="40" t="s">
        <v>48</v>
      </c>
      <c r="I440" s="217" t="s">
        <v>2428</v>
      </c>
      <c r="J440" s="109" t="s">
        <v>82</v>
      </c>
      <c r="K440" s="160" t="s">
        <v>2365</v>
      </c>
      <c r="L440" s="161" t="s">
        <v>2424</v>
      </c>
      <c r="M440" s="160" t="s">
        <v>2425</v>
      </c>
      <c r="N440" s="160" t="s">
        <v>2429</v>
      </c>
      <c r="O440" s="211">
        <v>37380</v>
      </c>
      <c r="P440" s="160" t="s">
        <v>173</v>
      </c>
      <c r="Q440" s="104" t="s">
        <v>7</v>
      </c>
      <c r="R440" s="162" t="s">
        <v>927</v>
      </c>
      <c r="S440" s="210" t="s">
        <v>2430</v>
      </c>
      <c r="T440" s="160"/>
      <c r="U440" s="160"/>
      <c r="V440" s="160"/>
      <c r="W440" s="160"/>
      <c r="X440" s="160"/>
      <c r="Y440" s="160"/>
      <c r="Z440" s="160"/>
      <c r="AA440" s="160"/>
      <c r="AB440" s="160"/>
      <c r="AC440" s="160"/>
      <c r="AD440" s="160"/>
    </row>
    <row r="441" s="10" customFormat="1" ht="14" spans="1:30">
      <c r="A441" s="6" t="s">
        <v>872</v>
      </c>
      <c r="B441" s="158">
        <v>46140</v>
      </c>
      <c r="C441" s="104" t="str">
        <f t="shared" si="8"/>
        <v>2026年4月</v>
      </c>
      <c r="D441" s="104" t="s">
        <v>10</v>
      </c>
      <c r="E441" s="159"/>
      <c r="F441" s="104" t="s">
        <v>1006</v>
      </c>
      <c r="G441" s="195" t="s">
        <v>1011</v>
      </c>
      <c r="H441" s="40" t="s">
        <v>54</v>
      </c>
      <c r="I441" s="208" t="s">
        <v>2431</v>
      </c>
      <c r="J441" s="109" t="s">
        <v>82</v>
      </c>
      <c r="K441" s="160" t="s">
        <v>2432</v>
      </c>
      <c r="L441" s="161" t="s">
        <v>2433</v>
      </c>
      <c r="M441" s="160" t="s">
        <v>2434</v>
      </c>
      <c r="N441" s="161" t="s">
        <v>2435</v>
      </c>
      <c r="O441" s="211">
        <v>10441</v>
      </c>
      <c r="P441" s="160" t="s">
        <v>173</v>
      </c>
      <c r="Q441" s="104" t="s">
        <v>7</v>
      </c>
      <c r="R441" s="162" t="s">
        <v>2436</v>
      </c>
      <c r="S441" s="162"/>
      <c r="T441" s="160"/>
      <c r="U441" s="160"/>
      <c r="V441" s="160"/>
      <c r="W441" s="160"/>
      <c r="X441" s="160"/>
      <c r="Y441" s="160"/>
      <c r="Z441" s="160"/>
      <c r="AA441" s="160"/>
      <c r="AB441" s="160"/>
      <c r="AC441" s="160"/>
      <c r="AD441" s="160"/>
    </row>
    <row r="442" s="10" customFormat="1" ht="30" customHeight="1" spans="1:30">
      <c r="E442" s="159"/>
      <c r="F442" s="10"/>
      <c r="G442" s="195" t="s">
        <v>2437</v>
      </c>
      <c r="H442" s="10"/>
      <c r="I442" s="10"/>
      <c r="J442" s="10"/>
      <c r="K442" s="160" t="s">
        <v>2438</v>
      </c>
      <c r="L442" s="161" t="s">
        <v>2439</v>
      </c>
      <c r="M442" s="10"/>
      <c r="N442" s="160" t="s">
        <v>2440</v>
      </c>
      <c r="O442" s="211">
        <v>23310</v>
      </c>
      <c r="P442" s="160" t="s">
        <v>173</v>
      </c>
      <c r="Q442" s="10"/>
      <c r="R442" s="10"/>
      <c r="S442" s="162"/>
      <c r="T442" s="160"/>
      <c r="U442" s="160"/>
      <c r="V442" s="160"/>
      <c r="W442" s="160"/>
      <c r="X442" s="160"/>
      <c r="Y442" s="160"/>
      <c r="Z442" s="160"/>
      <c r="AA442" s="160"/>
      <c r="AB442" s="160"/>
      <c r="AC442" s="160"/>
      <c r="AD442" s="160"/>
    </row>
    <row r="443" s="10" customFormat="1" ht="14" spans="1:30">
      <c r="A443" s="6" t="s">
        <v>142</v>
      </c>
      <c r="B443" s="158">
        <v>46140</v>
      </c>
      <c r="C443" s="104" t="str">
        <f t="shared" ref="C443:C490" si="9">YEAR(B443)&amp;"年"&amp;MONTH(B443)&amp;"月"</f>
        <v>2026年4月</v>
      </c>
      <c r="D443" s="104" t="s">
        <v>11</v>
      </c>
      <c r="E443" s="159"/>
      <c r="F443" s="104" t="s">
        <v>1006</v>
      </c>
      <c r="G443" s="195" t="s">
        <v>1007</v>
      </c>
      <c r="H443" s="40" t="s">
        <v>39</v>
      </c>
      <c r="I443" s="155" t="s">
        <v>2441</v>
      </c>
      <c r="J443" s="109" t="s">
        <v>82</v>
      </c>
      <c r="K443" s="160"/>
      <c r="L443" s="161" t="s">
        <v>2442</v>
      </c>
      <c r="M443" s="160" t="s">
        <v>2443</v>
      </c>
      <c r="N443" s="160" t="s">
        <v>2444</v>
      </c>
      <c r="O443" s="187">
        <v>2500</v>
      </c>
      <c r="P443" s="160" t="s">
        <v>173</v>
      </c>
      <c r="Q443" s="104" t="s">
        <v>105</v>
      </c>
      <c r="R443" s="162"/>
      <c r="S443" s="162" t="s">
        <v>1724</v>
      </c>
      <c r="T443" s="160"/>
      <c r="U443" s="160"/>
      <c r="V443" s="160"/>
      <c r="W443" s="160"/>
      <c r="X443" s="160"/>
      <c r="Y443" s="160"/>
      <c r="Z443" s="160"/>
      <c r="AA443" s="160"/>
      <c r="AB443" s="160"/>
      <c r="AC443" s="160"/>
      <c r="AD443" s="160"/>
    </row>
    <row r="444" s="10" customFormat="1" ht="14" spans="1:30">
      <c r="A444" s="6" t="s">
        <v>142</v>
      </c>
      <c r="B444" s="158">
        <v>46140</v>
      </c>
      <c r="C444" s="104" t="str">
        <f t="shared" si="9"/>
        <v>2026年4月</v>
      </c>
      <c r="D444" s="104" t="s">
        <v>12</v>
      </c>
      <c r="E444" s="159"/>
      <c r="F444" s="104" t="s">
        <v>1029</v>
      </c>
      <c r="G444" s="195" t="s">
        <v>1007</v>
      </c>
      <c r="H444" s="40" t="s">
        <v>44</v>
      </c>
      <c r="I444" s="155" t="s">
        <v>2445</v>
      </c>
      <c r="J444" s="109" t="s">
        <v>82</v>
      </c>
      <c r="K444" s="161" t="s">
        <v>2446</v>
      </c>
      <c r="L444" s="161" t="s">
        <v>2447</v>
      </c>
      <c r="M444" s="160" t="s">
        <v>2448</v>
      </c>
      <c r="N444" s="160" t="s">
        <v>2404</v>
      </c>
      <c r="O444" s="187">
        <v>180000</v>
      </c>
      <c r="P444" s="10" t="s">
        <v>1466</v>
      </c>
      <c r="Q444" s="104" t="s">
        <v>7</v>
      </c>
      <c r="R444" s="162"/>
      <c r="S444" s="162"/>
      <c r="T444" s="160"/>
      <c r="U444" s="160"/>
      <c r="V444" s="160"/>
      <c r="W444" s="160"/>
      <c r="X444" s="160"/>
      <c r="Y444" s="160"/>
      <c r="Z444" s="160"/>
      <c r="AA444" s="160"/>
      <c r="AB444" s="160"/>
      <c r="AC444" s="160"/>
      <c r="AD444" s="160"/>
    </row>
    <row r="445" s="10" customFormat="1" ht="14" spans="1:30">
      <c r="A445" s="6" t="s">
        <v>142</v>
      </c>
      <c r="B445" s="158">
        <v>46140</v>
      </c>
      <c r="C445" s="104" t="str">
        <f t="shared" si="9"/>
        <v>2026年4月</v>
      </c>
      <c r="D445" s="104" t="s">
        <v>12</v>
      </c>
      <c r="E445" s="159"/>
      <c r="F445" s="104" t="s">
        <v>1029</v>
      </c>
      <c r="G445" s="195" t="s">
        <v>1007</v>
      </c>
      <c r="H445" s="40" t="s">
        <v>44</v>
      </c>
      <c r="I445" s="155" t="s">
        <v>2449</v>
      </c>
      <c r="J445" s="109" t="s">
        <v>82</v>
      </c>
      <c r="K445" s="160"/>
      <c r="L445" s="161" t="s">
        <v>2406</v>
      </c>
      <c r="M445" s="160" t="s">
        <v>2407</v>
      </c>
      <c r="N445" s="160" t="s">
        <v>2346</v>
      </c>
      <c r="O445" s="187">
        <v>160000</v>
      </c>
      <c r="P445" s="109" t="s">
        <v>1466</v>
      </c>
      <c r="Q445" s="104" t="s">
        <v>7</v>
      </c>
      <c r="R445" s="162"/>
      <c r="S445" s="162"/>
      <c r="T445" s="160"/>
      <c r="U445" s="160"/>
      <c r="V445" s="160"/>
      <c r="W445" s="160"/>
      <c r="X445" s="160"/>
      <c r="Y445" s="160"/>
      <c r="Z445" s="160"/>
      <c r="AA445" s="160"/>
      <c r="AB445" s="160"/>
      <c r="AC445" s="160"/>
      <c r="AD445" s="160"/>
    </row>
    <row r="446" s="10" customFormat="1" ht="14" spans="1:30">
      <c r="A446" s="6" t="s">
        <v>142</v>
      </c>
      <c r="B446" s="158">
        <v>46141</v>
      </c>
      <c r="C446" s="104" t="str">
        <f t="shared" si="9"/>
        <v>2026年4月</v>
      </c>
      <c r="D446" s="104" t="s">
        <v>10</v>
      </c>
      <c r="E446" s="159"/>
      <c r="F446" s="104" t="s">
        <v>1029</v>
      </c>
      <c r="G446" s="195" t="s">
        <v>1011</v>
      </c>
      <c r="H446" s="40" t="s">
        <v>44</v>
      </c>
      <c r="I446" s="217" t="s">
        <v>2450</v>
      </c>
      <c r="J446" s="109" t="s">
        <v>82</v>
      </c>
      <c r="K446" s="161" t="s">
        <v>2451</v>
      </c>
      <c r="L446" s="161" t="s">
        <v>2452</v>
      </c>
      <c r="M446" s="160" t="s">
        <v>2453</v>
      </c>
      <c r="N446" s="160" t="s">
        <v>2454</v>
      </c>
      <c r="O446" s="187">
        <v>68500000</v>
      </c>
      <c r="P446" s="160" t="s">
        <v>1172</v>
      </c>
      <c r="Q446" s="104" t="s">
        <v>7</v>
      </c>
      <c r="R446" s="162" t="s">
        <v>1509</v>
      </c>
      <c r="S446" s="162"/>
      <c r="T446" s="160"/>
      <c r="U446" s="160"/>
      <c r="V446" s="160"/>
      <c r="W446" s="160"/>
      <c r="X446" s="160"/>
      <c r="Y446" s="160"/>
      <c r="Z446" s="160"/>
      <c r="AA446" s="160"/>
      <c r="AB446" s="160"/>
      <c r="AC446" s="160"/>
      <c r="AD446" s="160"/>
    </row>
    <row r="447" s="10" customFormat="1" ht="14" spans="1:30">
      <c r="A447" s="6" t="s">
        <v>142</v>
      </c>
      <c r="B447" s="158">
        <v>46140</v>
      </c>
      <c r="C447" s="104" t="str">
        <f t="shared" si="9"/>
        <v>2026年4月</v>
      </c>
      <c r="D447" s="104" t="s">
        <v>10</v>
      </c>
      <c r="E447" s="159"/>
      <c r="F447" s="104" t="s">
        <v>1029</v>
      </c>
      <c r="G447" s="195" t="s">
        <v>1007</v>
      </c>
      <c r="H447" s="40" t="s">
        <v>54</v>
      </c>
      <c r="I447" s="155" t="s">
        <v>2455</v>
      </c>
      <c r="J447" s="109" t="s">
        <v>82</v>
      </c>
      <c r="K447" s="160"/>
      <c r="L447" s="161" t="s">
        <v>2433</v>
      </c>
      <c r="M447" s="160" t="s">
        <v>2456</v>
      </c>
      <c r="N447" s="160" t="s">
        <v>2435</v>
      </c>
      <c r="O447" s="187">
        <v>6160</v>
      </c>
      <c r="P447" s="160" t="s">
        <v>173</v>
      </c>
      <c r="Q447" s="104" t="s">
        <v>7</v>
      </c>
      <c r="R447" s="162"/>
      <c r="S447" s="162"/>
      <c r="T447" s="160"/>
      <c r="U447" s="160"/>
      <c r="V447" s="160"/>
      <c r="W447" s="160"/>
      <c r="X447" s="160"/>
      <c r="Y447" s="160"/>
      <c r="Z447" s="160"/>
      <c r="AA447" s="160"/>
      <c r="AB447" s="160"/>
      <c r="AC447" s="160"/>
      <c r="AD447" s="160"/>
    </row>
    <row r="448" s="10" customFormat="1" ht="14" spans="1:30">
      <c r="A448" s="6" t="s">
        <v>872</v>
      </c>
      <c r="B448" s="158">
        <v>46141</v>
      </c>
      <c r="C448" s="104" t="str">
        <f t="shared" si="9"/>
        <v>2026年4月</v>
      </c>
      <c r="D448" s="104" t="s">
        <v>10</v>
      </c>
      <c r="E448" s="159"/>
      <c r="F448" s="104" t="s">
        <v>1006</v>
      </c>
      <c r="G448" s="195" t="s">
        <v>1007</v>
      </c>
      <c r="H448" s="40" t="s">
        <v>54</v>
      </c>
      <c r="I448" s="155" t="s">
        <v>2457</v>
      </c>
      <c r="J448" s="109" t="s">
        <v>82</v>
      </c>
      <c r="K448" s="219" t="s">
        <v>2458</v>
      </c>
      <c r="L448" s="161" t="s">
        <v>2433</v>
      </c>
      <c r="M448" s="160" t="s">
        <v>2459</v>
      </c>
      <c r="N448" s="161" t="s">
        <v>2435</v>
      </c>
      <c r="O448" s="167">
        <v>6432.92</v>
      </c>
      <c r="P448" s="160" t="s">
        <v>173</v>
      </c>
      <c r="Q448" s="104" t="s">
        <v>7</v>
      </c>
      <c r="R448" s="162"/>
      <c r="S448" s="162"/>
      <c r="T448" s="160"/>
      <c r="U448" s="160"/>
      <c r="V448" s="160"/>
      <c r="W448" s="160"/>
      <c r="X448" s="160"/>
      <c r="Y448" s="160"/>
      <c r="Z448" s="160"/>
      <c r="AA448" s="160"/>
      <c r="AB448" s="160"/>
      <c r="AC448" s="160"/>
      <c r="AD448" s="160"/>
    </row>
    <row r="449" s="10" customFormat="1" ht="14" spans="1:30">
      <c r="A449" s="6" t="s">
        <v>872</v>
      </c>
      <c r="B449" s="158">
        <v>46141</v>
      </c>
      <c r="C449" s="104" t="str">
        <f t="shared" si="9"/>
        <v>2026年4月</v>
      </c>
      <c r="D449" s="104" t="s">
        <v>10</v>
      </c>
      <c r="E449" s="159"/>
      <c r="F449" s="104" t="s">
        <v>1006</v>
      </c>
      <c r="G449" s="195" t="s">
        <v>1007</v>
      </c>
      <c r="H449" s="40" t="s">
        <v>39</v>
      </c>
      <c r="I449" s="217" t="s">
        <v>2460</v>
      </c>
      <c r="J449" s="109" t="s">
        <v>82</v>
      </c>
      <c r="K449" s="160"/>
      <c r="L449" s="161" t="s">
        <v>2461</v>
      </c>
      <c r="M449" s="160" t="s">
        <v>2462</v>
      </c>
      <c r="N449" s="160" t="s">
        <v>2463</v>
      </c>
      <c r="O449" s="167">
        <v>1914.32</v>
      </c>
      <c r="P449" s="160" t="s">
        <v>1567</v>
      </c>
      <c r="Q449" s="104" t="s">
        <v>105</v>
      </c>
      <c r="R449" s="162" t="s">
        <v>674</v>
      </c>
      <c r="S449" s="162"/>
      <c r="T449" s="160"/>
      <c r="U449" s="160"/>
      <c r="V449" s="160"/>
      <c r="W449" s="160"/>
      <c r="X449" s="160"/>
      <c r="Y449" s="160"/>
      <c r="Z449" s="160"/>
      <c r="AA449" s="160"/>
      <c r="AB449" s="160"/>
      <c r="AC449" s="160"/>
      <c r="AD449" s="160"/>
    </row>
    <row r="450" s="10" customFormat="1" ht="26" spans="1:30">
      <c r="A450" s="6" t="s">
        <v>872</v>
      </c>
      <c r="B450" s="158">
        <v>46142</v>
      </c>
      <c r="C450" s="104" t="str">
        <f t="shared" si="9"/>
        <v>2026年4月</v>
      </c>
      <c r="D450" s="104" t="s">
        <v>11</v>
      </c>
      <c r="E450" s="159"/>
      <c r="F450" s="104" t="s">
        <v>1029</v>
      </c>
      <c r="G450" s="195" t="s">
        <v>1007</v>
      </c>
      <c r="H450" s="40" t="s">
        <v>44</v>
      </c>
      <c r="I450" s="225" t="s">
        <v>2464</v>
      </c>
      <c r="J450" s="109" t="s">
        <v>82</v>
      </c>
      <c r="K450" s="161" t="s">
        <v>2465</v>
      </c>
      <c r="L450" s="161" t="s">
        <v>2466</v>
      </c>
      <c r="M450" s="160" t="s">
        <v>2467</v>
      </c>
      <c r="N450" s="160" t="s">
        <v>2468</v>
      </c>
      <c r="O450" s="187">
        <v>34891</v>
      </c>
      <c r="P450" s="160" t="s">
        <v>173</v>
      </c>
      <c r="Q450" s="104" t="s">
        <v>7</v>
      </c>
      <c r="R450" s="162" t="s">
        <v>2469</v>
      </c>
      <c r="S450" s="162"/>
      <c r="T450" s="160"/>
      <c r="U450" s="160"/>
      <c r="V450" s="160"/>
      <c r="W450" s="160"/>
      <c r="X450" s="160"/>
      <c r="Y450" s="160"/>
      <c r="Z450" s="160"/>
      <c r="AA450" s="160"/>
      <c r="AB450" s="160"/>
      <c r="AC450" s="160"/>
      <c r="AD450" s="160"/>
    </row>
    <row r="451" s="10" customFormat="1" ht="26" spans="1:30">
      <c r="A451" s="6" t="s">
        <v>872</v>
      </c>
      <c r="B451" s="158">
        <v>46143</v>
      </c>
      <c r="C451" s="104" t="str">
        <f t="shared" si="9"/>
        <v>2026年5月</v>
      </c>
      <c r="D451" s="104" t="s">
        <v>10</v>
      </c>
      <c r="E451" s="159"/>
      <c r="F451" s="104" t="s">
        <v>1006</v>
      </c>
      <c r="G451" s="195" t="s">
        <v>1007</v>
      </c>
      <c r="H451" s="40" t="s">
        <v>53</v>
      </c>
      <c r="I451" s="208" t="s">
        <v>2470</v>
      </c>
      <c r="J451" s="109" t="s">
        <v>82</v>
      </c>
      <c r="K451" s="160"/>
      <c r="L451" s="161" t="s">
        <v>2471</v>
      </c>
      <c r="M451" s="160" t="s">
        <v>2372</v>
      </c>
      <c r="N451" s="160" t="s">
        <v>2373</v>
      </c>
      <c r="O451" s="209">
        <v>130.44</v>
      </c>
      <c r="P451" s="160" t="s">
        <v>173</v>
      </c>
      <c r="Q451" s="104" t="s">
        <v>105</v>
      </c>
      <c r="R451" s="162" t="s">
        <v>833</v>
      </c>
      <c r="S451" s="162" t="s">
        <v>2472</v>
      </c>
      <c r="T451" s="160"/>
      <c r="U451" s="160"/>
      <c r="V451" s="160"/>
      <c r="W451" s="160"/>
      <c r="X451" s="160"/>
      <c r="Y451" s="160"/>
      <c r="Z451" s="160"/>
      <c r="AA451" s="160"/>
      <c r="AB451" s="160"/>
      <c r="AC451" s="160"/>
      <c r="AD451" s="160"/>
    </row>
    <row r="452" s="10" customFormat="1" ht="14" spans="1:30">
      <c r="A452" s="6" t="s">
        <v>872</v>
      </c>
      <c r="B452" s="158">
        <v>46144</v>
      </c>
      <c r="C452" s="104" t="str">
        <f t="shared" si="9"/>
        <v>2026年5月</v>
      </c>
      <c r="D452" s="104" t="s">
        <v>10</v>
      </c>
      <c r="E452" s="159"/>
      <c r="F452" s="104" t="s">
        <v>1006</v>
      </c>
      <c r="G452" s="195" t="s">
        <v>1007</v>
      </c>
      <c r="H452" s="40" t="s">
        <v>54</v>
      </c>
      <c r="I452" s="217" t="s">
        <v>2473</v>
      </c>
      <c r="J452" s="109" t="s">
        <v>82</v>
      </c>
      <c r="K452" s="219" t="s">
        <v>2458</v>
      </c>
      <c r="L452" s="161" t="s">
        <v>2314</v>
      </c>
      <c r="M452" s="160" t="s">
        <v>2474</v>
      </c>
      <c r="N452" s="160" t="s">
        <v>2475</v>
      </c>
      <c r="O452" s="209">
        <v>801</v>
      </c>
      <c r="P452" s="160" t="s">
        <v>173</v>
      </c>
      <c r="Q452" s="104" t="s">
        <v>7</v>
      </c>
      <c r="R452" s="162" t="s">
        <v>2436</v>
      </c>
      <c r="S452" s="162"/>
      <c r="T452" s="160"/>
      <c r="U452" s="160"/>
      <c r="V452" s="160"/>
      <c r="W452" s="160"/>
      <c r="X452" s="160"/>
      <c r="Y452" s="160"/>
      <c r="Z452" s="160"/>
      <c r="AA452" s="160"/>
      <c r="AB452" s="160"/>
      <c r="AC452" s="160"/>
      <c r="AD452" s="160"/>
    </row>
    <row r="453" s="10" customFormat="1" ht="26" spans="1:30">
      <c r="A453" s="6" t="s">
        <v>872</v>
      </c>
      <c r="B453" s="158">
        <v>46146</v>
      </c>
      <c r="C453" s="104" t="str">
        <f t="shared" si="9"/>
        <v>2026年5月</v>
      </c>
      <c r="D453" s="104" t="s">
        <v>10</v>
      </c>
      <c r="E453" s="159"/>
      <c r="F453" s="104" t="s">
        <v>1006</v>
      </c>
      <c r="G453" s="195" t="s">
        <v>1007</v>
      </c>
      <c r="H453" s="40" t="s">
        <v>54</v>
      </c>
      <c r="I453" s="225" t="s">
        <v>2476</v>
      </c>
      <c r="J453" s="109" t="s">
        <v>82</v>
      </c>
      <c r="K453" s="219" t="s">
        <v>2458</v>
      </c>
      <c r="L453" s="161" t="s">
        <v>2477</v>
      </c>
      <c r="M453" s="160" t="s">
        <v>2459</v>
      </c>
      <c r="N453" s="160" t="s">
        <v>2478</v>
      </c>
      <c r="O453" s="209">
        <v>4512.16</v>
      </c>
      <c r="P453" s="160" t="s">
        <v>173</v>
      </c>
      <c r="Q453" s="104" t="s">
        <v>7</v>
      </c>
      <c r="R453" s="162" t="s">
        <v>2436</v>
      </c>
      <c r="S453" s="162"/>
      <c r="T453" s="160"/>
      <c r="U453" s="160"/>
      <c r="V453" s="160"/>
      <c r="W453" s="160"/>
      <c r="X453" s="160"/>
      <c r="Y453" s="160"/>
      <c r="Z453" s="160"/>
      <c r="AA453" s="160"/>
      <c r="AB453" s="160"/>
      <c r="AC453" s="160"/>
      <c r="AD453" s="160"/>
    </row>
    <row r="454" s="10" customFormat="1" ht="14" spans="1:30">
      <c r="A454" s="6" t="s">
        <v>872</v>
      </c>
      <c r="B454" s="158">
        <v>46147</v>
      </c>
      <c r="C454" s="104" t="str">
        <f t="shared" si="9"/>
        <v>2026年5月</v>
      </c>
      <c r="D454" s="104" t="s">
        <v>10</v>
      </c>
      <c r="E454" s="159"/>
      <c r="F454" s="104" t="s">
        <v>1006</v>
      </c>
      <c r="G454" s="195" t="s">
        <v>1007</v>
      </c>
      <c r="H454" s="40" t="s">
        <v>54</v>
      </c>
      <c r="I454" s="217" t="s">
        <v>2479</v>
      </c>
      <c r="J454" s="109" t="s">
        <v>82</v>
      </c>
      <c r="K454" s="226" t="s">
        <v>2458</v>
      </c>
      <c r="L454" s="161" t="s">
        <v>2314</v>
      </c>
      <c r="M454" s="161" t="s">
        <v>2480</v>
      </c>
      <c r="N454" s="160" t="s">
        <v>2475</v>
      </c>
      <c r="O454" s="211">
        <v>1494</v>
      </c>
      <c r="P454" s="160" t="s">
        <v>173</v>
      </c>
      <c r="Q454" s="104" t="s">
        <v>7</v>
      </c>
      <c r="R454" s="162" t="s">
        <v>2436</v>
      </c>
      <c r="S454" s="162"/>
      <c r="T454" s="160"/>
      <c r="U454" s="160"/>
      <c r="V454" s="160"/>
      <c r="W454" s="160"/>
      <c r="X454" s="160"/>
      <c r="Y454" s="160"/>
      <c r="Z454" s="160"/>
      <c r="AA454" s="160"/>
      <c r="AB454" s="160"/>
      <c r="AC454" s="160"/>
      <c r="AD454" s="160"/>
    </row>
    <row r="455" s="10" customFormat="1" ht="14" spans="1:30">
      <c r="A455" s="6" t="s">
        <v>872</v>
      </c>
      <c r="B455" s="158">
        <v>46147</v>
      </c>
      <c r="C455" s="104" t="str">
        <f t="shared" si="9"/>
        <v>2026年5月</v>
      </c>
      <c r="D455" s="104" t="s">
        <v>10</v>
      </c>
      <c r="E455" s="159"/>
      <c r="F455" s="104" t="s">
        <v>1006</v>
      </c>
      <c r="G455" s="195" t="s">
        <v>1007</v>
      </c>
      <c r="H455" s="40" t="s">
        <v>54</v>
      </c>
      <c r="I455" s="217" t="s">
        <v>2481</v>
      </c>
      <c r="J455" s="109" t="s">
        <v>82</v>
      </c>
      <c r="K455" s="219" t="s">
        <v>2458</v>
      </c>
      <c r="L455" s="161" t="s">
        <v>910</v>
      </c>
      <c r="M455" s="161" t="s">
        <v>2480</v>
      </c>
      <c r="N455" s="160" t="s">
        <v>2482</v>
      </c>
      <c r="O455" s="187">
        <v>498</v>
      </c>
      <c r="P455" s="160" t="s">
        <v>173</v>
      </c>
      <c r="Q455" s="104" t="s">
        <v>7</v>
      </c>
      <c r="R455" s="162" t="s">
        <v>2436</v>
      </c>
      <c r="S455" s="162"/>
      <c r="T455" s="160"/>
      <c r="U455" s="160"/>
      <c r="V455" s="160"/>
      <c r="W455" s="160"/>
      <c r="X455" s="160"/>
      <c r="Y455" s="160"/>
      <c r="Z455" s="160"/>
      <c r="AA455" s="160"/>
      <c r="AB455" s="160"/>
      <c r="AC455" s="160"/>
      <c r="AD455" s="160"/>
    </row>
    <row r="456" s="10" customFormat="1" ht="14" spans="1:30">
      <c r="A456" s="6" t="s">
        <v>872</v>
      </c>
      <c r="B456" s="158">
        <v>46142</v>
      </c>
      <c r="C456" s="104" t="str">
        <f t="shared" si="9"/>
        <v>2026年4月</v>
      </c>
      <c r="D456" s="104" t="s">
        <v>11</v>
      </c>
      <c r="E456" s="159"/>
      <c r="F456" s="104" t="s">
        <v>1029</v>
      </c>
      <c r="G456" s="195" t="s">
        <v>1007</v>
      </c>
      <c r="H456" s="40" t="s">
        <v>48</v>
      </c>
      <c r="I456" s="155" t="s">
        <v>2483</v>
      </c>
      <c r="J456" s="109" t="s">
        <v>82</v>
      </c>
      <c r="K456" s="161" t="s">
        <v>2484</v>
      </c>
      <c r="L456" s="161" t="s">
        <v>2424</v>
      </c>
      <c r="M456" s="161" t="s">
        <v>2425</v>
      </c>
      <c r="N456" s="160"/>
      <c r="O456" s="187">
        <v>44150</v>
      </c>
      <c r="P456" s="160" t="s">
        <v>173</v>
      </c>
      <c r="Q456" s="104" t="s">
        <v>7</v>
      </c>
      <c r="R456" s="162"/>
      <c r="S456" s="162"/>
      <c r="T456" s="160"/>
      <c r="U456" s="160"/>
      <c r="V456" s="160"/>
      <c r="W456" s="160"/>
      <c r="X456" s="160"/>
      <c r="Y456" s="160"/>
      <c r="Z456" s="160"/>
      <c r="AA456" s="160"/>
      <c r="AB456" s="160"/>
      <c r="AC456" s="160"/>
      <c r="AD456" s="160"/>
    </row>
    <row r="457" s="10" customFormat="1" ht="14" spans="1:30">
      <c r="A457" s="6" t="s">
        <v>872</v>
      </c>
      <c r="B457" s="158">
        <v>46142</v>
      </c>
      <c r="C457" s="104" t="str">
        <f t="shared" si="9"/>
        <v>2026年4月</v>
      </c>
      <c r="D457" s="104" t="s">
        <v>11</v>
      </c>
      <c r="E457" s="159"/>
      <c r="F457" s="104" t="s">
        <v>1029</v>
      </c>
      <c r="G457" s="195" t="s">
        <v>1007</v>
      </c>
      <c r="H457" s="40" t="s">
        <v>48</v>
      </c>
      <c r="I457" s="155" t="s">
        <v>2485</v>
      </c>
      <c r="J457" s="109" t="s">
        <v>82</v>
      </c>
      <c r="K457" s="161" t="s">
        <v>2486</v>
      </c>
      <c r="L457" s="10"/>
      <c r="M457" s="10"/>
      <c r="N457" s="10"/>
      <c r="O457" s="187">
        <v>13646</v>
      </c>
      <c r="P457" s="160" t="s">
        <v>173</v>
      </c>
      <c r="Q457" s="104" t="s">
        <v>7</v>
      </c>
      <c r="R457" s="162"/>
      <c r="S457" s="162"/>
      <c r="T457" s="160"/>
      <c r="U457" s="160"/>
      <c r="V457" s="160"/>
      <c r="W457" s="160"/>
      <c r="X457" s="160"/>
      <c r="Y457" s="160"/>
      <c r="Z457" s="160"/>
      <c r="AA457" s="160"/>
      <c r="AB457" s="160"/>
      <c r="AC457" s="160"/>
      <c r="AD457" s="160"/>
    </row>
    <row r="458" s="10" customFormat="1" ht="14" spans="1:30">
      <c r="A458" s="6" t="s">
        <v>872</v>
      </c>
      <c r="B458" s="158">
        <v>46142</v>
      </c>
      <c r="C458" s="104" t="str">
        <f t="shared" si="9"/>
        <v>2026年4月</v>
      </c>
      <c r="D458" s="104" t="s">
        <v>11</v>
      </c>
      <c r="E458" s="159"/>
      <c r="F458" s="104" t="s">
        <v>1029</v>
      </c>
      <c r="G458" s="195" t="s">
        <v>1007</v>
      </c>
      <c r="H458" s="40" t="s">
        <v>48</v>
      </c>
      <c r="I458" s="109" t="s">
        <v>2487</v>
      </c>
      <c r="J458" s="109" t="s">
        <v>82</v>
      </c>
      <c r="K458" s="161" t="s">
        <v>2488</v>
      </c>
      <c r="L458" s="10"/>
      <c r="M458" s="10"/>
      <c r="N458" s="10"/>
      <c r="O458" s="187">
        <v>24160</v>
      </c>
      <c r="P458" s="160" t="s">
        <v>173</v>
      </c>
      <c r="Q458" s="104" t="s">
        <v>7</v>
      </c>
      <c r="R458" s="162"/>
      <c r="S458" s="162"/>
      <c r="T458" s="160"/>
      <c r="U458" s="160"/>
      <c r="V458" s="160"/>
      <c r="W458" s="160"/>
      <c r="X458" s="160"/>
      <c r="Y458" s="160"/>
      <c r="Z458" s="160"/>
      <c r="AA458" s="160"/>
      <c r="AB458" s="160"/>
      <c r="AC458" s="160"/>
      <c r="AD458" s="160"/>
    </row>
    <row r="459" s="10" customFormat="1" ht="14" spans="1:30">
      <c r="A459" s="6" t="s">
        <v>872</v>
      </c>
      <c r="B459" s="158">
        <v>46149</v>
      </c>
      <c r="C459" s="104" t="str">
        <f t="shared" si="9"/>
        <v>2026年5月</v>
      </c>
      <c r="D459" s="104" t="s">
        <v>12</v>
      </c>
      <c r="E459" s="159"/>
      <c r="F459" s="104" t="s">
        <v>1029</v>
      </c>
      <c r="G459" s="195" t="s">
        <v>1007</v>
      </c>
      <c r="H459" s="40" t="s">
        <v>48</v>
      </c>
      <c r="I459" s="109" t="s">
        <v>2489</v>
      </c>
      <c r="J459" s="109" t="s">
        <v>82</v>
      </c>
      <c r="K459" s="161" t="s">
        <v>2490</v>
      </c>
      <c r="L459" s="161" t="s">
        <v>2491</v>
      </c>
      <c r="M459" s="160" t="s">
        <v>2492</v>
      </c>
      <c r="N459" s="160" t="s">
        <v>2493</v>
      </c>
      <c r="O459" s="187">
        <v>8459.62</v>
      </c>
      <c r="P459" s="160" t="s">
        <v>173</v>
      </c>
      <c r="Q459" s="104" t="s">
        <v>7</v>
      </c>
      <c r="R459" s="162"/>
      <c r="S459" s="162"/>
      <c r="T459" s="160"/>
      <c r="U459" s="160"/>
      <c r="V459" s="160"/>
      <c r="W459" s="160"/>
      <c r="X459" s="160"/>
      <c r="Y459" s="160"/>
      <c r="Z459" s="160"/>
      <c r="AA459" s="160"/>
      <c r="AB459" s="160"/>
      <c r="AC459" s="160"/>
      <c r="AD459" s="160"/>
    </row>
    <row r="460" s="10" customFormat="1" ht="14" spans="1:30">
      <c r="A460" s="6" t="s">
        <v>142</v>
      </c>
      <c r="B460" s="158">
        <v>46149</v>
      </c>
      <c r="C460" s="104" t="str">
        <f t="shared" si="9"/>
        <v>2026年5月</v>
      </c>
      <c r="D460" s="104" t="s">
        <v>11</v>
      </c>
      <c r="E460" s="159"/>
      <c r="F460" s="104" t="s">
        <v>1029</v>
      </c>
      <c r="G460" s="195" t="s">
        <v>1011</v>
      </c>
      <c r="H460" s="40" t="s">
        <v>48</v>
      </c>
      <c r="I460" s="155" t="s">
        <v>2494</v>
      </c>
      <c r="J460" s="109" t="s">
        <v>82</v>
      </c>
      <c r="K460" s="161" t="s">
        <v>2495</v>
      </c>
      <c r="L460" s="161" t="s">
        <v>2424</v>
      </c>
      <c r="M460" s="160" t="s">
        <v>2425</v>
      </c>
      <c r="N460" s="160" t="s">
        <v>2496</v>
      </c>
      <c r="O460" s="187">
        <v>40675</v>
      </c>
      <c r="P460" s="160" t="s">
        <v>173</v>
      </c>
      <c r="Q460" s="104" t="s">
        <v>105</v>
      </c>
      <c r="R460" s="162"/>
      <c r="S460" s="162"/>
      <c r="T460" s="160"/>
      <c r="U460" s="160"/>
      <c r="V460" s="160"/>
      <c r="W460" s="160"/>
      <c r="X460" s="160"/>
      <c r="Y460" s="160"/>
      <c r="Z460" s="160"/>
      <c r="AA460" s="160"/>
      <c r="AB460" s="160"/>
      <c r="AC460" s="160"/>
      <c r="AD460" s="160"/>
    </row>
    <row r="461" s="10" customFormat="1" ht="14" spans="1:30">
      <c r="A461" s="6" t="s">
        <v>142</v>
      </c>
      <c r="B461" s="158">
        <v>46150</v>
      </c>
      <c r="C461" s="104" t="str">
        <f t="shared" si="9"/>
        <v>2026年5月</v>
      </c>
      <c r="D461" s="104" t="s">
        <v>11</v>
      </c>
      <c r="E461" s="159"/>
      <c r="F461" s="104" t="s">
        <v>1029</v>
      </c>
      <c r="G461" s="195" t="s">
        <v>1007</v>
      </c>
      <c r="H461" s="40" t="s">
        <v>44</v>
      </c>
      <c r="I461" s="155" t="s">
        <v>2497</v>
      </c>
      <c r="J461" s="109" t="s">
        <v>82</v>
      </c>
      <c r="K461" s="161" t="s">
        <v>2465</v>
      </c>
      <c r="L461" s="161" t="s">
        <v>2466</v>
      </c>
      <c r="M461" s="160" t="s">
        <v>2467</v>
      </c>
      <c r="N461" s="160" t="s">
        <v>2468</v>
      </c>
      <c r="O461" s="187">
        <v>34891</v>
      </c>
      <c r="P461" s="160" t="s">
        <v>173</v>
      </c>
      <c r="Q461" s="104" t="s">
        <v>7</v>
      </c>
      <c r="R461" s="162"/>
      <c r="S461" s="162"/>
      <c r="T461" s="160"/>
      <c r="U461" s="160"/>
      <c r="V461" s="160"/>
      <c r="W461" s="160"/>
      <c r="X461" s="160"/>
      <c r="Y461" s="160"/>
      <c r="Z461" s="160"/>
      <c r="AA461" s="160"/>
      <c r="AB461" s="160"/>
      <c r="AC461" s="160"/>
      <c r="AD461" s="160"/>
    </row>
    <row r="462" s="176" customFormat="1" ht="14" spans="1:30">
      <c r="A462" s="6" t="s">
        <v>142</v>
      </c>
      <c r="B462" s="158">
        <v>46150</v>
      </c>
      <c r="C462" s="104" t="str">
        <f t="shared" si="9"/>
        <v>2026年5月</v>
      </c>
      <c r="D462" s="104" t="s">
        <v>10</v>
      </c>
      <c r="E462" s="159"/>
      <c r="F462" s="104" t="s">
        <v>1006</v>
      </c>
      <c r="G462" s="195" t="s">
        <v>1007</v>
      </c>
      <c r="H462" s="40" t="s">
        <v>40</v>
      </c>
      <c r="I462" s="155" t="s">
        <v>2498</v>
      </c>
      <c r="J462" s="109" t="s">
        <v>82</v>
      </c>
      <c r="K462" s="160"/>
      <c r="L462" s="161" t="s">
        <v>140</v>
      </c>
      <c r="M462" s="160" t="s">
        <v>2499</v>
      </c>
      <c r="N462" s="160" t="s">
        <v>2500</v>
      </c>
      <c r="O462" s="187">
        <v>55.18</v>
      </c>
      <c r="P462" s="160" t="s">
        <v>139</v>
      </c>
      <c r="Q462" s="104" t="s">
        <v>105</v>
      </c>
      <c r="R462" s="162"/>
      <c r="S462" s="162"/>
      <c r="T462" s="160"/>
      <c r="U462" s="160"/>
      <c r="V462" s="160"/>
      <c r="W462" s="160"/>
      <c r="X462" s="160"/>
      <c r="Y462" s="160"/>
      <c r="Z462" s="160"/>
      <c r="AA462" s="160"/>
      <c r="AB462" s="160"/>
      <c r="AC462" s="160"/>
      <c r="AD462" s="160"/>
    </row>
    <row r="463" s="10" customFormat="1" ht="14" spans="1:30">
      <c r="A463" s="6" t="s">
        <v>872</v>
      </c>
      <c r="B463" s="158">
        <v>46151</v>
      </c>
      <c r="C463" s="104" t="str">
        <f t="shared" si="9"/>
        <v>2026年5月</v>
      </c>
      <c r="D463" s="104" t="s">
        <v>11</v>
      </c>
      <c r="E463" s="159"/>
      <c r="F463" s="104" t="s">
        <v>1006</v>
      </c>
      <c r="G463" s="195" t="s">
        <v>1007</v>
      </c>
      <c r="H463" s="40" t="s">
        <v>53</v>
      </c>
      <c r="I463" s="155" t="s">
        <v>2501</v>
      </c>
      <c r="J463" s="109" t="s">
        <v>82</v>
      </c>
      <c r="K463" s="160"/>
      <c r="L463" s="161" t="s">
        <v>2502</v>
      </c>
      <c r="M463" s="160" t="s">
        <v>2503</v>
      </c>
      <c r="N463" s="160" t="s">
        <v>2504</v>
      </c>
      <c r="O463" s="209">
        <v>10000</v>
      </c>
      <c r="P463" s="160" t="s">
        <v>173</v>
      </c>
      <c r="Q463" s="104" t="s">
        <v>7</v>
      </c>
      <c r="R463" s="165" t="s">
        <v>2505</v>
      </c>
      <c r="S463" s="162"/>
      <c r="T463" s="160"/>
      <c r="U463" s="160"/>
      <c r="V463" s="160"/>
      <c r="W463" s="160"/>
      <c r="X463" s="160"/>
      <c r="Y463" s="160"/>
      <c r="Z463" s="160"/>
      <c r="AA463" s="160"/>
      <c r="AB463" s="160"/>
      <c r="AC463" s="160"/>
      <c r="AD463" s="160"/>
    </row>
    <row r="464" s="10" customFormat="1" ht="14" spans="1:30">
      <c r="A464" s="6" t="s">
        <v>142</v>
      </c>
      <c r="B464" s="158">
        <v>46152</v>
      </c>
      <c r="C464" s="104" t="str">
        <f t="shared" si="9"/>
        <v>2026年5月</v>
      </c>
      <c r="D464" s="104" t="s">
        <v>11</v>
      </c>
      <c r="E464" s="159"/>
      <c r="F464" s="104" t="s">
        <v>1029</v>
      </c>
      <c r="G464" s="195" t="s">
        <v>1011</v>
      </c>
      <c r="H464" s="40" t="s">
        <v>48</v>
      </c>
      <c r="I464" s="155" t="s">
        <v>2506</v>
      </c>
      <c r="J464" s="109" t="s">
        <v>82</v>
      </c>
      <c r="K464" s="161" t="s">
        <v>2507</v>
      </c>
      <c r="L464" s="161" t="s">
        <v>2424</v>
      </c>
      <c r="M464" s="160" t="s">
        <v>2425</v>
      </c>
      <c r="N464" s="160" t="s">
        <v>2508</v>
      </c>
      <c r="O464" s="187">
        <v>72410</v>
      </c>
      <c r="P464" s="160" t="s">
        <v>173</v>
      </c>
      <c r="Q464" s="104" t="s">
        <v>7</v>
      </c>
      <c r="R464" s="162"/>
      <c r="S464" s="162"/>
      <c r="T464" s="160"/>
      <c r="U464" s="160"/>
      <c r="V464" s="160"/>
      <c r="W464" s="160"/>
      <c r="X464" s="160"/>
      <c r="Y464" s="160"/>
      <c r="Z464" s="160"/>
      <c r="AA464" s="160"/>
      <c r="AB464" s="160"/>
      <c r="AC464" s="160"/>
      <c r="AD464" s="160"/>
    </row>
    <row r="465" s="10" customFormat="1" ht="14" spans="1:30">
      <c r="A465" s="6" t="s">
        <v>872</v>
      </c>
      <c r="B465" s="158">
        <v>46153</v>
      </c>
      <c r="C465" s="104" t="str">
        <f t="shared" si="9"/>
        <v>2026年5月</v>
      </c>
      <c r="D465" s="104" t="s">
        <v>12</v>
      </c>
      <c r="E465" s="159"/>
      <c r="F465" s="104" t="s">
        <v>1029</v>
      </c>
      <c r="G465" s="195" t="s">
        <v>1007</v>
      </c>
      <c r="H465" s="40" t="s">
        <v>44</v>
      </c>
      <c r="I465" s="155" t="s">
        <v>2509</v>
      </c>
      <c r="J465" s="109" t="s">
        <v>82</v>
      </c>
      <c r="K465" s="161" t="s">
        <v>2510</v>
      </c>
      <c r="L465" s="161" t="s">
        <v>2511</v>
      </c>
      <c r="M465" s="160" t="s">
        <v>2512</v>
      </c>
      <c r="N465" s="160" t="s">
        <v>2513</v>
      </c>
      <c r="O465" s="187">
        <v>40000</v>
      </c>
      <c r="P465" s="160" t="s">
        <v>173</v>
      </c>
      <c r="Q465" s="104" t="s">
        <v>7</v>
      </c>
      <c r="R465" s="162" t="s">
        <v>2162</v>
      </c>
      <c r="S465" s="162"/>
      <c r="T465" s="160"/>
      <c r="U465" s="160"/>
      <c r="V465" s="160"/>
      <c r="W465" s="160"/>
      <c r="X465" s="160"/>
      <c r="Y465" s="160"/>
      <c r="Z465" s="160"/>
      <c r="AA465" s="160"/>
      <c r="AB465" s="160"/>
      <c r="AC465" s="160"/>
      <c r="AD465" s="160"/>
    </row>
    <row r="466" s="10" customFormat="1" ht="14" spans="1:30">
      <c r="A466" s="6" t="s">
        <v>872</v>
      </c>
      <c r="B466" s="158">
        <v>46154</v>
      </c>
      <c r="C466" s="104" t="str">
        <f t="shared" si="9"/>
        <v>2026年5月</v>
      </c>
      <c r="D466" s="104" t="s">
        <v>11</v>
      </c>
      <c r="E466" s="159"/>
      <c r="F466" s="104" t="s">
        <v>1029</v>
      </c>
      <c r="G466" s="195" t="s">
        <v>1007</v>
      </c>
      <c r="H466" s="40" t="s">
        <v>48</v>
      </c>
      <c r="I466" s="155" t="s">
        <v>2514</v>
      </c>
      <c r="J466" s="109" t="s">
        <v>82</v>
      </c>
      <c r="K466" s="161" t="s">
        <v>2515</v>
      </c>
      <c r="L466" s="161" t="s">
        <v>2424</v>
      </c>
      <c r="M466" s="160" t="s">
        <v>2425</v>
      </c>
      <c r="N466" s="160" t="s">
        <v>2516</v>
      </c>
      <c r="O466" s="187">
        <v>34900</v>
      </c>
      <c r="P466" s="160" t="s">
        <v>173</v>
      </c>
      <c r="Q466" s="104" t="s">
        <v>7</v>
      </c>
      <c r="R466" s="162" t="s">
        <v>927</v>
      </c>
      <c r="S466" s="162"/>
      <c r="T466" s="160"/>
      <c r="U466" s="160"/>
      <c r="V466" s="160"/>
      <c r="W466" s="160"/>
      <c r="X466" s="160"/>
      <c r="Y466" s="160"/>
      <c r="Z466" s="160"/>
      <c r="AA466" s="160"/>
      <c r="AB466" s="160"/>
      <c r="AC466" s="160"/>
      <c r="AD466" s="160"/>
    </row>
    <row r="467" s="10" customFormat="1" ht="14" spans="1:30">
      <c r="A467" s="6" t="s">
        <v>142</v>
      </c>
      <c r="B467" s="158">
        <v>46149</v>
      </c>
      <c r="C467" s="104" t="str">
        <f t="shared" si="9"/>
        <v>2026年5月</v>
      </c>
      <c r="D467" s="104" t="s">
        <v>12</v>
      </c>
      <c r="E467" s="159"/>
      <c r="F467" s="104" t="s">
        <v>1006</v>
      </c>
      <c r="G467" s="195" t="s">
        <v>1011</v>
      </c>
      <c r="H467" s="40" t="s">
        <v>46</v>
      </c>
      <c r="I467" s="155" t="s">
        <v>2517</v>
      </c>
      <c r="J467" s="109" t="s">
        <v>82</v>
      </c>
      <c r="K467" s="160"/>
      <c r="L467" s="161" t="s">
        <v>1990</v>
      </c>
      <c r="M467" s="160" t="s">
        <v>2518</v>
      </c>
      <c r="N467" s="160" t="s">
        <v>2091</v>
      </c>
      <c r="O467" s="211">
        <v>1199968</v>
      </c>
      <c r="P467" s="160" t="s">
        <v>173</v>
      </c>
      <c r="Q467" s="104" t="s">
        <v>7</v>
      </c>
      <c r="R467" s="162"/>
      <c r="S467" s="162"/>
      <c r="T467" s="160"/>
      <c r="U467" s="160"/>
      <c r="V467" s="160"/>
      <c r="W467" s="160"/>
      <c r="X467" s="160"/>
      <c r="Y467" s="160"/>
      <c r="Z467" s="160"/>
      <c r="AA467" s="160"/>
      <c r="AB467" s="160"/>
      <c r="AC467" s="160"/>
      <c r="AD467" s="160"/>
    </row>
    <row r="468" s="10" customFormat="1" ht="14" spans="1:30">
      <c r="A468" s="6" t="s">
        <v>142</v>
      </c>
      <c r="B468" s="158">
        <v>46154</v>
      </c>
      <c r="C468" s="104" t="str">
        <f t="shared" si="9"/>
        <v>2026年5月</v>
      </c>
      <c r="D468" s="104" t="s">
        <v>11</v>
      </c>
      <c r="E468" s="159"/>
      <c r="F468" s="104" t="s">
        <v>1029</v>
      </c>
      <c r="G468" s="195" t="s">
        <v>1011</v>
      </c>
      <c r="H468" s="40" t="s">
        <v>48</v>
      </c>
      <c r="I468" s="160" t="s">
        <v>2519</v>
      </c>
      <c r="J468" s="109" t="s">
        <v>82</v>
      </c>
      <c r="K468" s="161" t="s">
        <v>2520</v>
      </c>
      <c r="L468" s="161" t="s">
        <v>2424</v>
      </c>
      <c r="M468" s="10" t="s">
        <v>2425</v>
      </c>
      <c r="N468" s="160" t="s">
        <v>2521</v>
      </c>
      <c r="O468" s="211">
        <v>9245</v>
      </c>
      <c r="P468" s="160" t="s">
        <v>173</v>
      </c>
      <c r="Q468" s="104" t="s">
        <v>105</v>
      </c>
      <c r="R468" s="162"/>
      <c r="S468" s="162"/>
      <c r="T468" s="160"/>
      <c r="U468" s="160"/>
      <c r="V468" s="160"/>
      <c r="W468" s="160"/>
      <c r="X468" s="160"/>
      <c r="Y468" s="160"/>
      <c r="Z468" s="160"/>
      <c r="AA468" s="160"/>
      <c r="AB468" s="160"/>
      <c r="AC468" s="160"/>
      <c r="AD468" s="160"/>
    </row>
    <row r="469" s="10" customFormat="1" ht="14" spans="1:30">
      <c r="A469" s="6" t="s">
        <v>872</v>
      </c>
      <c r="B469" s="158">
        <v>46154</v>
      </c>
      <c r="C469" s="104" t="str">
        <f t="shared" si="9"/>
        <v>2026年5月</v>
      </c>
      <c r="D469" s="104" t="s">
        <v>11</v>
      </c>
      <c r="E469" s="159"/>
      <c r="F469" s="104" t="s">
        <v>1029</v>
      </c>
      <c r="G469" s="195" t="s">
        <v>1007</v>
      </c>
      <c r="H469" s="40" t="s">
        <v>48</v>
      </c>
      <c r="I469" s="155" t="s">
        <v>2522</v>
      </c>
      <c r="J469" s="109" t="s">
        <v>82</v>
      </c>
      <c r="K469" s="161" t="s">
        <v>2523</v>
      </c>
      <c r="L469" s="161" t="s">
        <v>2424</v>
      </c>
      <c r="M469" s="160" t="s">
        <v>2425</v>
      </c>
      <c r="N469" s="160" t="s">
        <v>2524</v>
      </c>
      <c r="O469" s="187">
        <v>66850</v>
      </c>
      <c r="P469" s="160" t="s">
        <v>173</v>
      </c>
      <c r="Q469" s="104" t="s">
        <v>7</v>
      </c>
      <c r="R469" s="162"/>
      <c r="S469" s="162"/>
      <c r="T469" s="160"/>
      <c r="U469" s="160"/>
      <c r="V469" s="160"/>
      <c r="W469" s="160"/>
      <c r="X469" s="160"/>
      <c r="Y469" s="160"/>
      <c r="Z469" s="160"/>
      <c r="AA469" s="160"/>
      <c r="AB469" s="160"/>
      <c r="AC469" s="160"/>
      <c r="AD469" s="160"/>
    </row>
    <row r="470" s="10" customFormat="1" ht="26" spans="1:30">
      <c r="A470" s="6" t="s">
        <v>142</v>
      </c>
      <c r="B470" s="158">
        <v>46155</v>
      </c>
      <c r="C470" s="104" t="str">
        <f t="shared" si="9"/>
        <v>2026年5月</v>
      </c>
      <c r="D470" s="104" t="s">
        <v>11</v>
      </c>
      <c r="E470" s="159"/>
      <c r="F470" s="104" t="s">
        <v>1029</v>
      </c>
      <c r="G470" s="195" t="s">
        <v>1011</v>
      </c>
      <c r="H470" s="40" t="s">
        <v>48</v>
      </c>
      <c r="I470" s="155" t="s">
        <v>2525</v>
      </c>
      <c r="J470" s="109" t="s">
        <v>82</v>
      </c>
      <c r="K470" s="161" t="s">
        <v>2424</v>
      </c>
      <c r="L470" s="210" t="s">
        <v>2424</v>
      </c>
      <c r="M470" s="160" t="s">
        <v>2425</v>
      </c>
      <c r="N470" s="162" t="s">
        <v>2526</v>
      </c>
      <c r="O470" s="187">
        <v>19850</v>
      </c>
      <c r="P470" s="160" t="s">
        <v>173</v>
      </c>
      <c r="Q470" s="104" t="s">
        <v>7</v>
      </c>
      <c r="R470" s="162"/>
      <c r="S470" s="162"/>
      <c r="T470" s="160"/>
      <c r="U470" s="160"/>
      <c r="V470" s="160"/>
      <c r="W470" s="160"/>
      <c r="X470" s="160"/>
      <c r="Y470" s="160"/>
      <c r="Z470" s="160"/>
      <c r="AA470" s="160"/>
      <c r="AB470" s="160"/>
      <c r="AC470" s="160"/>
      <c r="AD470" s="160"/>
    </row>
    <row r="471" s="10" customFormat="1" ht="26" spans="1:30">
      <c r="A471" s="6" t="s">
        <v>872</v>
      </c>
      <c r="B471" s="158">
        <v>46155</v>
      </c>
      <c r="C471" s="104" t="str">
        <f t="shared" si="9"/>
        <v>2026年5月</v>
      </c>
      <c r="D471" s="104" t="s">
        <v>11</v>
      </c>
      <c r="E471" s="159"/>
      <c r="F471" s="104" t="s">
        <v>1029</v>
      </c>
      <c r="G471" s="195" t="s">
        <v>1007</v>
      </c>
      <c r="H471" s="40" t="s">
        <v>48</v>
      </c>
      <c r="I471" s="155" t="s">
        <v>2527</v>
      </c>
      <c r="J471" s="109" t="s">
        <v>82</v>
      </c>
      <c r="K471" s="227" t="s">
        <v>2528</v>
      </c>
      <c r="L471" s="210" t="s">
        <v>2424</v>
      </c>
      <c r="M471" s="160" t="s">
        <v>2425</v>
      </c>
      <c r="N471" s="162" t="s">
        <v>2529</v>
      </c>
      <c r="O471" s="187">
        <v>19900</v>
      </c>
      <c r="P471" s="160" t="s">
        <v>173</v>
      </c>
      <c r="Q471" s="104" t="s">
        <v>7</v>
      </c>
      <c r="R471" s="162" t="s">
        <v>2530</v>
      </c>
      <c r="S471" s="162"/>
      <c r="T471" s="160"/>
      <c r="U471" s="160"/>
      <c r="V471" s="160"/>
      <c r="W471" s="160"/>
      <c r="X471" s="160"/>
      <c r="Y471" s="160"/>
      <c r="Z471" s="160"/>
      <c r="AA471" s="160"/>
      <c r="AB471" s="160"/>
      <c r="AC471" s="160"/>
      <c r="AD471" s="160"/>
    </row>
    <row r="472" s="10" customFormat="1" ht="14" spans="1:30">
      <c r="A472" s="6" t="s">
        <v>872</v>
      </c>
      <c r="B472" s="158">
        <v>46156</v>
      </c>
      <c r="C472" s="104" t="str">
        <f t="shared" si="9"/>
        <v>2026年5月</v>
      </c>
      <c r="D472" s="104" t="s">
        <v>11</v>
      </c>
      <c r="E472" s="159"/>
      <c r="F472" s="104" t="s">
        <v>1006</v>
      </c>
      <c r="G472" s="195" t="s">
        <v>1007</v>
      </c>
      <c r="H472" s="40" t="s">
        <v>39</v>
      </c>
      <c r="I472" s="155" t="s">
        <v>2531</v>
      </c>
      <c r="J472" s="109" t="s">
        <v>82</v>
      </c>
      <c r="K472" s="160"/>
      <c r="L472" s="161" t="s">
        <v>1198</v>
      </c>
      <c r="M472" s="160" t="s">
        <v>2532</v>
      </c>
      <c r="N472" s="160" t="s">
        <v>1974</v>
      </c>
      <c r="O472" s="209">
        <v>78485.2</v>
      </c>
      <c r="P472" s="160" t="s">
        <v>173</v>
      </c>
      <c r="Q472" s="104" t="s">
        <v>7</v>
      </c>
      <c r="R472" s="162" t="s">
        <v>1537</v>
      </c>
      <c r="S472" s="162"/>
      <c r="T472" s="160"/>
      <c r="U472" s="160"/>
      <c r="V472" s="160"/>
      <c r="W472" s="160"/>
      <c r="X472" s="160"/>
      <c r="Y472" s="160"/>
      <c r="Z472" s="160"/>
      <c r="AA472" s="160"/>
      <c r="AB472" s="160"/>
      <c r="AC472" s="160"/>
      <c r="AD472" s="160"/>
    </row>
    <row r="473" s="10" customFormat="1" ht="14" spans="1:30">
      <c r="A473" s="6" t="s">
        <v>142</v>
      </c>
      <c r="B473" s="158">
        <v>46157</v>
      </c>
      <c r="C473" s="104" t="str">
        <f t="shared" si="9"/>
        <v>2026年5月</v>
      </c>
      <c r="D473" s="104" t="s">
        <v>11</v>
      </c>
      <c r="E473" s="159"/>
      <c r="F473" s="104" t="s">
        <v>1029</v>
      </c>
      <c r="G473" s="195" t="s">
        <v>1007</v>
      </c>
      <c r="H473" s="40" t="s">
        <v>48</v>
      </c>
      <c r="I473" s="155" t="s">
        <v>2533</v>
      </c>
      <c r="J473" s="109" t="s">
        <v>82</v>
      </c>
      <c r="K473" s="161" t="s">
        <v>2534</v>
      </c>
      <c r="L473" s="161" t="s">
        <v>2424</v>
      </c>
      <c r="M473" s="160" t="s">
        <v>2425</v>
      </c>
      <c r="N473" s="160" t="s">
        <v>2535</v>
      </c>
      <c r="O473" s="187">
        <v>98570</v>
      </c>
      <c r="P473" s="160" t="s">
        <v>173</v>
      </c>
      <c r="Q473" s="104" t="s">
        <v>7</v>
      </c>
      <c r="R473" s="162"/>
      <c r="S473" s="162"/>
      <c r="T473" s="160"/>
      <c r="U473" s="160"/>
      <c r="V473" s="160"/>
      <c r="W473" s="160"/>
      <c r="X473" s="160"/>
      <c r="Y473" s="160"/>
      <c r="Z473" s="160"/>
      <c r="AA473" s="160"/>
      <c r="AB473" s="160"/>
      <c r="AC473" s="160"/>
      <c r="AD473" s="160"/>
    </row>
    <row r="474" s="10" customFormat="1" ht="14" spans="1:30">
      <c r="A474" s="6" t="s">
        <v>142</v>
      </c>
      <c r="B474" s="158">
        <v>46157</v>
      </c>
      <c r="C474" s="104" t="str">
        <f t="shared" si="9"/>
        <v>2026年5月</v>
      </c>
      <c r="D474" s="104" t="s">
        <v>12</v>
      </c>
      <c r="E474" s="159"/>
      <c r="F474" s="104" t="s">
        <v>1029</v>
      </c>
      <c r="G474" s="195" t="s">
        <v>1007</v>
      </c>
      <c r="H474" s="40" t="s">
        <v>39</v>
      </c>
      <c r="I474" s="155" t="s">
        <v>2536</v>
      </c>
      <c r="J474" s="109" t="s">
        <v>82</v>
      </c>
      <c r="K474" s="161" t="s">
        <v>2537</v>
      </c>
      <c r="L474" s="161" t="s">
        <v>1071</v>
      </c>
      <c r="M474" s="160" t="s">
        <v>2538</v>
      </c>
      <c r="N474" s="160" t="s">
        <v>2539</v>
      </c>
      <c r="O474" s="187">
        <v>21919.2</v>
      </c>
      <c r="P474" s="160" t="s">
        <v>173</v>
      </c>
      <c r="Q474" s="104" t="s">
        <v>105</v>
      </c>
      <c r="R474" s="162"/>
      <c r="S474" s="162"/>
      <c r="T474" s="160"/>
      <c r="U474" s="160"/>
      <c r="V474" s="160"/>
      <c r="W474" s="160"/>
      <c r="X474" s="160"/>
      <c r="Y474" s="160"/>
      <c r="Z474" s="160"/>
      <c r="AA474" s="160"/>
      <c r="AB474" s="160"/>
      <c r="AC474" s="160"/>
      <c r="AD474" s="160"/>
    </row>
    <row r="475" s="10" customFormat="1" ht="14" spans="1:30">
      <c r="A475" s="6" t="s">
        <v>872</v>
      </c>
      <c r="B475" s="158">
        <v>46157</v>
      </c>
      <c r="C475" s="104" t="str">
        <f t="shared" si="9"/>
        <v>2026年5月</v>
      </c>
      <c r="D475" s="104" t="s">
        <v>11</v>
      </c>
      <c r="E475" s="159"/>
      <c r="F475" s="104" t="s">
        <v>1029</v>
      </c>
      <c r="G475" s="195" t="s">
        <v>1011</v>
      </c>
      <c r="H475" s="40" t="s">
        <v>48</v>
      </c>
      <c r="I475" s="155" t="s">
        <v>2540</v>
      </c>
      <c r="J475" s="109" t="s">
        <v>82</v>
      </c>
      <c r="K475" s="161" t="s">
        <v>2541</v>
      </c>
      <c r="L475" s="161" t="s">
        <v>2424</v>
      </c>
      <c r="M475" s="160" t="s">
        <v>2425</v>
      </c>
      <c r="N475" s="160" t="s">
        <v>2542</v>
      </c>
      <c r="O475" s="187">
        <v>97140</v>
      </c>
      <c r="P475" s="160" t="s">
        <v>173</v>
      </c>
      <c r="Q475" s="104" t="s">
        <v>7</v>
      </c>
      <c r="R475" s="162"/>
      <c r="S475" s="162"/>
      <c r="T475" s="160"/>
      <c r="U475" s="160"/>
      <c r="V475" s="160"/>
      <c r="W475" s="160"/>
      <c r="X475" s="160"/>
      <c r="Y475" s="160"/>
      <c r="Z475" s="160"/>
      <c r="AA475" s="160"/>
      <c r="AB475" s="160"/>
      <c r="AC475" s="160"/>
      <c r="AD475" s="160"/>
    </row>
    <row r="476" s="10" customFormat="1" ht="14" spans="1:30">
      <c r="A476" s="6" t="s">
        <v>142</v>
      </c>
      <c r="B476" s="158">
        <v>46157</v>
      </c>
      <c r="C476" s="104" t="str">
        <f t="shared" si="9"/>
        <v>2026年5月</v>
      </c>
      <c r="D476" s="104" t="s">
        <v>10</v>
      </c>
      <c r="E476" s="159"/>
      <c r="F476" s="104" t="s">
        <v>1006</v>
      </c>
      <c r="G476" s="195" t="s">
        <v>1007</v>
      </c>
      <c r="H476" s="40" t="s">
        <v>40</v>
      </c>
      <c r="I476" s="155" t="s">
        <v>2543</v>
      </c>
      <c r="J476" s="109" t="s">
        <v>82</v>
      </c>
      <c r="K476" s="160"/>
      <c r="L476" s="161" t="s">
        <v>1022</v>
      </c>
      <c r="M476" s="10" t="s">
        <v>1811</v>
      </c>
      <c r="N476" s="10" t="s">
        <v>2544</v>
      </c>
      <c r="O476" s="10">
        <v>46.91</v>
      </c>
      <c r="P476" s="160" t="s">
        <v>149</v>
      </c>
      <c r="Q476" s="104" t="s">
        <v>7</v>
      </c>
      <c r="R476" s="162"/>
      <c r="S476" s="162"/>
      <c r="T476" s="160"/>
      <c r="U476" s="160"/>
      <c r="V476" s="160"/>
      <c r="W476" s="160"/>
      <c r="X476" s="160"/>
      <c r="Y476" s="160"/>
      <c r="Z476" s="160"/>
      <c r="AA476" s="160"/>
      <c r="AB476" s="160"/>
      <c r="AC476" s="160"/>
      <c r="AD476" s="160"/>
    </row>
    <row r="477" s="10" customFormat="1" ht="14" spans="1:30">
      <c r="A477" s="6" t="s">
        <v>872</v>
      </c>
      <c r="B477" s="158">
        <v>46161</v>
      </c>
      <c r="C477" s="104" t="str">
        <f t="shared" si="9"/>
        <v>2026年5月</v>
      </c>
      <c r="D477" s="104" t="s">
        <v>11</v>
      </c>
      <c r="E477" s="159"/>
      <c r="F477" s="104" t="s">
        <v>1029</v>
      </c>
      <c r="G477" s="195" t="s">
        <v>1007</v>
      </c>
      <c r="H477" s="40" t="s">
        <v>39</v>
      </c>
      <c r="I477" s="10" t="s">
        <v>2545</v>
      </c>
      <c r="J477" s="109" t="s">
        <v>82</v>
      </c>
      <c r="K477" s="161" t="s">
        <v>2546</v>
      </c>
      <c r="L477" s="161" t="s">
        <v>2424</v>
      </c>
      <c r="M477" s="160" t="s">
        <v>2425</v>
      </c>
      <c r="N477" s="160" t="s">
        <v>2547</v>
      </c>
      <c r="O477" s="187">
        <v>61400</v>
      </c>
      <c r="P477" s="160" t="s">
        <v>173</v>
      </c>
      <c r="Q477" s="104" t="s">
        <v>7</v>
      </c>
      <c r="R477" s="162"/>
      <c r="S477" s="162"/>
      <c r="T477" s="160"/>
      <c r="U477" s="160"/>
      <c r="V477" s="160"/>
      <c r="W477" s="160"/>
      <c r="X477" s="160"/>
      <c r="Y477" s="160"/>
      <c r="Z477" s="160"/>
      <c r="AA477" s="160"/>
      <c r="AB477" s="160"/>
      <c r="AC477" s="160"/>
      <c r="AD477" s="160"/>
    </row>
    <row r="478" s="10" customFormat="1" ht="14" spans="1:30">
      <c r="A478" s="6" t="s">
        <v>142</v>
      </c>
      <c r="B478" s="158">
        <v>46162</v>
      </c>
      <c r="C478" s="104" t="str">
        <f t="shared" si="9"/>
        <v>2026年5月</v>
      </c>
      <c r="D478" s="104" t="s">
        <v>12</v>
      </c>
      <c r="E478" s="159"/>
      <c r="F478" s="104" t="s">
        <v>1029</v>
      </c>
      <c r="G478" s="195" t="s">
        <v>1007</v>
      </c>
      <c r="H478" s="40" t="s">
        <v>44</v>
      </c>
      <c r="I478" s="155" t="s">
        <v>2548</v>
      </c>
      <c r="J478" s="109" t="s">
        <v>82</v>
      </c>
      <c r="K478" s="161" t="s">
        <v>2549</v>
      </c>
      <c r="L478" s="161" t="s">
        <v>2550</v>
      </c>
      <c r="M478" s="162" t="s">
        <v>2551</v>
      </c>
      <c r="N478" s="160" t="s">
        <v>2552</v>
      </c>
      <c r="O478" s="187">
        <v>33980.4</v>
      </c>
      <c r="P478" s="160" t="s">
        <v>173</v>
      </c>
      <c r="Q478" s="104" t="s">
        <v>7</v>
      </c>
      <c r="R478" s="162"/>
      <c r="S478" s="162"/>
      <c r="T478" s="160"/>
      <c r="U478" s="160"/>
      <c r="V478" s="160"/>
      <c r="W478" s="160"/>
      <c r="X478" s="160"/>
      <c r="Y478" s="160"/>
      <c r="Z478" s="160"/>
      <c r="AA478" s="160"/>
      <c r="AB478" s="160"/>
      <c r="AC478" s="160"/>
      <c r="AD478" s="160"/>
    </row>
    <row r="479" s="10" customFormat="1" ht="14" spans="1:30">
      <c r="A479" s="6" t="s">
        <v>142</v>
      </c>
      <c r="B479" s="158">
        <v>46162</v>
      </c>
      <c r="C479" s="104" t="str">
        <f t="shared" si="9"/>
        <v>2026年5月</v>
      </c>
      <c r="D479" s="104" t="s">
        <v>11</v>
      </c>
      <c r="E479" s="159"/>
      <c r="F479" s="104" t="s">
        <v>1006</v>
      </c>
      <c r="G479" s="195" t="s">
        <v>1007</v>
      </c>
      <c r="H479" s="40" t="s">
        <v>39</v>
      </c>
      <c r="I479" s="155" t="s">
        <v>2553</v>
      </c>
      <c r="J479" s="109" t="s">
        <v>82</v>
      </c>
      <c r="K479" s="160"/>
      <c r="L479" s="161" t="s">
        <v>1268</v>
      </c>
      <c r="M479" s="160" t="s">
        <v>1269</v>
      </c>
      <c r="N479" s="160" t="s">
        <v>1270</v>
      </c>
      <c r="O479" s="187">
        <v>20</v>
      </c>
      <c r="P479" s="160" t="s">
        <v>173</v>
      </c>
      <c r="Q479" s="104" t="s">
        <v>105</v>
      </c>
      <c r="R479" s="162"/>
      <c r="S479" s="162"/>
      <c r="T479" s="160"/>
      <c r="U479" s="160"/>
      <c r="V479" s="160"/>
      <c r="W479" s="160"/>
      <c r="X479" s="160"/>
      <c r="Y479" s="160"/>
      <c r="Z479" s="160"/>
      <c r="AA479" s="160"/>
      <c r="AB479" s="160"/>
      <c r="AC479" s="160"/>
      <c r="AD479" s="160"/>
    </row>
    <row r="480" s="10" customFormat="1" ht="14" spans="1:30">
      <c r="A480" s="6" t="s">
        <v>142</v>
      </c>
      <c r="B480" s="158">
        <v>46162</v>
      </c>
      <c r="C480" s="104" t="str">
        <f t="shared" si="9"/>
        <v>2026年5月</v>
      </c>
      <c r="D480" s="104" t="s">
        <v>12</v>
      </c>
      <c r="E480" s="159"/>
      <c r="F480" s="104" t="s">
        <v>1006</v>
      </c>
      <c r="G480" s="195" t="s">
        <v>1007</v>
      </c>
      <c r="H480" s="40" t="s">
        <v>46</v>
      </c>
      <c r="I480" s="155" t="s">
        <v>2554</v>
      </c>
      <c r="J480" s="109" t="s">
        <v>82</v>
      </c>
      <c r="K480" s="161" t="s">
        <v>2555</v>
      </c>
      <c r="L480" s="161" t="s">
        <v>2556</v>
      </c>
      <c r="M480" s="160" t="s">
        <v>2557</v>
      </c>
      <c r="N480" s="160" t="s">
        <v>2558</v>
      </c>
      <c r="O480" s="187">
        <v>155.1</v>
      </c>
      <c r="P480" s="160" t="s">
        <v>173</v>
      </c>
      <c r="Q480" s="104" t="s">
        <v>7</v>
      </c>
      <c r="R480" s="162"/>
      <c r="S480" s="162"/>
      <c r="T480" s="160"/>
      <c r="U480" s="160"/>
      <c r="V480" s="160"/>
      <c r="W480" s="160"/>
      <c r="X480" s="160"/>
      <c r="Y480" s="160"/>
      <c r="Z480" s="160"/>
      <c r="AA480" s="160"/>
      <c r="AB480" s="160"/>
      <c r="AC480" s="160"/>
      <c r="AD480" s="160"/>
    </row>
    <row r="481" s="10" customFormat="1" ht="26" spans="1:30">
      <c r="A481" s="6" t="s">
        <v>872</v>
      </c>
      <c r="B481" s="158">
        <v>46163</v>
      </c>
      <c r="C481" s="104" t="str">
        <f t="shared" si="9"/>
        <v>2026年5月</v>
      </c>
      <c r="D481" s="104" t="s">
        <v>10</v>
      </c>
      <c r="E481" s="159"/>
      <c r="F481" s="104" t="s">
        <v>1006</v>
      </c>
      <c r="G481" s="195" t="s">
        <v>1678</v>
      </c>
      <c r="H481" s="40" t="s">
        <v>53</v>
      </c>
      <c r="I481" s="155" t="s">
        <v>2559</v>
      </c>
      <c r="J481" s="109" t="s">
        <v>82</v>
      </c>
      <c r="K481" s="161" t="s">
        <v>2560</v>
      </c>
      <c r="L481" s="161" t="s">
        <v>2561</v>
      </c>
      <c r="M481" s="160" t="s">
        <v>2562</v>
      </c>
      <c r="N481" s="160" t="s">
        <v>2563</v>
      </c>
      <c r="O481" s="209">
        <v>24000</v>
      </c>
      <c r="P481" s="160" t="s">
        <v>173</v>
      </c>
      <c r="Q481" s="104" t="s">
        <v>7</v>
      </c>
      <c r="R481" s="162" t="s">
        <v>817</v>
      </c>
      <c r="S481" s="162"/>
      <c r="T481" s="160"/>
      <c r="U481" s="160"/>
      <c r="V481" s="160"/>
      <c r="W481" s="160"/>
      <c r="X481" s="160"/>
      <c r="Y481" s="160"/>
      <c r="Z481" s="160"/>
      <c r="AA481" s="160"/>
      <c r="AB481" s="160"/>
      <c r="AC481" s="160"/>
      <c r="AD481" s="160"/>
    </row>
    <row r="482" s="176" customFormat="1" ht="14" spans="1:30">
      <c r="A482" s="6" t="s">
        <v>872</v>
      </c>
      <c r="B482" s="158">
        <v>46163</v>
      </c>
      <c r="C482" s="104" t="str">
        <f t="shared" si="9"/>
        <v>2026年5月</v>
      </c>
      <c r="D482" s="104" t="s">
        <v>11</v>
      </c>
      <c r="E482" s="159"/>
      <c r="F482" s="104" t="s">
        <v>1029</v>
      </c>
      <c r="G482" s="195" t="s">
        <v>1011</v>
      </c>
      <c r="H482" s="40" t="s">
        <v>48</v>
      </c>
      <c r="I482" s="155" t="s">
        <v>2564</v>
      </c>
      <c r="J482" s="109" t="s">
        <v>82</v>
      </c>
      <c r="K482" s="161" t="s">
        <v>2565</v>
      </c>
      <c r="L482" s="161" t="s">
        <v>2424</v>
      </c>
      <c r="M482" s="160" t="s">
        <v>2425</v>
      </c>
      <c r="N482" s="160" t="s">
        <v>2566</v>
      </c>
      <c r="O482" s="187">
        <v>149900</v>
      </c>
      <c r="P482" s="160" t="s">
        <v>173</v>
      </c>
      <c r="Q482" s="104" t="s">
        <v>7</v>
      </c>
      <c r="R482" s="162"/>
      <c r="S482" s="162"/>
      <c r="T482" s="160"/>
      <c r="U482" s="160"/>
      <c r="V482" s="160"/>
      <c r="W482" s="160"/>
      <c r="X482" s="160"/>
      <c r="Y482" s="160"/>
      <c r="Z482" s="160"/>
      <c r="AA482" s="160"/>
      <c r="AB482" s="160"/>
      <c r="AC482" s="160"/>
      <c r="AD482" s="160"/>
    </row>
    <row r="483" s="10" customFormat="1" ht="14" spans="1:30">
      <c r="A483" s="6" t="s">
        <v>872</v>
      </c>
      <c r="B483" s="158">
        <v>46163</v>
      </c>
      <c r="C483" s="104" t="str">
        <f t="shared" si="9"/>
        <v>2026年5月</v>
      </c>
      <c r="D483" s="104" t="s">
        <v>12</v>
      </c>
      <c r="E483" s="159"/>
      <c r="F483" s="104" t="s">
        <v>1029</v>
      </c>
      <c r="G483" s="195" t="s">
        <v>1011</v>
      </c>
      <c r="H483" s="40" t="s">
        <v>48</v>
      </c>
      <c r="I483" s="155" t="s">
        <v>2567</v>
      </c>
      <c r="J483" s="109" t="s">
        <v>82</v>
      </c>
      <c r="K483" s="161" t="s">
        <v>2568</v>
      </c>
      <c r="L483" s="161" t="s">
        <v>2569</v>
      </c>
      <c r="M483" s="160" t="s">
        <v>2570</v>
      </c>
      <c r="N483" s="160" t="s">
        <v>2571</v>
      </c>
      <c r="O483" s="209">
        <v>29880</v>
      </c>
      <c r="P483" s="160" t="s">
        <v>173</v>
      </c>
      <c r="Q483" s="104" t="s">
        <v>7</v>
      </c>
      <c r="R483" s="162"/>
      <c r="S483" s="162"/>
      <c r="T483" s="160"/>
      <c r="U483" s="160"/>
      <c r="V483" s="160"/>
      <c r="W483" s="160"/>
      <c r="X483" s="160"/>
      <c r="Y483" s="160"/>
      <c r="Z483" s="160"/>
      <c r="AA483" s="160"/>
      <c r="AB483" s="160"/>
      <c r="AC483" s="160"/>
      <c r="AD483" s="160"/>
    </row>
    <row r="484" s="10" customFormat="1" ht="14" spans="1:30">
      <c r="A484" s="6" t="s">
        <v>872</v>
      </c>
      <c r="B484" s="158">
        <v>46163</v>
      </c>
      <c r="C484" s="104" t="str">
        <f t="shared" si="9"/>
        <v>2026年5月</v>
      </c>
      <c r="D484" s="104" t="s">
        <v>12</v>
      </c>
      <c r="E484" s="159"/>
      <c r="F484" s="104" t="s">
        <v>1029</v>
      </c>
      <c r="G484" s="195" t="s">
        <v>1011</v>
      </c>
      <c r="H484" s="40" t="s">
        <v>48</v>
      </c>
      <c r="I484" s="155" t="s">
        <v>2572</v>
      </c>
      <c r="J484" s="109" t="s">
        <v>82</v>
      </c>
      <c r="K484" s="161" t="s">
        <v>2573</v>
      </c>
      <c r="L484" s="161" t="s">
        <v>2574</v>
      </c>
      <c r="M484" s="160" t="s">
        <v>2575</v>
      </c>
      <c r="N484" s="160" t="s">
        <v>2576</v>
      </c>
      <c r="O484" s="187">
        <v>2046</v>
      </c>
      <c r="P484" s="160" t="s">
        <v>149</v>
      </c>
      <c r="Q484" s="104" t="s">
        <v>7</v>
      </c>
      <c r="R484" s="162" t="s">
        <v>674</v>
      </c>
      <c r="S484" s="162"/>
      <c r="T484" s="160"/>
      <c r="U484" s="160"/>
      <c r="V484" s="160"/>
      <c r="W484" s="160"/>
      <c r="X484" s="160"/>
      <c r="Y484" s="160"/>
      <c r="Z484" s="160"/>
      <c r="AA484" s="160"/>
      <c r="AB484" s="160"/>
      <c r="AC484" s="160"/>
      <c r="AD484" s="160"/>
    </row>
    <row r="485" s="10" customFormat="1" ht="14" spans="1:30">
      <c r="A485" s="6" t="s">
        <v>872</v>
      </c>
      <c r="B485" s="158">
        <v>46163</v>
      </c>
      <c r="C485" s="104" t="str">
        <f t="shared" si="9"/>
        <v>2026年5月</v>
      </c>
      <c r="D485" s="104" t="s">
        <v>11</v>
      </c>
      <c r="E485" s="159"/>
      <c r="F485" s="104" t="s">
        <v>1029</v>
      </c>
      <c r="G485" s="195" t="s">
        <v>1011</v>
      </c>
      <c r="H485" s="40" t="s">
        <v>48</v>
      </c>
      <c r="I485" s="155" t="s">
        <v>2577</v>
      </c>
      <c r="J485" s="109" t="s">
        <v>82</v>
      </c>
      <c r="K485" s="161" t="s">
        <v>2578</v>
      </c>
      <c r="L485" s="161" t="s">
        <v>2424</v>
      </c>
      <c r="M485" s="160" t="s">
        <v>2425</v>
      </c>
      <c r="N485" s="160" t="s">
        <v>2579</v>
      </c>
      <c r="O485" s="187">
        <v>27516</v>
      </c>
      <c r="P485" s="160" t="s">
        <v>173</v>
      </c>
      <c r="Q485" s="104" t="s">
        <v>7</v>
      </c>
      <c r="R485" s="162"/>
      <c r="S485" s="162"/>
      <c r="T485" s="160"/>
      <c r="U485" s="160"/>
      <c r="V485" s="160"/>
      <c r="W485" s="160"/>
      <c r="X485" s="160"/>
      <c r="Y485" s="160"/>
      <c r="Z485" s="160"/>
      <c r="AA485" s="160"/>
      <c r="AB485" s="160"/>
      <c r="AC485" s="160"/>
      <c r="AD485" s="160"/>
    </row>
    <row r="486" s="10" customFormat="1" ht="14" spans="1:30">
      <c r="A486" s="6" t="s">
        <v>142</v>
      </c>
      <c r="B486" s="158">
        <v>46163</v>
      </c>
      <c r="C486" s="104" t="str">
        <f t="shared" si="9"/>
        <v>2026年5月</v>
      </c>
      <c r="D486" s="104" t="s">
        <v>12</v>
      </c>
      <c r="E486" s="159"/>
      <c r="F486" s="104" t="s">
        <v>1029</v>
      </c>
      <c r="G486" s="195" t="s">
        <v>1007</v>
      </c>
      <c r="H486" s="40" t="s">
        <v>48</v>
      </c>
      <c r="I486" s="155" t="s">
        <v>2580</v>
      </c>
      <c r="J486" s="109" t="s">
        <v>82</v>
      </c>
      <c r="K486" s="161" t="s">
        <v>2581</v>
      </c>
      <c r="L486" s="161" t="s">
        <v>1210</v>
      </c>
      <c r="M486" s="160" t="s">
        <v>1211</v>
      </c>
      <c r="N486" s="160" t="s">
        <v>1479</v>
      </c>
      <c r="O486" s="187">
        <v>7225</v>
      </c>
      <c r="P486" s="160" t="s">
        <v>173</v>
      </c>
      <c r="Q486" s="104" t="s">
        <v>105</v>
      </c>
      <c r="R486" s="162"/>
      <c r="S486" s="162"/>
      <c r="T486" s="160"/>
      <c r="U486" s="160"/>
      <c r="V486" s="160"/>
      <c r="W486" s="160"/>
      <c r="X486" s="160"/>
      <c r="Y486" s="160"/>
      <c r="Z486" s="160"/>
      <c r="AA486" s="160"/>
      <c r="AB486" s="160"/>
      <c r="AC486" s="160"/>
      <c r="AD486" s="160"/>
    </row>
    <row r="487" s="10" customFormat="1" ht="14" spans="1:30">
      <c r="A487" s="6" t="s">
        <v>142</v>
      </c>
      <c r="B487" s="158">
        <v>46163</v>
      </c>
      <c r="C487" s="104" t="str">
        <f t="shared" si="9"/>
        <v>2026年5月</v>
      </c>
      <c r="D487" s="104" t="s">
        <v>12</v>
      </c>
      <c r="E487" s="159"/>
      <c r="F487" s="104" t="s">
        <v>1029</v>
      </c>
      <c r="G487" s="195" t="s">
        <v>1007</v>
      </c>
      <c r="H487" s="40" t="s">
        <v>48</v>
      </c>
      <c r="I487" s="155" t="s">
        <v>2582</v>
      </c>
      <c r="J487" s="109" t="s">
        <v>82</v>
      </c>
      <c r="K487" s="161" t="s">
        <v>2583</v>
      </c>
      <c r="L487" s="161" t="s">
        <v>1210</v>
      </c>
      <c r="M487" s="160" t="s">
        <v>1211</v>
      </c>
      <c r="N487" s="160" t="s">
        <v>1479</v>
      </c>
      <c r="O487" s="187">
        <v>37800</v>
      </c>
      <c r="P487" s="160" t="s">
        <v>173</v>
      </c>
      <c r="Q487" s="104" t="s">
        <v>105</v>
      </c>
      <c r="R487" s="162"/>
      <c r="S487" s="162"/>
      <c r="T487" s="160"/>
      <c r="U487" s="160"/>
      <c r="V487" s="160"/>
      <c r="W487" s="160"/>
      <c r="X487" s="160"/>
      <c r="Y487" s="160"/>
      <c r="Z487" s="160"/>
      <c r="AA487" s="160"/>
      <c r="AB487" s="160"/>
      <c r="AC487" s="160"/>
      <c r="AD487" s="160"/>
    </row>
    <row r="488" s="10" customFormat="1" ht="26" spans="1:30">
      <c r="A488" s="6" t="s">
        <v>872</v>
      </c>
      <c r="B488" s="158">
        <v>46163</v>
      </c>
      <c r="C488" s="104" t="str">
        <f t="shared" si="9"/>
        <v>2026年5月</v>
      </c>
      <c r="D488" s="104" t="s">
        <v>10</v>
      </c>
      <c r="E488" s="159"/>
      <c r="F488" s="104" t="s">
        <v>1006</v>
      </c>
      <c r="G488" s="195" t="s">
        <v>1007</v>
      </c>
      <c r="H488" s="40" t="s">
        <v>53</v>
      </c>
      <c r="I488" s="208" t="s">
        <v>2584</v>
      </c>
      <c r="J488" s="109" t="s">
        <v>82</v>
      </c>
      <c r="K488" s="160"/>
      <c r="L488" s="161" t="s">
        <v>2585</v>
      </c>
      <c r="M488" s="160" t="s">
        <v>2586</v>
      </c>
      <c r="N488" s="160" t="s">
        <v>2587</v>
      </c>
      <c r="O488" s="187">
        <v>161.35</v>
      </c>
      <c r="P488" s="160" t="s">
        <v>173</v>
      </c>
      <c r="Q488" s="104" t="s">
        <v>105</v>
      </c>
      <c r="R488" s="162" t="s">
        <v>2588</v>
      </c>
      <c r="S488" s="162" t="s">
        <v>2589</v>
      </c>
      <c r="T488" s="160"/>
      <c r="U488" s="160"/>
      <c r="V488" s="160"/>
      <c r="W488" s="160"/>
      <c r="X488" s="160"/>
      <c r="Y488" s="160"/>
      <c r="Z488" s="160"/>
      <c r="AA488" s="160"/>
      <c r="AB488" s="160"/>
      <c r="AC488" s="160"/>
      <c r="AD488" s="160"/>
    </row>
    <row r="489" s="10" customFormat="1" ht="14" spans="1:30">
      <c r="A489" s="6" t="s">
        <v>142</v>
      </c>
      <c r="B489" s="158">
        <v>46164</v>
      </c>
      <c r="C489" s="104" t="str">
        <f t="shared" si="9"/>
        <v>2026年5月</v>
      </c>
      <c r="D489" s="104" t="s">
        <v>12</v>
      </c>
      <c r="E489" s="159"/>
      <c r="F489" s="104" t="s">
        <v>1029</v>
      </c>
      <c r="G489" s="195" t="s">
        <v>1007</v>
      </c>
      <c r="H489" s="40" t="s">
        <v>48</v>
      </c>
      <c r="I489" s="155" t="s">
        <v>2590</v>
      </c>
      <c r="J489" s="109" t="s">
        <v>82</v>
      </c>
      <c r="K489" s="161" t="s">
        <v>2591</v>
      </c>
      <c r="L489" s="161" t="s">
        <v>2424</v>
      </c>
      <c r="M489" s="160" t="s">
        <v>2425</v>
      </c>
      <c r="N489" s="160" t="s">
        <v>2592</v>
      </c>
      <c r="O489" s="187">
        <v>29900</v>
      </c>
      <c r="P489" s="160" t="s">
        <v>173</v>
      </c>
      <c r="Q489" s="104" t="s">
        <v>7</v>
      </c>
      <c r="R489" s="162"/>
      <c r="S489" s="162"/>
      <c r="T489" s="160"/>
      <c r="U489" s="160"/>
      <c r="V489" s="160"/>
      <c r="W489" s="160"/>
      <c r="X489" s="160"/>
      <c r="Y489" s="160"/>
      <c r="Z489" s="160"/>
      <c r="AA489" s="160"/>
      <c r="AB489" s="160"/>
      <c r="AC489" s="160"/>
      <c r="AD489" s="160"/>
    </row>
    <row r="490" s="10" customFormat="1" ht="14" spans="1:30">
      <c r="A490" s="6" t="s">
        <v>872</v>
      </c>
      <c r="B490" s="158">
        <v>46164</v>
      </c>
      <c r="C490" s="104" t="str">
        <f t="shared" si="9"/>
        <v>2026年5月</v>
      </c>
      <c r="D490" s="104" t="s">
        <v>11</v>
      </c>
      <c r="E490" s="159"/>
      <c r="F490" s="104" t="s">
        <v>1006</v>
      </c>
      <c r="G490" s="195" t="s">
        <v>1678</v>
      </c>
      <c r="H490" s="40" t="s">
        <v>53</v>
      </c>
      <c r="I490" s="155" t="s">
        <v>2593</v>
      </c>
      <c r="J490" s="109" t="s">
        <v>82</v>
      </c>
      <c r="K490" s="161" t="s">
        <v>2594</v>
      </c>
      <c r="L490" s="161" t="s">
        <v>2595</v>
      </c>
      <c r="M490" s="160" t="s">
        <v>2596</v>
      </c>
      <c r="N490" s="160" t="s">
        <v>2597</v>
      </c>
      <c r="O490" s="209">
        <v>71500</v>
      </c>
      <c r="P490" s="160" t="s">
        <v>173</v>
      </c>
      <c r="Q490" s="104" t="s">
        <v>7</v>
      </c>
      <c r="R490" s="162"/>
      <c r="S490" s="162"/>
      <c r="T490" s="160"/>
      <c r="U490" s="160"/>
      <c r="V490" s="160"/>
      <c r="W490" s="160"/>
      <c r="X490" s="160"/>
      <c r="Y490" s="160"/>
      <c r="Z490" s="160"/>
      <c r="AA490" s="160"/>
      <c r="AB490" s="160"/>
      <c r="AC490" s="160"/>
      <c r="AD490" s="160"/>
    </row>
    <row r="491" s="10" customFormat="1" ht="14" spans="1:30">
      <c r="E491" s="159"/>
      <c r="F491" s="10"/>
      <c r="G491" s="10"/>
      <c r="H491" s="10"/>
      <c r="I491" s="10"/>
      <c r="J491" s="10"/>
      <c r="K491" s="161" t="s">
        <v>2598</v>
      </c>
      <c r="L491" s="10"/>
      <c r="M491" s="160" t="s">
        <v>2599</v>
      </c>
      <c r="N491" s="10"/>
      <c r="O491" s="209">
        <v>41200</v>
      </c>
      <c r="P491" s="160" t="s">
        <v>173</v>
      </c>
      <c r="Q491" s="10"/>
      <c r="R491" s="162"/>
      <c r="S491" s="162"/>
      <c r="T491" s="160"/>
      <c r="U491" s="160"/>
      <c r="V491" s="160"/>
      <c r="W491" s="160"/>
      <c r="X491" s="160"/>
      <c r="Y491" s="160"/>
      <c r="Z491" s="160"/>
      <c r="AA491" s="160"/>
      <c r="AB491" s="160"/>
      <c r="AC491" s="160"/>
      <c r="AD491" s="160"/>
    </row>
    <row r="492" s="10" customFormat="1" ht="14" spans="1:30">
      <c r="A492" s="6" t="s">
        <v>142</v>
      </c>
      <c r="B492" s="158">
        <v>46169</v>
      </c>
      <c r="C492" s="104" t="str">
        <f t="shared" ref="C492:C537" si="10">YEAR(B492)&amp;"年"&amp;MONTH(B492)&amp;"月"</f>
        <v>2026年5月</v>
      </c>
      <c r="D492" s="104" t="s">
        <v>12</v>
      </c>
      <c r="E492" s="159"/>
      <c r="F492" s="104" t="s">
        <v>1029</v>
      </c>
      <c r="G492" s="195" t="s">
        <v>1007</v>
      </c>
      <c r="H492" s="40" t="s">
        <v>48</v>
      </c>
      <c r="I492" s="155" t="s">
        <v>2600</v>
      </c>
      <c r="J492" s="109" t="s">
        <v>82</v>
      </c>
      <c r="K492" s="160"/>
      <c r="L492" s="161" t="s">
        <v>2601</v>
      </c>
      <c r="M492" s="160" t="s">
        <v>2602</v>
      </c>
      <c r="N492" s="160" t="s">
        <v>2603</v>
      </c>
      <c r="O492" s="187">
        <v>800</v>
      </c>
      <c r="P492" s="160" t="s">
        <v>173</v>
      </c>
      <c r="Q492" s="104" t="s">
        <v>105</v>
      </c>
      <c r="R492" s="162"/>
      <c r="S492" s="162"/>
      <c r="T492" s="160"/>
      <c r="U492" s="160"/>
      <c r="V492" s="160"/>
      <c r="W492" s="160"/>
      <c r="X492" s="160"/>
      <c r="Y492" s="160"/>
      <c r="Z492" s="160"/>
      <c r="AA492" s="160"/>
      <c r="AB492" s="160"/>
      <c r="AC492" s="160"/>
      <c r="AD492" s="160"/>
    </row>
    <row r="493" s="10" customFormat="1" ht="14" spans="1:30">
      <c r="A493" s="6" t="s">
        <v>142</v>
      </c>
      <c r="B493" s="158">
        <v>46169</v>
      </c>
      <c r="C493" s="104" t="str">
        <f t="shared" si="10"/>
        <v>2026年5月</v>
      </c>
      <c r="D493" s="104" t="s">
        <v>11</v>
      </c>
      <c r="E493" s="159"/>
      <c r="F493" s="104" t="s">
        <v>1029</v>
      </c>
      <c r="G493" s="195" t="s">
        <v>1011</v>
      </c>
      <c r="H493" s="40" t="s">
        <v>48</v>
      </c>
      <c r="I493" s="155" t="s">
        <v>2604</v>
      </c>
      <c r="J493" s="109" t="s">
        <v>82</v>
      </c>
      <c r="K493" s="161" t="s">
        <v>2605</v>
      </c>
      <c r="L493" s="161" t="s">
        <v>2424</v>
      </c>
      <c r="M493" s="160" t="s">
        <v>2425</v>
      </c>
      <c r="N493" s="160" t="s">
        <v>2606</v>
      </c>
      <c r="O493" s="211">
        <v>179900</v>
      </c>
      <c r="P493" s="160" t="s">
        <v>173</v>
      </c>
      <c r="Q493" s="104" t="s">
        <v>7</v>
      </c>
      <c r="R493" s="162"/>
      <c r="S493" s="162"/>
      <c r="T493" s="160"/>
      <c r="U493" s="160"/>
      <c r="V493" s="160"/>
      <c r="W493" s="160"/>
      <c r="X493" s="160"/>
      <c r="Y493" s="160"/>
      <c r="Z493" s="160"/>
      <c r="AA493" s="160"/>
      <c r="AB493" s="160"/>
      <c r="AC493" s="160"/>
      <c r="AD493" s="160"/>
    </row>
    <row r="494" s="10" customFormat="1" ht="14" spans="1:30">
      <c r="A494" s="6" t="s">
        <v>872</v>
      </c>
      <c r="B494" s="158">
        <v>46169</v>
      </c>
      <c r="C494" s="104" t="str">
        <f t="shared" si="10"/>
        <v>2026年5月</v>
      </c>
      <c r="D494" s="104" t="s">
        <v>11</v>
      </c>
      <c r="E494" s="159"/>
      <c r="F494" s="104" t="s">
        <v>1006</v>
      </c>
      <c r="G494" s="195" t="s">
        <v>1007</v>
      </c>
      <c r="H494" s="40" t="s">
        <v>39</v>
      </c>
      <c r="I494" s="155" t="s">
        <v>2607</v>
      </c>
      <c r="J494" s="109" t="s">
        <v>82</v>
      </c>
      <c r="K494" s="160"/>
      <c r="L494" s="161" t="s">
        <v>2608</v>
      </c>
      <c r="M494" s="160" t="s">
        <v>2609</v>
      </c>
      <c r="N494" s="160" t="s">
        <v>2610</v>
      </c>
      <c r="O494" s="211">
        <v>19522</v>
      </c>
      <c r="P494" s="160" t="s">
        <v>173</v>
      </c>
      <c r="Q494" s="104" t="s">
        <v>7</v>
      </c>
      <c r="R494" s="162" t="s">
        <v>129</v>
      </c>
      <c r="S494" s="162"/>
      <c r="T494" s="160"/>
      <c r="U494" s="160"/>
      <c r="V494" s="160"/>
      <c r="W494" s="160"/>
      <c r="X494" s="160"/>
      <c r="Y494" s="160"/>
      <c r="Z494" s="160"/>
      <c r="AA494" s="160"/>
      <c r="AB494" s="160"/>
      <c r="AC494" s="160"/>
      <c r="AD494" s="160"/>
    </row>
    <row r="495" s="10" customFormat="1" ht="26" spans="1:30">
      <c r="A495" s="6" t="s">
        <v>872</v>
      </c>
      <c r="B495" s="158">
        <v>46170</v>
      </c>
      <c r="C495" s="104" t="str">
        <f t="shared" si="10"/>
        <v>2026年5月</v>
      </c>
      <c r="D495" s="104" t="s">
        <v>11</v>
      </c>
      <c r="E495" s="159"/>
      <c r="F495" s="104" t="s">
        <v>1029</v>
      </c>
      <c r="G495" s="195" t="s">
        <v>1011</v>
      </c>
      <c r="H495" s="40" t="s">
        <v>39</v>
      </c>
      <c r="I495" s="155" t="s">
        <v>2611</v>
      </c>
      <c r="J495" s="109" t="s">
        <v>82</v>
      </c>
      <c r="K495" s="161" t="s">
        <v>2612</v>
      </c>
      <c r="L495" s="161" t="s">
        <v>2613</v>
      </c>
      <c r="M495" s="160" t="s">
        <v>2614</v>
      </c>
      <c r="N495" s="160" t="s">
        <v>2615</v>
      </c>
      <c r="O495" s="187">
        <v>10000</v>
      </c>
      <c r="P495" s="160" t="s">
        <v>173</v>
      </c>
      <c r="Q495" s="104" t="s">
        <v>7</v>
      </c>
      <c r="R495" s="162" t="s">
        <v>2616</v>
      </c>
      <c r="S495" s="162"/>
      <c r="T495" s="160"/>
      <c r="U495" s="160"/>
      <c r="V495" s="160"/>
      <c r="W495" s="160"/>
      <c r="X495" s="160"/>
      <c r="Y495" s="160"/>
      <c r="Z495" s="160"/>
      <c r="AA495" s="160"/>
      <c r="AB495" s="160"/>
      <c r="AC495" s="160"/>
      <c r="AD495" s="160"/>
    </row>
    <row r="496" s="10" customFormat="1" ht="14" spans="1:30">
      <c r="A496" s="6" t="s">
        <v>872</v>
      </c>
      <c r="B496" s="158">
        <v>46170</v>
      </c>
      <c r="C496" s="104" t="str">
        <f t="shared" si="10"/>
        <v>2026年5月</v>
      </c>
      <c r="D496" s="104" t="s">
        <v>12</v>
      </c>
      <c r="E496" s="159"/>
      <c r="F496" s="104" t="s">
        <v>1006</v>
      </c>
      <c r="G496" s="195" t="s">
        <v>1011</v>
      </c>
      <c r="H496" s="40" t="s">
        <v>53</v>
      </c>
      <c r="I496" s="155" t="s">
        <v>2617</v>
      </c>
      <c r="J496" s="109" t="s">
        <v>82</v>
      </c>
      <c r="K496" s="161" t="s">
        <v>2618</v>
      </c>
      <c r="L496" s="161" t="s">
        <v>2619</v>
      </c>
      <c r="M496" s="160" t="s">
        <v>2620</v>
      </c>
      <c r="N496" s="160" t="s">
        <v>2621</v>
      </c>
      <c r="O496" s="209">
        <v>299998.76</v>
      </c>
      <c r="P496" s="160" t="s">
        <v>173</v>
      </c>
      <c r="Q496" s="104" t="s">
        <v>7</v>
      </c>
      <c r="R496" s="162"/>
      <c r="S496" s="162"/>
      <c r="T496" s="160"/>
      <c r="U496" s="160"/>
      <c r="V496" s="160"/>
      <c r="W496" s="160"/>
      <c r="X496" s="160"/>
      <c r="Y496" s="160"/>
      <c r="Z496" s="160"/>
      <c r="AA496" s="160"/>
      <c r="AB496" s="160"/>
      <c r="AC496" s="160"/>
      <c r="AD496" s="160"/>
    </row>
    <row r="497" s="10" customFormat="1" ht="14" spans="1:30">
      <c r="A497" s="6" t="s">
        <v>142</v>
      </c>
      <c r="B497" s="158">
        <v>46171</v>
      </c>
      <c r="C497" s="104" t="str">
        <f t="shared" si="10"/>
        <v>2026年5月</v>
      </c>
      <c r="D497" s="104" t="s">
        <v>12</v>
      </c>
      <c r="E497" s="159"/>
      <c r="F497" s="104" t="s">
        <v>1029</v>
      </c>
      <c r="G497" s="195" t="s">
        <v>1011</v>
      </c>
      <c r="H497" s="40" t="s">
        <v>48</v>
      </c>
      <c r="I497" s="155" t="s">
        <v>2622</v>
      </c>
      <c r="J497" s="109" t="s">
        <v>82</v>
      </c>
      <c r="K497" s="161" t="s">
        <v>2583</v>
      </c>
      <c r="L497" s="161" t="s">
        <v>1210</v>
      </c>
      <c r="M497" s="160" t="s">
        <v>1211</v>
      </c>
      <c r="N497" s="160" t="s">
        <v>1479</v>
      </c>
      <c r="O497" s="211">
        <v>37800</v>
      </c>
      <c r="P497" s="160" t="s">
        <v>173</v>
      </c>
      <c r="Q497" s="104" t="s">
        <v>105</v>
      </c>
      <c r="R497" s="162"/>
      <c r="S497" s="162"/>
      <c r="T497" s="160"/>
      <c r="U497" s="160"/>
      <c r="V497" s="160"/>
      <c r="W497" s="160"/>
      <c r="X497" s="160"/>
      <c r="Y497" s="160"/>
      <c r="Z497" s="160"/>
      <c r="AA497" s="160"/>
      <c r="AB497" s="160"/>
      <c r="AC497" s="160"/>
      <c r="AD497" s="160"/>
    </row>
    <row r="498" s="10" customFormat="1" ht="14" spans="1:30">
      <c r="A498" s="6" t="s">
        <v>142</v>
      </c>
      <c r="B498" s="158">
        <v>46171</v>
      </c>
      <c r="C498" s="104" t="str">
        <f t="shared" si="10"/>
        <v>2026年5月</v>
      </c>
      <c r="D498" s="104" t="s">
        <v>12</v>
      </c>
      <c r="E498" s="159"/>
      <c r="F498" s="104" t="s">
        <v>1029</v>
      </c>
      <c r="G498" s="195" t="s">
        <v>1011</v>
      </c>
      <c r="H498" s="40" t="s">
        <v>48</v>
      </c>
      <c r="I498" s="155" t="s">
        <v>2623</v>
      </c>
      <c r="J498" s="109" t="s">
        <v>82</v>
      </c>
      <c r="K498" s="161" t="s">
        <v>2581</v>
      </c>
      <c r="L498" s="161" t="s">
        <v>1210</v>
      </c>
      <c r="M498" s="160" t="s">
        <v>1211</v>
      </c>
      <c r="N498" s="160" t="s">
        <v>1479</v>
      </c>
      <c r="O498" s="187">
        <v>7225.8</v>
      </c>
      <c r="P498" s="160" t="s">
        <v>173</v>
      </c>
      <c r="Q498" s="104" t="s">
        <v>105</v>
      </c>
      <c r="R498" s="162"/>
      <c r="S498" s="162"/>
      <c r="T498" s="160"/>
      <c r="U498" s="160"/>
      <c r="V498" s="160"/>
      <c r="W498" s="160"/>
      <c r="X498" s="160"/>
      <c r="Y498" s="160"/>
      <c r="Z498" s="160"/>
      <c r="AA498" s="160"/>
      <c r="AB498" s="160"/>
      <c r="AC498" s="160"/>
      <c r="AD498" s="160"/>
    </row>
    <row r="499" s="10" customFormat="1" ht="14" spans="1:30">
      <c r="A499" s="6" t="s">
        <v>142</v>
      </c>
      <c r="B499" s="158">
        <v>46175</v>
      </c>
      <c r="C499" s="104" t="str">
        <f t="shared" si="10"/>
        <v>2026年6月</v>
      </c>
      <c r="D499" s="104" t="s">
        <v>12</v>
      </c>
      <c r="E499" s="159"/>
      <c r="F499" s="104" t="s">
        <v>1029</v>
      </c>
      <c r="G499" s="195" t="s">
        <v>1007</v>
      </c>
      <c r="H499" s="40" t="s">
        <v>44</v>
      </c>
      <c r="I499" s="155" t="s">
        <v>2624</v>
      </c>
      <c r="J499" s="109" t="s">
        <v>82</v>
      </c>
      <c r="K499" s="161" t="s">
        <v>2625</v>
      </c>
      <c r="L499" s="161" t="s">
        <v>2626</v>
      </c>
      <c r="M499" s="160" t="s">
        <v>2627</v>
      </c>
      <c r="N499" s="160" t="s">
        <v>2628</v>
      </c>
      <c r="O499" s="187">
        <v>400000</v>
      </c>
      <c r="P499" s="160" t="s">
        <v>2629</v>
      </c>
      <c r="Q499" s="104" t="s">
        <v>7</v>
      </c>
      <c r="R499" s="162"/>
      <c r="S499" s="162"/>
      <c r="T499" s="160"/>
      <c r="U499" s="160"/>
      <c r="V499" s="160"/>
      <c r="W499" s="160"/>
      <c r="X499" s="160"/>
      <c r="Y499" s="160"/>
      <c r="Z499" s="160"/>
      <c r="AA499" s="160"/>
      <c r="AB499" s="160"/>
      <c r="AC499" s="160"/>
      <c r="AD499" s="160"/>
    </row>
    <row r="500" s="13" customFormat="1" ht="14" spans="1:30">
      <c r="A500" s="6" t="s">
        <v>142</v>
      </c>
      <c r="B500" s="158">
        <v>46175</v>
      </c>
      <c r="C500" s="104" t="str">
        <f t="shared" si="10"/>
        <v>2026年6月</v>
      </c>
      <c r="D500" s="104" t="s">
        <v>11</v>
      </c>
      <c r="E500" s="159"/>
      <c r="F500" s="104" t="s">
        <v>1006</v>
      </c>
      <c r="G500" s="195" t="s">
        <v>1007</v>
      </c>
      <c r="H500" s="40" t="s">
        <v>39</v>
      </c>
      <c r="I500" s="155" t="s">
        <v>2630</v>
      </c>
      <c r="J500" s="109" t="s">
        <v>82</v>
      </c>
      <c r="K500" s="160"/>
      <c r="L500" s="161" t="s">
        <v>2608</v>
      </c>
      <c r="M500" s="160" t="s">
        <v>2631</v>
      </c>
      <c r="N500" s="160" t="s">
        <v>2610</v>
      </c>
      <c r="O500" s="187">
        <v>10450</v>
      </c>
      <c r="P500" s="160" t="s">
        <v>173</v>
      </c>
      <c r="Q500" s="104" t="s">
        <v>105</v>
      </c>
      <c r="R500" s="162"/>
      <c r="S500" s="162"/>
      <c r="T500" s="160"/>
      <c r="U500" s="160"/>
      <c r="V500" s="160"/>
      <c r="W500" s="160"/>
      <c r="X500" s="160"/>
      <c r="Y500" s="160"/>
      <c r="Z500" s="160"/>
      <c r="AA500" s="160"/>
      <c r="AB500" s="160"/>
      <c r="AC500" s="160"/>
      <c r="AD500" s="160"/>
    </row>
    <row r="501" s="13" customFormat="1" ht="14" spans="1:30">
      <c r="A501" s="6" t="s">
        <v>142</v>
      </c>
      <c r="B501" s="158">
        <v>46176</v>
      </c>
      <c r="C501" s="104" t="str">
        <f t="shared" si="10"/>
        <v>2026年6月</v>
      </c>
      <c r="D501" s="104" t="s">
        <v>12</v>
      </c>
      <c r="E501" s="159"/>
      <c r="F501" s="104" t="s">
        <v>1029</v>
      </c>
      <c r="G501" s="195" t="s">
        <v>1007</v>
      </c>
      <c r="H501" s="40" t="s">
        <v>48</v>
      </c>
      <c r="I501" s="155" t="s">
        <v>2632</v>
      </c>
      <c r="J501" s="109" t="s">
        <v>422</v>
      </c>
      <c r="K501" s="161" t="s">
        <v>2633</v>
      </c>
      <c r="L501" s="161" t="s">
        <v>1071</v>
      </c>
      <c r="M501" s="160" t="s">
        <v>2634</v>
      </c>
      <c r="N501" s="160" t="s">
        <v>2635</v>
      </c>
      <c r="O501" s="187">
        <v>995000</v>
      </c>
      <c r="P501" s="160" t="s">
        <v>173</v>
      </c>
      <c r="Q501" s="104" t="s">
        <v>7</v>
      </c>
      <c r="R501" s="162"/>
      <c r="S501" s="162"/>
      <c r="T501" s="160"/>
      <c r="U501" s="160"/>
      <c r="V501" s="160"/>
      <c r="W501" s="160"/>
      <c r="X501" s="160"/>
      <c r="Y501" s="160"/>
      <c r="Z501" s="160"/>
      <c r="AA501" s="160"/>
      <c r="AB501" s="160"/>
      <c r="AC501" s="160"/>
      <c r="AD501" s="160"/>
    </row>
    <row r="502" s="13" customFormat="1" ht="14" spans="1:30">
      <c r="A502" s="6" t="s">
        <v>142</v>
      </c>
      <c r="B502" s="158">
        <v>46177</v>
      </c>
      <c r="C502" s="104" t="str">
        <f t="shared" si="10"/>
        <v>2026年6月</v>
      </c>
      <c r="D502" s="104" t="s">
        <v>10</v>
      </c>
      <c r="E502" s="159"/>
      <c r="F502" s="104" t="s">
        <v>1006</v>
      </c>
      <c r="G502" s="195" t="s">
        <v>1007</v>
      </c>
      <c r="H502" s="40" t="s">
        <v>40</v>
      </c>
      <c r="I502" s="155" t="s">
        <v>2636</v>
      </c>
      <c r="J502" s="109" t="s">
        <v>787</v>
      </c>
      <c r="K502" s="160"/>
      <c r="L502" s="161" t="s">
        <v>2637</v>
      </c>
      <c r="M502" s="160" t="s">
        <v>2638</v>
      </c>
      <c r="N502" s="160" t="s">
        <v>2639</v>
      </c>
      <c r="O502" s="187">
        <v>0.01</v>
      </c>
      <c r="P502" s="160" t="s">
        <v>139</v>
      </c>
      <c r="Q502" s="104" t="s">
        <v>7</v>
      </c>
      <c r="R502" s="162"/>
      <c r="S502" s="162"/>
      <c r="T502" s="160"/>
      <c r="U502" s="160"/>
      <c r="V502" s="160"/>
      <c r="W502" s="160"/>
      <c r="X502" s="160"/>
      <c r="Y502" s="160"/>
      <c r="Z502" s="160"/>
      <c r="AA502" s="160"/>
      <c r="AB502" s="160"/>
      <c r="AC502" s="160"/>
      <c r="AD502" s="160"/>
    </row>
    <row r="503" s="13" customFormat="1" ht="14" spans="1:30">
      <c r="A503" s="6" t="s">
        <v>872</v>
      </c>
      <c r="B503" s="158">
        <v>46176</v>
      </c>
      <c r="C503" s="104" t="str">
        <f t="shared" si="10"/>
        <v>2026年6月</v>
      </c>
      <c r="D503" s="104" t="s">
        <v>11</v>
      </c>
      <c r="E503" s="159"/>
      <c r="F503" s="104" t="s">
        <v>1006</v>
      </c>
      <c r="G503" s="195" t="s">
        <v>1007</v>
      </c>
      <c r="H503" s="40" t="s">
        <v>52</v>
      </c>
      <c r="I503" s="155" t="s">
        <v>2640</v>
      </c>
      <c r="J503" s="109" t="s">
        <v>82</v>
      </c>
      <c r="K503" s="160"/>
      <c r="L503" s="161" t="s">
        <v>1570</v>
      </c>
      <c r="M503" s="160" t="s">
        <v>2641</v>
      </c>
      <c r="N503" s="160" t="s">
        <v>2642</v>
      </c>
      <c r="O503" s="209">
        <v>37980.12</v>
      </c>
      <c r="P503" s="160" t="s">
        <v>149</v>
      </c>
      <c r="Q503" s="104" t="s">
        <v>7</v>
      </c>
      <c r="R503" s="162" t="s">
        <v>685</v>
      </c>
      <c r="S503" s="162" t="s">
        <v>2643</v>
      </c>
      <c r="T503" s="160"/>
      <c r="U503" s="160"/>
      <c r="V503" s="160"/>
      <c r="W503" s="160"/>
      <c r="X503" s="160"/>
      <c r="Y503" s="160"/>
      <c r="Z503" s="160"/>
      <c r="AA503" s="160"/>
      <c r="AB503" s="160"/>
      <c r="AC503" s="160"/>
      <c r="AD503" s="160"/>
    </row>
    <row r="504" s="13" customFormat="1" ht="14" spans="1:30">
      <c r="A504" s="6" t="s">
        <v>872</v>
      </c>
      <c r="B504" s="158">
        <v>46177</v>
      </c>
      <c r="C504" s="104" t="str">
        <f t="shared" si="10"/>
        <v>2026年6月</v>
      </c>
      <c r="D504" s="104" t="s">
        <v>11</v>
      </c>
      <c r="E504" s="159"/>
      <c r="F504" s="104" t="s">
        <v>1006</v>
      </c>
      <c r="G504" s="195" t="s">
        <v>1007</v>
      </c>
      <c r="H504" s="40" t="s">
        <v>52</v>
      </c>
      <c r="I504" s="155" t="s">
        <v>2644</v>
      </c>
      <c r="J504" s="109" t="s">
        <v>82</v>
      </c>
      <c r="K504" s="160"/>
      <c r="L504" s="161" t="s">
        <v>1570</v>
      </c>
      <c r="M504" s="160" t="s">
        <v>2641</v>
      </c>
      <c r="N504" s="160" t="s">
        <v>2642</v>
      </c>
      <c r="O504" s="209">
        <v>15501.2</v>
      </c>
      <c r="P504" s="160" t="s">
        <v>149</v>
      </c>
      <c r="Q504" s="104" t="s">
        <v>7</v>
      </c>
      <c r="R504" s="162"/>
      <c r="S504" s="162" t="s">
        <v>2645</v>
      </c>
      <c r="T504" s="160"/>
      <c r="U504" s="160"/>
      <c r="V504" s="160"/>
      <c r="W504" s="160"/>
      <c r="X504" s="160"/>
      <c r="Y504" s="160"/>
      <c r="Z504" s="160"/>
      <c r="AA504" s="160"/>
      <c r="AB504" s="160"/>
      <c r="AC504" s="160"/>
      <c r="AD504" s="160"/>
    </row>
    <row r="505" s="13" customFormat="1" ht="14" spans="1:30">
      <c r="A505" s="6" t="s">
        <v>872</v>
      </c>
      <c r="B505" s="158">
        <v>46177</v>
      </c>
      <c r="C505" s="104" t="str">
        <f t="shared" si="10"/>
        <v>2026年6月</v>
      </c>
      <c r="D505" s="104" t="s">
        <v>12</v>
      </c>
      <c r="E505" s="159"/>
      <c r="F505" s="104" t="s">
        <v>1006</v>
      </c>
      <c r="G505" s="195" t="s">
        <v>1007</v>
      </c>
      <c r="H505" s="40" t="s">
        <v>53</v>
      </c>
      <c r="I505" s="155" t="s">
        <v>2646</v>
      </c>
      <c r="J505" s="109" t="s">
        <v>82</v>
      </c>
      <c r="K505" s="160" t="s">
        <v>2647</v>
      </c>
      <c r="L505" s="161" t="s">
        <v>2648</v>
      </c>
      <c r="M505" s="160" t="s">
        <v>2649</v>
      </c>
      <c r="N505" s="160" t="s">
        <v>2649</v>
      </c>
      <c r="O505" s="211">
        <v>1000</v>
      </c>
      <c r="P505" s="160" t="s">
        <v>173</v>
      </c>
      <c r="Q505" s="104" t="s">
        <v>7</v>
      </c>
      <c r="R505" s="162" t="s">
        <v>2650</v>
      </c>
      <c r="S505" s="162"/>
      <c r="T505" s="160"/>
      <c r="U505" s="160"/>
      <c r="V505" s="160"/>
      <c r="W505" s="160"/>
      <c r="X505" s="160"/>
      <c r="Y505" s="160"/>
      <c r="Z505" s="160"/>
      <c r="AA505" s="160"/>
      <c r="AB505" s="160"/>
      <c r="AC505" s="160"/>
      <c r="AD505" s="160"/>
    </row>
    <row r="506" s="13" customFormat="1" ht="14" spans="1:30">
      <c r="A506" s="6" t="s">
        <v>142</v>
      </c>
      <c r="B506" s="158">
        <v>46177</v>
      </c>
      <c r="C506" s="104" t="str">
        <f t="shared" si="10"/>
        <v>2026年6月</v>
      </c>
      <c r="D506" s="104" t="s">
        <v>12</v>
      </c>
      <c r="E506" s="159"/>
      <c r="F506" s="104" t="s">
        <v>1029</v>
      </c>
      <c r="G506" s="195" t="s">
        <v>1007</v>
      </c>
      <c r="H506" s="40" t="s">
        <v>44</v>
      </c>
      <c r="I506" s="155" t="s">
        <v>2651</v>
      </c>
      <c r="J506" s="109" t="s">
        <v>82</v>
      </c>
      <c r="K506" s="160"/>
      <c r="L506" s="161" t="s">
        <v>2406</v>
      </c>
      <c r="M506" s="160" t="s">
        <v>2407</v>
      </c>
      <c r="N506" s="160" t="s">
        <v>2346</v>
      </c>
      <c r="O506" s="187">
        <v>500000</v>
      </c>
      <c r="P506" s="160" t="s">
        <v>1466</v>
      </c>
      <c r="Q506" s="104" t="s">
        <v>7</v>
      </c>
      <c r="R506" s="162"/>
      <c r="S506" s="162"/>
      <c r="T506" s="160"/>
      <c r="U506" s="160"/>
      <c r="V506" s="160"/>
      <c r="W506" s="160"/>
      <c r="X506" s="160"/>
      <c r="Y506" s="160"/>
      <c r="Z506" s="160"/>
      <c r="AA506" s="160"/>
      <c r="AB506" s="160"/>
      <c r="AC506" s="160"/>
      <c r="AD506" s="160"/>
    </row>
    <row r="507" s="13" customFormat="1" ht="14" spans="1:30">
      <c r="A507" s="6" t="s">
        <v>142</v>
      </c>
      <c r="B507" s="158">
        <v>46178</v>
      </c>
      <c r="C507" s="104" t="str">
        <f t="shared" si="10"/>
        <v>2026年6月</v>
      </c>
      <c r="D507" s="104" t="s">
        <v>12</v>
      </c>
      <c r="E507" s="159"/>
      <c r="F507" s="104" t="s">
        <v>1029</v>
      </c>
      <c r="G507" s="195" t="s">
        <v>1007</v>
      </c>
      <c r="H507" s="40" t="s">
        <v>44</v>
      </c>
      <c r="I507" s="155" t="s">
        <v>2652</v>
      </c>
      <c r="J507" s="109" t="s">
        <v>82</v>
      </c>
      <c r="K507" s="161" t="s">
        <v>2653</v>
      </c>
      <c r="L507" s="161" t="s">
        <v>2511</v>
      </c>
      <c r="M507" s="160" t="s">
        <v>2512</v>
      </c>
      <c r="N507" s="162" t="s">
        <v>2513</v>
      </c>
      <c r="O507" s="187">
        <v>126552</v>
      </c>
      <c r="P507" s="160" t="s">
        <v>1466</v>
      </c>
      <c r="Q507" s="104" t="s">
        <v>7</v>
      </c>
      <c r="R507" s="162"/>
      <c r="S507" s="162"/>
      <c r="T507" s="160"/>
      <c r="U507" s="160"/>
      <c r="V507" s="160"/>
      <c r="W507" s="160"/>
      <c r="X507" s="160"/>
      <c r="Y507" s="160"/>
      <c r="Z507" s="160"/>
      <c r="AA507" s="160"/>
      <c r="AB507" s="160"/>
      <c r="AC507" s="160"/>
      <c r="AD507" s="160"/>
    </row>
    <row r="508" s="13" customFormat="1" ht="14" spans="1:30">
      <c r="A508" s="6" t="s">
        <v>872</v>
      </c>
      <c r="B508" s="158">
        <v>46178</v>
      </c>
      <c r="C508" s="104" t="str">
        <f t="shared" si="10"/>
        <v>2026年6月</v>
      </c>
      <c r="D508" s="104" t="s">
        <v>11</v>
      </c>
      <c r="E508" s="159"/>
      <c r="F508" s="104" t="s">
        <v>1006</v>
      </c>
      <c r="G508" s="195" t="s">
        <v>1011</v>
      </c>
      <c r="H508" s="40" t="s">
        <v>52</v>
      </c>
      <c r="I508" s="155" t="s">
        <v>2654</v>
      </c>
      <c r="J508" s="109" t="s">
        <v>82</v>
      </c>
      <c r="K508" s="161" t="s">
        <v>2655</v>
      </c>
      <c r="L508" s="161" t="s">
        <v>1570</v>
      </c>
      <c r="M508" s="160" t="s">
        <v>1720</v>
      </c>
      <c r="N508" s="160" t="s">
        <v>2642</v>
      </c>
      <c r="O508" s="187">
        <v>20000</v>
      </c>
      <c r="P508" s="160" t="s">
        <v>149</v>
      </c>
      <c r="Q508" s="104" t="s">
        <v>7</v>
      </c>
      <c r="R508" s="162"/>
      <c r="S508" s="162" t="s">
        <v>2645</v>
      </c>
      <c r="T508" s="160"/>
      <c r="U508" s="160"/>
      <c r="V508" s="160"/>
      <c r="W508" s="160"/>
      <c r="X508" s="160"/>
      <c r="Y508" s="160"/>
      <c r="Z508" s="160"/>
      <c r="AA508" s="160"/>
      <c r="AB508" s="160"/>
      <c r="AC508" s="160"/>
      <c r="AD508" s="160"/>
    </row>
    <row r="509" s="13" customFormat="1" ht="14" spans="1:30">
      <c r="A509" s="6" t="s">
        <v>142</v>
      </c>
      <c r="B509" s="158">
        <v>46181</v>
      </c>
      <c r="C509" s="104" t="str">
        <f t="shared" si="10"/>
        <v>2026年6月</v>
      </c>
      <c r="D509" s="104" t="s">
        <v>10</v>
      </c>
      <c r="E509" s="159"/>
      <c r="F509" s="104" t="s">
        <v>1006</v>
      </c>
      <c r="G509" s="195" t="s">
        <v>1007</v>
      </c>
      <c r="H509" s="40" t="s">
        <v>40</v>
      </c>
      <c r="I509" s="155" t="s">
        <v>2656</v>
      </c>
      <c r="J509" s="109" t="s">
        <v>82</v>
      </c>
      <c r="K509" s="160"/>
      <c r="L509" s="161" t="s">
        <v>2657</v>
      </c>
      <c r="M509" s="160" t="s">
        <v>2658</v>
      </c>
      <c r="N509" s="160" t="s">
        <v>2659</v>
      </c>
      <c r="O509" s="187">
        <v>53.29</v>
      </c>
      <c r="P509" s="160" t="s">
        <v>149</v>
      </c>
      <c r="Q509" s="104" t="s">
        <v>105</v>
      </c>
      <c r="R509" s="162"/>
      <c r="S509" s="162"/>
      <c r="T509" s="160"/>
      <c r="U509" s="160"/>
      <c r="V509" s="160"/>
      <c r="W509" s="160"/>
      <c r="X509" s="160"/>
      <c r="Y509" s="160"/>
      <c r="Z509" s="160"/>
      <c r="AA509" s="160"/>
      <c r="AB509" s="160"/>
      <c r="AC509" s="160"/>
      <c r="AD509" s="160"/>
    </row>
    <row r="510" s="13" customFormat="1" ht="14" spans="1:30">
      <c r="A510" s="6" t="s">
        <v>872</v>
      </c>
      <c r="B510" s="158">
        <v>46181</v>
      </c>
      <c r="C510" s="104" t="str">
        <f t="shared" si="10"/>
        <v>2026年6月</v>
      </c>
      <c r="D510" s="104" t="s">
        <v>10</v>
      </c>
      <c r="E510" s="159"/>
      <c r="F510" s="104" t="s">
        <v>1006</v>
      </c>
      <c r="G510" s="195" t="s">
        <v>1007</v>
      </c>
      <c r="H510" s="40" t="s">
        <v>40</v>
      </c>
      <c r="I510" s="217" t="s">
        <v>2660</v>
      </c>
      <c r="J510" s="109" t="s">
        <v>787</v>
      </c>
      <c r="K510" s="160"/>
      <c r="L510" s="161" t="s">
        <v>2661</v>
      </c>
      <c r="M510" s="160" t="s">
        <v>2662</v>
      </c>
      <c r="N510" s="160" t="s">
        <v>2663</v>
      </c>
      <c r="O510" s="187">
        <v>10</v>
      </c>
      <c r="P510" s="160" t="s">
        <v>149</v>
      </c>
      <c r="Q510" s="104" t="s">
        <v>105</v>
      </c>
      <c r="R510" s="162" t="s">
        <v>2664</v>
      </c>
      <c r="S510" s="162"/>
      <c r="T510" s="160"/>
      <c r="U510" s="160"/>
      <c r="V510" s="160"/>
      <c r="W510" s="160"/>
      <c r="X510" s="160"/>
      <c r="Y510" s="160"/>
      <c r="Z510" s="160"/>
      <c r="AA510" s="160"/>
      <c r="AB510" s="160"/>
      <c r="AC510" s="160"/>
      <c r="AD510" s="160"/>
    </row>
    <row r="511" s="13" customFormat="1" ht="14" spans="1:30">
      <c r="A511" s="6" t="s">
        <v>872</v>
      </c>
      <c r="B511" s="158">
        <v>46182</v>
      </c>
      <c r="C511" s="104" t="str">
        <f t="shared" si="10"/>
        <v>2026年6月</v>
      </c>
      <c r="D511" s="104" t="s">
        <v>10</v>
      </c>
      <c r="E511" s="159"/>
      <c r="F511" s="104" t="s">
        <v>1029</v>
      </c>
      <c r="G511" s="195" t="s">
        <v>1007</v>
      </c>
      <c r="H511" s="40" t="s">
        <v>39</v>
      </c>
      <c r="I511" s="155" t="s">
        <v>2665</v>
      </c>
      <c r="J511" s="109" t="s">
        <v>82</v>
      </c>
      <c r="K511" s="161" t="s">
        <v>2666</v>
      </c>
      <c r="L511" s="161" t="s">
        <v>2667</v>
      </c>
      <c r="M511" s="160" t="s">
        <v>2668</v>
      </c>
      <c r="N511" s="160" t="s">
        <v>2669</v>
      </c>
      <c r="O511" s="187">
        <v>50</v>
      </c>
      <c r="P511" s="160" t="s">
        <v>173</v>
      </c>
      <c r="Q511" s="104" t="s">
        <v>105</v>
      </c>
      <c r="R511" s="162" t="s">
        <v>2670</v>
      </c>
      <c r="S511" s="162"/>
      <c r="T511" s="160"/>
      <c r="U511" s="160"/>
      <c r="V511" s="160"/>
      <c r="W511" s="160"/>
      <c r="X511" s="160"/>
      <c r="Y511" s="160"/>
      <c r="Z511" s="160"/>
      <c r="AA511" s="160"/>
      <c r="AB511" s="160"/>
      <c r="AC511" s="160"/>
      <c r="AD511" s="160"/>
    </row>
    <row r="512" s="13" customFormat="1" ht="14" spans="1:30">
      <c r="A512" s="6" t="s">
        <v>142</v>
      </c>
      <c r="B512" s="158">
        <v>46183</v>
      </c>
      <c r="C512" s="104" t="str">
        <f t="shared" si="10"/>
        <v>2026年6月</v>
      </c>
      <c r="D512" s="104" t="s">
        <v>10</v>
      </c>
      <c r="E512" s="159"/>
      <c r="F512" s="104" t="s">
        <v>1029</v>
      </c>
      <c r="G512" s="195" t="s">
        <v>1011</v>
      </c>
      <c r="H512" s="40" t="s">
        <v>44</v>
      </c>
      <c r="I512" s="155" t="s">
        <v>2671</v>
      </c>
      <c r="J512" s="109" t="s">
        <v>290</v>
      </c>
      <c r="K512" s="161" t="s">
        <v>2672</v>
      </c>
      <c r="L512" s="161" t="s">
        <v>2673</v>
      </c>
      <c r="M512" s="160" t="s">
        <v>2674</v>
      </c>
      <c r="N512" s="160" t="s">
        <v>2675</v>
      </c>
      <c r="O512" s="187">
        <v>42908574</v>
      </c>
      <c r="P512" s="160" t="s">
        <v>1172</v>
      </c>
      <c r="Q512" s="104" t="s">
        <v>7</v>
      </c>
      <c r="R512" s="162"/>
      <c r="S512" s="162"/>
      <c r="T512" s="160"/>
      <c r="U512" s="160"/>
      <c r="V512" s="160"/>
      <c r="W512" s="160"/>
      <c r="X512" s="160"/>
      <c r="Y512" s="160"/>
      <c r="Z512" s="160"/>
      <c r="AA512" s="160"/>
      <c r="AB512" s="160"/>
      <c r="AC512" s="160"/>
      <c r="AD512" s="160"/>
    </row>
    <row r="513" s="13" customFormat="1" ht="14" spans="1:30">
      <c r="A513" s="6" t="s">
        <v>872</v>
      </c>
      <c r="B513" s="158">
        <v>46183</v>
      </c>
      <c r="C513" s="104" t="str">
        <f t="shared" si="10"/>
        <v>2026年6月</v>
      </c>
      <c r="D513" s="104" t="s">
        <v>11</v>
      </c>
      <c r="E513" s="159"/>
      <c r="F513" s="104" t="s">
        <v>1006</v>
      </c>
      <c r="G513" s="195" t="s">
        <v>1007</v>
      </c>
      <c r="H513" s="40" t="s">
        <v>39</v>
      </c>
      <c r="I513" s="155" t="s">
        <v>2676</v>
      </c>
      <c r="J513" s="109" t="s">
        <v>82</v>
      </c>
      <c r="K513" s="160"/>
      <c r="L513" s="160" t="s">
        <v>1198</v>
      </c>
      <c r="M513" s="160" t="s">
        <v>2532</v>
      </c>
      <c r="N513" s="160" t="s">
        <v>1974</v>
      </c>
      <c r="O513" s="211">
        <v>36735</v>
      </c>
      <c r="P513" s="160" t="s">
        <v>173</v>
      </c>
      <c r="Q513" s="104" t="s">
        <v>105</v>
      </c>
      <c r="R513" s="162"/>
      <c r="S513" s="162"/>
      <c r="T513" s="160"/>
      <c r="U513" s="160"/>
      <c r="V513" s="160"/>
      <c r="W513" s="160"/>
      <c r="X513" s="160"/>
      <c r="Y513" s="160"/>
      <c r="Z513" s="160"/>
      <c r="AA513" s="160"/>
      <c r="AB513" s="160"/>
      <c r="AC513" s="160"/>
      <c r="AD513" s="160"/>
    </row>
    <row r="514" s="13" customFormat="1" ht="14" spans="1:30">
      <c r="A514" s="6" t="s">
        <v>142</v>
      </c>
      <c r="B514" s="158">
        <v>46184</v>
      </c>
      <c r="C514" s="104" t="str">
        <f t="shared" si="10"/>
        <v>2026年6月</v>
      </c>
      <c r="D514" s="104" t="s">
        <v>11</v>
      </c>
      <c r="E514" s="159"/>
      <c r="F514" s="104" t="s">
        <v>1029</v>
      </c>
      <c r="G514" s="195" t="s">
        <v>1007</v>
      </c>
      <c r="H514" s="40" t="s">
        <v>39</v>
      </c>
      <c r="I514" s="217" t="s">
        <v>2677</v>
      </c>
      <c r="J514" s="109" t="s">
        <v>82</v>
      </c>
      <c r="K514" s="160"/>
      <c r="L514" s="228" t="s">
        <v>2678</v>
      </c>
      <c r="M514" s="160" t="s">
        <v>2679</v>
      </c>
      <c r="N514" s="13" t="s">
        <v>2680</v>
      </c>
      <c r="O514" s="13">
        <v>39880</v>
      </c>
      <c r="P514" s="160" t="s">
        <v>173</v>
      </c>
      <c r="Q514" s="104" t="s">
        <v>7</v>
      </c>
      <c r="R514" s="162"/>
      <c r="S514" s="162"/>
      <c r="T514" s="160"/>
      <c r="U514" s="160"/>
      <c r="V514" s="160"/>
      <c r="W514" s="160"/>
      <c r="X514" s="160"/>
      <c r="Y514" s="160"/>
      <c r="Z514" s="160"/>
      <c r="AA514" s="160"/>
      <c r="AB514" s="160"/>
      <c r="AC514" s="160"/>
      <c r="AD514" s="160"/>
    </row>
    <row r="515" s="13" customFormat="1" ht="14" spans="1:30">
      <c r="A515" s="6" t="s">
        <v>142</v>
      </c>
      <c r="B515" s="158">
        <v>46184</v>
      </c>
      <c r="C515" s="104" t="str">
        <f t="shared" si="10"/>
        <v>2026年6月</v>
      </c>
      <c r="D515" s="104" t="s">
        <v>10</v>
      </c>
      <c r="E515" s="159"/>
      <c r="F515" s="104" t="s">
        <v>1006</v>
      </c>
      <c r="G515" s="195" t="s">
        <v>1007</v>
      </c>
      <c r="H515" s="40" t="s">
        <v>40</v>
      </c>
      <c r="I515" s="155" t="s">
        <v>2681</v>
      </c>
      <c r="J515" s="109" t="s">
        <v>82</v>
      </c>
      <c r="K515" s="160"/>
      <c r="L515" s="161" t="s">
        <v>2682</v>
      </c>
      <c r="M515" s="160" t="s">
        <v>2683</v>
      </c>
      <c r="N515" s="160" t="s">
        <v>2684</v>
      </c>
      <c r="O515" s="187">
        <v>0.01</v>
      </c>
      <c r="P515" s="160" t="s">
        <v>139</v>
      </c>
      <c r="Q515" s="104" t="s">
        <v>105</v>
      </c>
      <c r="R515" s="162"/>
      <c r="S515" s="162"/>
      <c r="T515" s="160"/>
      <c r="U515" s="160"/>
      <c r="V515" s="160"/>
      <c r="W515" s="160"/>
      <c r="X515" s="160"/>
      <c r="Y515" s="160"/>
      <c r="Z515" s="160"/>
      <c r="AA515" s="160"/>
      <c r="AB515" s="160"/>
      <c r="AC515" s="160"/>
      <c r="AD515" s="160"/>
    </row>
    <row r="516" s="13" customFormat="1" ht="14" spans="1:30">
      <c r="A516" s="6" t="s">
        <v>872</v>
      </c>
      <c r="B516" s="158">
        <v>46183</v>
      </c>
      <c r="C516" s="104" t="str">
        <f t="shared" si="10"/>
        <v>2026年6月</v>
      </c>
      <c r="D516" s="104" t="s">
        <v>10</v>
      </c>
      <c r="E516" s="159"/>
      <c r="F516" s="104" t="s">
        <v>1006</v>
      </c>
      <c r="G516" s="195" t="s">
        <v>1007</v>
      </c>
      <c r="H516" s="40" t="s">
        <v>54</v>
      </c>
      <c r="I516" s="155" t="s">
        <v>2685</v>
      </c>
      <c r="J516" s="109" t="s">
        <v>82</v>
      </c>
      <c r="K516" s="160"/>
      <c r="L516" s="161" t="s">
        <v>2667</v>
      </c>
      <c r="M516" s="160" t="s">
        <v>1027</v>
      </c>
      <c r="N516" s="160" t="s">
        <v>2686</v>
      </c>
      <c r="O516" s="209">
        <v>17256.64</v>
      </c>
      <c r="P516" s="160" t="s">
        <v>2687</v>
      </c>
      <c r="Q516" s="104" t="s">
        <v>7</v>
      </c>
      <c r="R516" s="162" t="s">
        <v>2670</v>
      </c>
      <c r="S516" s="162"/>
      <c r="T516" s="229">
        <v>46188</v>
      </c>
      <c r="U516" s="229">
        <v>46188</v>
      </c>
      <c r="V516" s="160"/>
      <c r="W516" s="160"/>
      <c r="X516" s="160"/>
      <c r="Y516" s="160"/>
      <c r="Z516" s="160"/>
      <c r="AA516" s="160"/>
      <c r="AB516" s="160"/>
      <c r="AC516" s="160"/>
      <c r="AD516" s="160"/>
    </row>
    <row r="517" s="13" customFormat="1" ht="14" spans="1:30">
      <c r="A517" s="6" t="s">
        <v>142</v>
      </c>
      <c r="B517" s="158">
        <v>46185</v>
      </c>
      <c r="C517" s="104" t="str">
        <f t="shared" si="10"/>
        <v>2026年6月</v>
      </c>
      <c r="D517" s="104" t="s">
        <v>11</v>
      </c>
      <c r="E517" s="159"/>
      <c r="F517" s="104" t="s">
        <v>1006</v>
      </c>
      <c r="G517" s="195" t="s">
        <v>1007</v>
      </c>
      <c r="H517" s="40" t="s">
        <v>39</v>
      </c>
      <c r="I517" s="155" t="s">
        <v>2688</v>
      </c>
      <c r="J517" s="109" t="s">
        <v>787</v>
      </c>
      <c r="K517" s="160" t="s">
        <v>2689</v>
      </c>
      <c r="L517" s="161" t="s">
        <v>2690</v>
      </c>
      <c r="M517" s="160" t="s">
        <v>2691</v>
      </c>
      <c r="N517" s="160" t="s">
        <v>2692</v>
      </c>
      <c r="O517" s="187">
        <v>610</v>
      </c>
      <c r="P517" s="160" t="s">
        <v>173</v>
      </c>
      <c r="Q517" s="104" t="s">
        <v>7</v>
      </c>
      <c r="R517" s="162"/>
      <c r="S517" s="162"/>
      <c r="T517" s="160"/>
      <c r="U517" s="160"/>
      <c r="V517" s="160"/>
      <c r="W517" s="160"/>
      <c r="X517" s="160"/>
      <c r="Y517" s="160"/>
      <c r="Z517" s="160"/>
      <c r="AA517" s="160"/>
      <c r="AB517" s="160"/>
      <c r="AC517" s="160"/>
      <c r="AD517" s="160"/>
    </row>
    <row r="518" s="13" customFormat="1" ht="14" spans="1:30">
      <c r="A518" s="6" t="s">
        <v>142</v>
      </c>
      <c r="B518" s="158">
        <v>46185</v>
      </c>
      <c r="C518" s="104" t="str">
        <f t="shared" si="10"/>
        <v>2026年6月</v>
      </c>
      <c r="D518" s="104" t="s">
        <v>10</v>
      </c>
      <c r="E518" s="159"/>
      <c r="F518" s="104" t="s">
        <v>1029</v>
      </c>
      <c r="G518" s="195" t="s">
        <v>1007</v>
      </c>
      <c r="H518" s="40" t="s">
        <v>46</v>
      </c>
      <c r="I518" s="155" t="s">
        <v>2693</v>
      </c>
      <c r="J518" s="109" t="s">
        <v>82</v>
      </c>
      <c r="K518" s="161" t="s">
        <v>2694</v>
      </c>
      <c r="L518" s="161" t="s">
        <v>2695</v>
      </c>
      <c r="M518" s="160" t="s">
        <v>2696</v>
      </c>
      <c r="N518" s="160" t="s">
        <v>2697</v>
      </c>
      <c r="O518" s="187">
        <v>214961.42</v>
      </c>
      <c r="P518" s="160" t="s">
        <v>1062</v>
      </c>
      <c r="Q518" s="104" t="s">
        <v>7</v>
      </c>
      <c r="R518" s="162"/>
      <c r="S518" s="162"/>
      <c r="T518" s="160"/>
      <c r="U518" s="160"/>
      <c r="V518" s="160"/>
      <c r="W518" s="160"/>
      <c r="X518" s="160"/>
      <c r="Y518" s="160"/>
      <c r="Z518" s="160"/>
      <c r="AA518" s="160"/>
      <c r="AB518" s="160"/>
      <c r="AC518" s="160"/>
      <c r="AD518" s="160"/>
    </row>
    <row r="519" s="13" customFormat="1" ht="14" spans="1:30">
      <c r="A519" s="6" t="s">
        <v>872</v>
      </c>
      <c r="B519" s="158">
        <v>46185</v>
      </c>
      <c r="C519" s="104" t="str">
        <f t="shared" si="10"/>
        <v>2026年6月</v>
      </c>
      <c r="D519" s="104" t="s">
        <v>12</v>
      </c>
      <c r="E519" s="159"/>
      <c r="F519" s="104" t="s">
        <v>1006</v>
      </c>
      <c r="G519" s="195" t="s">
        <v>1007</v>
      </c>
      <c r="H519" s="40" t="s">
        <v>39</v>
      </c>
      <c r="I519" s="155" t="s">
        <v>2698</v>
      </c>
      <c r="J519" s="109" t="s">
        <v>82</v>
      </c>
      <c r="K519" s="160"/>
      <c r="L519" s="161" t="s">
        <v>2699</v>
      </c>
      <c r="M519" s="160" t="s">
        <v>2700</v>
      </c>
      <c r="N519" s="160" t="s">
        <v>2700</v>
      </c>
      <c r="O519" s="187">
        <v>124000</v>
      </c>
      <c r="P519" s="160" t="s">
        <v>173</v>
      </c>
      <c r="Q519" s="104" t="s">
        <v>7</v>
      </c>
      <c r="R519" s="162" t="s">
        <v>2701</v>
      </c>
      <c r="S519" s="162"/>
      <c r="T519" s="160"/>
      <c r="U519" s="160"/>
      <c r="V519" s="160"/>
      <c r="W519" s="160"/>
      <c r="X519" s="160"/>
      <c r="Y519" s="160"/>
      <c r="Z519" s="160"/>
      <c r="AA519" s="160"/>
      <c r="AB519" s="160"/>
      <c r="AC519" s="160"/>
      <c r="AD519" s="160"/>
    </row>
    <row r="520" s="13" customFormat="1" ht="26" spans="1:30">
      <c r="A520" s="6" t="s">
        <v>872</v>
      </c>
      <c r="B520" s="158">
        <v>46188</v>
      </c>
      <c r="C520" s="104" t="str">
        <f t="shared" si="10"/>
        <v>2026年6月</v>
      </c>
      <c r="D520" s="104" t="s">
        <v>10</v>
      </c>
      <c r="E520" s="159"/>
      <c r="F520" s="104" t="s">
        <v>1006</v>
      </c>
      <c r="G520" s="195" t="s">
        <v>1007</v>
      </c>
      <c r="H520" s="40" t="s">
        <v>53</v>
      </c>
      <c r="I520" s="225" t="s">
        <v>2702</v>
      </c>
      <c r="J520" s="109" t="s">
        <v>82</v>
      </c>
      <c r="K520" s="160"/>
      <c r="L520" s="161" t="s">
        <v>2703</v>
      </c>
      <c r="M520" s="160" t="s">
        <v>2704</v>
      </c>
      <c r="N520" s="160" t="s">
        <v>2705</v>
      </c>
      <c r="O520" s="187">
        <v>0.1</v>
      </c>
      <c r="P520" s="160" t="s">
        <v>173</v>
      </c>
      <c r="Q520" s="104" t="s">
        <v>7</v>
      </c>
      <c r="R520" s="162" t="s">
        <v>2706</v>
      </c>
      <c r="S520" s="162" t="s">
        <v>2707</v>
      </c>
      <c r="T520" s="229">
        <v>46196</v>
      </c>
      <c r="U520" s="229">
        <v>46197</v>
      </c>
      <c r="V520" s="229">
        <v>46199</v>
      </c>
      <c r="W520" s="229">
        <v>46199</v>
      </c>
      <c r="X520" s="160"/>
      <c r="Y520" s="160"/>
      <c r="Z520" s="160"/>
      <c r="AA520" s="160"/>
      <c r="AB520" s="160"/>
      <c r="AC520" s="160"/>
      <c r="AD520" s="160"/>
    </row>
    <row r="521" s="13" customFormat="1" ht="14" spans="1:30">
      <c r="A521" s="6" t="s">
        <v>872</v>
      </c>
      <c r="B521" s="158">
        <v>46185</v>
      </c>
      <c r="C521" s="104" t="str">
        <f t="shared" si="10"/>
        <v>2026年6月</v>
      </c>
      <c r="D521" s="104" t="s">
        <v>10</v>
      </c>
      <c r="E521" s="159"/>
      <c r="F521" s="104" t="s">
        <v>1029</v>
      </c>
      <c r="G521" s="195" t="s">
        <v>1007</v>
      </c>
      <c r="H521" s="40" t="s">
        <v>51</v>
      </c>
      <c r="I521" s="13" t="s">
        <v>2708</v>
      </c>
      <c r="J521" s="109" t="s">
        <v>422</v>
      </c>
      <c r="K521" s="161" t="s">
        <v>2709</v>
      </c>
      <c r="L521" s="161" t="s">
        <v>2079</v>
      </c>
      <c r="M521" s="160" t="s">
        <v>1817</v>
      </c>
      <c r="N521" s="160" t="s">
        <v>2710</v>
      </c>
      <c r="O521" s="187">
        <v>1390490</v>
      </c>
      <c r="P521" s="160" t="s">
        <v>173</v>
      </c>
      <c r="Q521" s="104" t="s">
        <v>7</v>
      </c>
      <c r="R521" s="162" t="s">
        <v>678</v>
      </c>
      <c r="S521" s="162"/>
      <c r="T521" s="160"/>
      <c r="U521" s="160"/>
      <c r="V521" s="160"/>
      <c r="W521" s="160"/>
      <c r="X521" s="160"/>
      <c r="Y521" s="160"/>
      <c r="Z521" s="160"/>
      <c r="AA521" s="160"/>
      <c r="AB521" s="160"/>
      <c r="AC521" s="160"/>
      <c r="AD521" s="160"/>
    </row>
    <row r="522" s="13" customFormat="1" ht="14" spans="1:30">
      <c r="A522" s="6" t="s">
        <v>142</v>
      </c>
      <c r="B522" s="158">
        <v>46188</v>
      </c>
      <c r="C522" s="104" t="str">
        <f t="shared" si="10"/>
        <v>2026年6月</v>
      </c>
      <c r="D522" s="104" t="s">
        <v>11</v>
      </c>
      <c r="E522" s="159"/>
      <c r="F522" s="104" t="s">
        <v>1006</v>
      </c>
      <c r="G522" s="195" t="s">
        <v>1007</v>
      </c>
      <c r="H522" s="40" t="s">
        <v>39</v>
      </c>
      <c r="I522" s="155" t="s">
        <v>2711</v>
      </c>
      <c r="J522" s="109" t="s">
        <v>82</v>
      </c>
      <c r="K522" s="160"/>
      <c r="L522" s="161" t="s">
        <v>1268</v>
      </c>
      <c r="M522" s="160" t="s">
        <v>1269</v>
      </c>
      <c r="N522" s="160" t="s">
        <v>1270</v>
      </c>
      <c r="O522" s="187">
        <v>89212.88</v>
      </c>
      <c r="P522" s="160" t="s">
        <v>173</v>
      </c>
      <c r="Q522" s="104" t="s">
        <v>105</v>
      </c>
      <c r="R522" s="162"/>
      <c r="S522" s="162"/>
      <c r="T522" s="160"/>
      <c r="U522" s="160"/>
      <c r="V522" s="160"/>
      <c r="W522" s="160"/>
      <c r="X522" s="160"/>
      <c r="Y522" s="160"/>
      <c r="Z522" s="160"/>
      <c r="AA522" s="160"/>
      <c r="AB522" s="160"/>
      <c r="AC522" s="160"/>
      <c r="AD522" s="160"/>
    </row>
    <row r="523" s="13" customFormat="1" ht="14" spans="1:30">
      <c r="A523" s="6" t="s">
        <v>142</v>
      </c>
      <c r="B523" s="158">
        <v>46188</v>
      </c>
      <c r="C523" s="104" t="str">
        <f t="shared" si="10"/>
        <v>2026年6月</v>
      </c>
      <c r="D523" s="104" t="s">
        <v>11</v>
      </c>
      <c r="E523" s="159"/>
      <c r="F523" s="104" t="s">
        <v>1029</v>
      </c>
      <c r="G523" s="195" t="s">
        <v>1007</v>
      </c>
      <c r="H523" s="40" t="s">
        <v>39</v>
      </c>
      <c r="I523" s="155" t="s">
        <v>2712</v>
      </c>
      <c r="J523" s="109" t="s">
        <v>82</v>
      </c>
      <c r="K523" s="160"/>
      <c r="L523" s="230" t="s">
        <v>2678</v>
      </c>
      <c r="M523" s="160" t="s">
        <v>2679</v>
      </c>
      <c r="N523" s="160" t="s">
        <v>2713</v>
      </c>
      <c r="O523" s="187">
        <v>19055</v>
      </c>
      <c r="P523" s="160" t="s">
        <v>173</v>
      </c>
      <c r="Q523" s="104" t="s">
        <v>7</v>
      </c>
      <c r="R523" s="162"/>
      <c r="S523" s="162"/>
      <c r="T523" s="160"/>
      <c r="U523" s="160"/>
      <c r="V523" s="160"/>
      <c r="W523" s="160"/>
      <c r="X523" s="160"/>
      <c r="Y523" s="160"/>
      <c r="Z523" s="160"/>
      <c r="AA523" s="160"/>
      <c r="AB523" s="160"/>
      <c r="AC523" s="160"/>
      <c r="AD523" s="160"/>
    </row>
    <row r="524" s="13" customFormat="1" ht="14" spans="1:30">
      <c r="A524" s="6" t="s">
        <v>872</v>
      </c>
      <c r="B524" s="158">
        <v>46188</v>
      </c>
      <c r="C524" s="104" t="str">
        <f t="shared" si="10"/>
        <v>2026年6月</v>
      </c>
      <c r="D524" s="104" t="s">
        <v>11</v>
      </c>
      <c r="E524" s="159"/>
      <c r="F524" s="104" t="s">
        <v>1029</v>
      </c>
      <c r="G524" s="195" t="s">
        <v>1007</v>
      </c>
      <c r="H524" s="40" t="s">
        <v>39</v>
      </c>
      <c r="I524" s="155" t="s">
        <v>2714</v>
      </c>
      <c r="J524" s="109" t="s">
        <v>82</v>
      </c>
      <c r="K524" s="161" t="s">
        <v>2715</v>
      </c>
      <c r="L524" s="161" t="s">
        <v>2678</v>
      </c>
      <c r="M524" s="160" t="s">
        <v>2716</v>
      </c>
      <c r="N524" s="160" t="s">
        <v>2717</v>
      </c>
      <c r="O524" s="187">
        <v>15711</v>
      </c>
      <c r="P524" s="160" t="s">
        <v>173</v>
      </c>
      <c r="Q524" s="104" t="s">
        <v>7</v>
      </c>
      <c r="R524" s="162" t="s">
        <v>2650</v>
      </c>
      <c r="S524" s="162"/>
      <c r="T524" s="160"/>
      <c r="U524" s="160"/>
      <c r="V524" s="160"/>
      <c r="W524" s="160"/>
      <c r="X524" s="160"/>
      <c r="Y524" s="160"/>
      <c r="Z524" s="160"/>
      <c r="AA524" s="160"/>
      <c r="AB524" s="160"/>
      <c r="AC524" s="160"/>
      <c r="AD524" s="160"/>
    </row>
    <row r="525" s="13" customFormat="1" ht="14" spans="1:30">
      <c r="A525" s="6" t="s">
        <v>872</v>
      </c>
      <c r="B525" s="158">
        <v>46188</v>
      </c>
      <c r="C525" s="104" t="str">
        <f t="shared" si="10"/>
        <v>2026年6月</v>
      </c>
      <c r="D525" s="104" t="s">
        <v>11</v>
      </c>
      <c r="E525" s="159"/>
      <c r="F525" s="104" t="s">
        <v>1029</v>
      </c>
      <c r="G525" s="195" t="s">
        <v>1007</v>
      </c>
      <c r="H525" s="40" t="s">
        <v>39</v>
      </c>
      <c r="I525" s="155" t="s">
        <v>2718</v>
      </c>
      <c r="J525" s="109" t="s">
        <v>82</v>
      </c>
      <c r="K525" s="161" t="s">
        <v>2719</v>
      </c>
      <c r="L525" s="161" t="s">
        <v>2678</v>
      </c>
      <c r="M525" s="160" t="s">
        <v>2716</v>
      </c>
      <c r="N525" s="160" t="s">
        <v>2720</v>
      </c>
      <c r="O525" s="187">
        <v>3800</v>
      </c>
      <c r="P525" s="160" t="s">
        <v>173</v>
      </c>
      <c r="Q525" s="104" t="s">
        <v>7</v>
      </c>
      <c r="R525" s="162"/>
      <c r="S525" s="162"/>
      <c r="T525" s="160"/>
      <c r="U525" s="160"/>
      <c r="V525" s="160"/>
      <c r="W525" s="160"/>
      <c r="X525" s="160"/>
      <c r="Y525" s="160"/>
      <c r="Z525" s="160"/>
      <c r="AA525" s="160"/>
      <c r="AB525" s="160"/>
      <c r="AC525" s="160"/>
      <c r="AD525" s="160"/>
    </row>
    <row r="526" s="13" customFormat="1" ht="14" spans="1:30">
      <c r="A526" s="6" t="s">
        <v>872</v>
      </c>
      <c r="B526" s="158">
        <v>46189</v>
      </c>
      <c r="C526" s="104" t="str">
        <f t="shared" si="10"/>
        <v>2026年6月</v>
      </c>
      <c r="D526" s="104" t="s">
        <v>11</v>
      </c>
      <c r="E526" s="159"/>
      <c r="F526" s="104" t="s">
        <v>1029</v>
      </c>
      <c r="G526" s="195" t="s">
        <v>1007</v>
      </c>
      <c r="H526" s="40" t="s">
        <v>48</v>
      </c>
      <c r="I526" s="155" t="s">
        <v>2721</v>
      </c>
      <c r="J526" s="109" t="s">
        <v>82</v>
      </c>
      <c r="K526" s="228" t="s">
        <v>2722</v>
      </c>
      <c r="L526" s="160" t="s">
        <v>2678</v>
      </c>
      <c r="M526" s="160" t="s">
        <v>2716</v>
      </c>
      <c r="N526" s="160" t="s">
        <v>2723</v>
      </c>
      <c r="O526" s="187">
        <v>124900</v>
      </c>
      <c r="P526" s="160" t="s">
        <v>173</v>
      </c>
      <c r="Q526" s="104" t="s">
        <v>7</v>
      </c>
      <c r="R526" s="162"/>
      <c r="S526" s="162"/>
      <c r="T526" s="160"/>
      <c r="U526" s="160"/>
      <c r="V526" s="160"/>
      <c r="W526" s="160"/>
      <c r="X526" s="160"/>
      <c r="Y526" s="160"/>
      <c r="Z526" s="160"/>
      <c r="AA526" s="160"/>
      <c r="AB526" s="160"/>
      <c r="AC526" s="160"/>
      <c r="AD526" s="160"/>
    </row>
    <row r="527" s="13" customFormat="1" ht="26" spans="1:30">
      <c r="A527" s="6" t="s">
        <v>872</v>
      </c>
      <c r="B527" s="158">
        <v>46190</v>
      </c>
      <c r="C527" s="104" t="str">
        <f t="shared" si="10"/>
        <v>2026年6月</v>
      </c>
      <c r="D527" s="104" t="s">
        <v>11</v>
      </c>
      <c r="E527" s="159"/>
      <c r="F527" s="104" t="s">
        <v>1029</v>
      </c>
      <c r="G527" s="195" t="s">
        <v>1007</v>
      </c>
      <c r="H527" s="40" t="s">
        <v>39</v>
      </c>
      <c r="I527" s="225" t="s">
        <v>2724</v>
      </c>
      <c r="J527" s="109" t="s">
        <v>82</v>
      </c>
      <c r="K527" s="161" t="s">
        <v>2725</v>
      </c>
      <c r="L527" s="160" t="s">
        <v>2678</v>
      </c>
      <c r="M527" s="160" t="s">
        <v>2716</v>
      </c>
      <c r="N527" s="160" t="s">
        <v>2726</v>
      </c>
      <c r="O527" s="187">
        <v>19870</v>
      </c>
      <c r="P527" s="160" t="s">
        <v>173</v>
      </c>
      <c r="Q527" s="104" t="s">
        <v>7</v>
      </c>
      <c r="R527" s="162"/>
      <c r="S527" s="162"/>
      <c r="T527" s="160"/>
      <c r="U527" s="160"/>
      <c r="V527" s="160"/>
      <c r="W527" s="160"/>
      <c r="X527" s="160"/>
      <c r="Y527" s="160"/>
      <c r="Z527" s="160"/>
      <c r="AA527" s="160"/>
      <c r="AB527" s="160"/>
      <c r="AC527" s="160"/>
      <c r="AD527" s="160"/>
    </row>
    <row r="528" s="13" customFormat="1" ht="26" spans="1:30">
      <c r="A528" s="6" t="s">
        <v>2727</v>
      </c>
      <c r="B528" s="158">
        <v>46191</v>
      </c>
      <c r="C528" s="104" t="str">
        <f t="shared" si="10"/>
        <v>2026年6月</v>
      </c>
      <c r="D528" s="104" t="s">
        <v>11</v>
      </c>
      <c r="E528" s="8" t="s">
        <v>2728</v>
      </c>
      <c r="F528" s="104" t="s">
        <v>1029</v>
      </c>
      <c r="G528" s="195" t="s">
        <v>1007</v>
      </c>
      <c r="H528" s="40" t="s">
        <v>48</v>
      </c>
      <c r="I528" s="155" t="s">
        <v>2729</v>
      </c>
      <c r="J528" s="109" t="s">
        <v>787</v>
      </c>
      <c r="K528" s="161" t="s">
        <v>2730</v>
      </c>
      <c r="L528" s="161" t="s">
        <v>2731</v>
      </c>
      <c r="M528" s="160" t="s">
        <v>2732</v>
      </c>
      <c r="N528" s="160" t="s">
        <v>2733</v>
      </c>
      <c r="O528" s="187">
        <v>154615.12</v>
      </c>
      <c r="P528" s="160" t="s">
        <v>173</v>
      </c>
      <c r="Q528" s="104" t="s">
        <v>7</v>
      </c>
      <c r="R528" s="162" t="s">
        <v>2734</v>
      </c>
      <c r="S528" s="162"/>
      <c r="T528" s="160"/>
      <c r="U528" s="160"/>
      <c r="V528" s="160"/>
      <c r="W528" s="160"/>
      <c r="X528" s="160"/>
      <c r="Y528" s="160"/>
      <c r="Z528" s="160"/>
      <c r="AA528" s="160"/>
      <c r="AB528" s="160"/>
      <c r="AC528" s="160"/>
      <c r="AD528" s="160"/>
    </row>
    <row r="529" s="13" customFormat="1" ht="14" spans="1:30">
      <c r="A529" s="6" t="s">
        <v>872</v>
      </c>
      <c r="B529" s="158">
        <v>46191</v>
      </c>
      <c r="C529" s="104" t="str">
        <f t="shared" si="10"/>
        <v>2026年6月</v>
      </c>
      <c r="D529" s="104" t="s">
        <v>12</v>
      </c>
      <c r="E529" s="159"/>
      <c r="F529" s="104" t="s">
        <v>1029</v>
      </c>
      <c r="G529" s="195" t="s">
        <v>1007</v>
      </c>
      <c r="H529" s="40" t="s">
        <v>48</v>
      </c>
      <c r="I529" s="155" t="s">
        <v>2735</v>
      </c>
      <c r="J529" s="109" t="s">
        <v>82</v>
      </c>
      <c r="K529" s="161" t="s">
        <v>2736</v>
      </c>
      <c r="L529" s="161" t="s">
        <v>1342</v>
      </c>
      <c r="M529" s="160" t="s">
        <v>1343</v>
      </c>
      <c r="N529" s="160" t="s">
        <v>2737</v>
      </c>
      <c r="O529" s="187">
        <v>59140.1</v>
      </c>
      <c r="P529" s="160" t="s">
        <v>173</v>
      </c>
      <c r="Q529" s="104" t="s">
        <v>7</v>
      </c>
      <c r="R529" s="162" t="s">
        <v>1509</v>
      </c>
      <c r="S529" s="162"/>
      <c r="T529" s="160"/>
      <c r="U529" s="160"/>
      <c r="V529" s="160"/>
      <c r="W529" s="160"/>
      <c r="X529" s="160"/>
      <c r="Y529" s="160"/>
      <c r="Z529" s="160"/>
      <c r="AA529" s="160"/>
      <c r="AB529" s="160"/>
      <c r="AC529" s="160"/>
      <c r="AD529" s="160"/>
    </row>
    <row r="530" s="13" customFormat="1" ht="14" spans="1:30">
      <c r="A530" s="6" t="s">
        <v>872</v>
      </c>
      <c r="B530" s="158">
        <v>46195</v>
      </c>
      <c r="C530" s="104" t="str">
        <f t="shared" si="10"/>
        <v>2026年6月</v>
      </c>
      <c r="D530" s="104" t="s">
        <v>12</v>
      </c>
      <c r="E530" s="159"/>
      <c r="F530" s="104" t="s">
        <v>1029</v>
      </c>
      <c r="G530" s="195" t="s">
        <v>1007</v>
      </c>
      <c r="H530" s="40" t="s">
        <v>2168</v>
      </c>
      <c r="I530" s="155" t="s">
        <v>2738</v>
      </c>
      <c r="J530" s="109" t="s">
        <v>82</v>
      </c>
      <c r="K530" s="161" t="s">
        <v>2739</v>
      </c>
      <c r="L530" s="161" t="s">
        <v>2447</v>
      </c>
      <c r="M530" s="160" t="s">
        <v>2448</v>
      </c>
      <c r="N530" s="160" t="s">
        <v>2740</v>
      </c>
      <c r="O530" s="187">
        <v>3803833900</v>
      </c>
      <c r="P530" s="160" t="s">
        <v>1037</v>
      </c>
      <c r="Q530" s="104" t="s">
        <v>7</v>
      </c>
      <c r="R530" s="162" t="s">
        <v>2173</v>
      </c>
      <c r="S530" s="162"/>
      <c r="T530" s="160"/>
      <c r="U530" s="160"/>
      <c r="V530" s="160"/>
      <c r="W530" s="160"/>
      <c r="X530" s="160"/>
      <c r="Y530" s="160"/>
      <c r="Z530" s="160"/>
      <c r="AA530" s="160"/>
      <c r="AB530" s="160"/>
      <c r="AC530" s="160"/>
      <c r="AD530" s="160"/>
    </row>
    <row r="531" s="13" customFormat="1" ht="14" spans="1:30">
      <c r="A531" s="6" t="s">
        <v>142</v>
      </c>
      <c r="B531" s="158">
        <v>46195</v>
      </c>
      <c r="C531" s="104" t="str">
        <f t="shared" si="10"/>
        <v>2026年6月</v>
      </c>
      <c r="D531" s="104" t="s">
        <v>11</v>
      </c>
      <c r="E531" s="159"/>
      <c r="F531" s="104" t="s">
        <v>1029</v>
      </c>
      <c r="G531" s="195" t="s">
        <v>1007</v>
      </c>
      <c r="H531" s="40" t="s">
        <v>39</v>
      </c>
      <c r="I531" s="155" t="s">
        <v>2741</v>
      </c>
      <c r="J531" s="109" t="s">
        <v>82</v>
      </c>
      <c r="K531" s="161" t="s">
        <v>2742</v>
      </c>
      <c r="L531" s="161" t="s">
        <v>2678</v>
      </c>
      <c r="M531" s="160" t="s">
        <v>2716</v>
      </c>
      <c r="N531" s="160" t="s">
        <v>2743</v>
      </c>
      <c r="O531" s="187">
        <v>99880</v>
      </c>
      <c r="P531" s="160" t="s">
        <v>173</v>
      </c>
      <c r="Q531" s="104" t="s">
        <v>105</v>
      </c>
      <c r="R531" s="162"/>
      <c r="S531" s="162"/>
      <c r="T531" s="160"/>
      <c r="U531" s="160"/>
      <c r="V531" s="160"/>
      <c r="W531" s="160"/>
      <c r="X531" s="160"/>
      <c r="Y531" s="160"/>
      <c r="Z531" s="160"/>
      <c r="AA531" s="160"/>
      <c r="AB531" s="160"/>
      <c r="AC531" s="160"/>
      <c r="AD531" s="160"/>
    </row>
    <row r="532" s="13" customFormat="1" ht="14" spans="1:30">
      <c r="A532" s="6" t="s">
        <v>872</v>
      </c>
      <c r="B532" s="158">
        <v>46196</v>
      </c>
      <c r="C532" s="104" t="str">
        <f t="shared" si="10"/>
        <v>2026年6月</v>
      </c>
      <c r="D532" s="104" t="s">
        <v>12</v>
      </c>
      <c r="E532" s="159"/>
      <c r="F532" s="104" t="s">
        <v>1029</v>
      </c>
      <c r="G532" s="195" t="s">
        <v>1007</v>
      </c>
      <c r="H532" s="40" t="s">
        <v>44</v>
      </c>
      <c r="I532" s="155" t="s">
        <v>2744</v>
      </c>
      <c r="J532" s="109" t="s">
        <v>82</v>
      </c>
      <c r="K532" s="161" t="s">
        <v>2745</v>
      </c>
      <c r="L532" s="161" t="s">
        <v>2626</v>
      </c>
      <c r="M532" s="160" t="s">
        <v>2627</v>
      </c>
      <c r="N532" s="160" t="s">
        <v>2746</v>
      </c>
      <c r="O532" s="187">
        <v>6700000</v>
      </c>
      <c r="P532" s="160" t="s">
        <v>1367</v>
      </c>
      <c r="Q532" s="104" t="s">
        <v>7</v>
      </c>
      <c r="R532" s="162" t="s">
        <v>2747</v>
      </c>
      <c r="S532" s="162"/>
      <c r="T532" s="229">
        <v>46198</v>
      </c>
      <c r="U532" s="229">
        <v>46198</v>
      </c>
      <c r="V532" s="229">
        <v>46199</v>
      </c>
      <c r="W532" s="229">
        <v>46199</v>
      </c>
      <c r="X532" s="160"/>
      <c r="Y532" s="160"/>
      <c r="Z532" s="160"/>
      <c r="AA532" s="160"/>
      <c r="AB532" s="160"/>
      <c r="AC532" s="160"/>
      <c r="AD532" s="160"/>
    </row>
    <row r="533" s="13" customFormat="1" ht="14" spans="1:30">
      <c r="A533" s="6" t="s">
        <v>142</v>
      </c>
      <c r="B533" s="158">
        <v>46199</v>
      </c>
      <c r="C533" s="104" t="str">
        <f t="shared" si="10"/>
        <v>2026年6月</v>
      </c>
      <c r="D533" s="104" t="s">
        <v>11</v>
      </c>
      <c r="E533" s="159"/>
      <c r="F533" s="104" t="s">
        <v>1029</v>
      </c>
      <c r="G533" s="195" t="s">
        <v>1007</v>
      </c>
      <c r="H533" s="40" t="s">
        <v>48</v>
      </c>
      <c r="I533" s="155" t="s">
        <v>2748</v>
      </c>
      <c r="J533" s="109" t="s">
        <v>290</v>
      </c>
      <c r="K533" s="161" t="s">
        <v>2749</v>
      </c>
      <c r="L533" s="161" t="s">
        <v>2678</v>
      </c>
      <c r="M533" s="160" t="s">
        <v>2716</v>
      </c>
      <c r="N533" s="160" t="s">
        <v>2750</v>
      </c>
      <c r="O533" s="187">
        <v>3865</v>
      </c>
      <c r="P533" s="160" t="s">
        <v>173</v>
      </c>
      <c r="Q533" s="104" t="s">
        <v>7</v>
      </c>
      <c r="R533" s="162"/>
      <c r="S533" s="162"/>
      <c r="T533" s="229">
        <v>46204</v>
      </c>
      <c r="U533" s="160"/>
      <c r="V533" s="160"/>
      <c r="W533" s="160"/>
      <c r="X533" s="160"/>
      <c r="Y533" s="160"/>
      <c r="Z533" s="160"/>
      <c r="AA533" s="160"/>
      <c r="AB533" s="160"/>
      <c r="AC533" s="160"/>
      <c r="AD533" s="160"/>
    </row>
    <row r="534" s="13" customFormat="1" ht="14" spans="1:30">
      <c r="A534" s="6" t="s">
        <v>872</v>
      </c>
      <c r="B534" s="158">
        <v>46199</v>
      </c>
      <c r="C534" s="104" t="str">
        <f t="shared" si="10"/>
        <v>2026年6月</v>
      </c>
      <c r="D534" s="104" t="s">
        <v>11</v>
      </c>
      <c r="E534" s="159"/>
      <c r="F534" s="104" t="s">
        <v>1006</v>
      </c>
      <c r="G534" s="195" t="s">
        <v>1007</v>
      </c>
      <c r="H534" s="40" t="s">
        <v>39</v>
      </c>
      <c r="I534" s="155" t="s">
        <v>2751</v>
      </c>
      <c r="J534" s="109" t="s">
        <v>82</v>
      </c>
      <c r="K534" s="160"/>
      <c r="L534" s="161" t="s">
        <v>2752</v>
      </c>
      <c r="M534" s="160" t="s">
        <v>2753</v>
      </c>
      <c r="N534" s="160" t="s">
        <v>2754</v>
      </c>
      <c r="O534" s="187">
        <v>155.76</v>
      </c>
      <c r="P534" s="160" t="s">
        <v>173</v>
      </c>
      <c r="Q534" s="104" t="s">
        <v>7</v>
      </c>
      <c r="R534" s="162" t="s">
        <v>2755</v>
      </c>
      <c r="S534" s="162"/>
      <c r="T534" s="160"/>
      <c r="U534" s="160"/>
      <c r="V534" s="160"/>
      <c r="W534" s="160"/>
      <c r="X534" s="160"/>
      <c r="Y534" s="160"/>
      <c r="Z534" s="160"/>
      <c r="AA534" s="160"/>
      <c r="AB534" s="160"/>
      <c r="AC534" s="160"/>
      <c r="AD534" s="160"/>
    </row>
    <row r="535" s="13" customFormat="1" ht="14" spans="1:30">
      <c r="A535" s="6" t="s">
        <v>142</v>
      </c>
      <c r="B535" s="158">
        <v>46203</v>
      </c>
      <c r="C535" s="104" t="str">
        <f t="shared" si="10"/>
        <v>2026年6月</v>
      </c>
      <c r="D535" s="104" t="s">
        <v>11</v>
      </c>
      <c r="E535" s="159"/>
      <c r="F535" s="104" t="s">
        <v>1006</v>
      </c>
      <c r="G535" s="195" t="s">
        <v>1007</v>
      </c>
      <c r="H535" s="40" t="s">
        <v>39</v>
      </c>
      <c r="I535" s="155" t="s">
        <v>2756</v>
      </c>
      <c r="J535" s="109"/>
      <c r="K535" s="160"/>
      <c r="L535" s="161" t="s">
        <v>2757</v>
      </c>
      <c r="M535" s="160" t="s">
        <v>2758</v>
      </c>
      <c r="N535" s="160" t="s">
        <v>2759</v>
      </c>
      <c r="O535" s="187">
        <v>18608.51</v>
      </c>
      <c r="P535" s="160" t="s">
        <v>173</v>
      </c>
      <c r="Q535" s="104" t="s">
        <v>7</v>
      </c>
      <c r="R535" s="162"/>
      <c r="S535" s="162"/>
      <c r="T535" s="160"/>
      <c r="U535" s="160"/>
      <c r="V535" s="160"/>
      <c r="W535" s="160"/>
      <c r="X535" s="160"/>
      <c r="Y535" s="160"/>
      <c r="Z535" s="160"/>
      <c r="AA535" s="160"/>
      <c r="AB535" s="160"/>
      <c r="AC535" s="160"/>
      <c r="AD535" s="160"/>
    </row>
    <row r="536" s="13" customFormat="1" ht="14" spans="1:30">
      <c r="A536" s="6" t="s">
        <v>872</v>
      </c>
      <c r="B536" s="158">
        <v>46204</v>
      </c>
      <c r="C536" s="104" t="str">
        <f t="shared" si="10"/>
        <v>2026年7月</v>
      </c>
      <c r="D536" s="104" t="s">
        <v>10</v>
      </c>
      <c r="E536" s="159"/>
      <c r="F536" s="104" t="s">
        <v>1006</v>
      </c>
      <c r="G536" s="195" t="s">
        <v>1007</v>
      </c>
      <c r="H536" s="40" t="s">
        <v>40</v>
      </c>
      <c r="I536" s="155" t="s">
        <v>2760</v>
      </c>
      <c r="J536" s="109" t="s">
        <v>290</v>
      </c>
      <c r="K536" s="160">
        <v>45818282</v>
      </c>
      <c r="L536" s="161" t="s">
        <v>2367</v>
      </c>
      <c r="M536" s="160" t="s">
        <v>2761</v>
      </c>
      <c r="N536" s="160" t="s">
        <v>2762</v>
      </c>
      <c r="O536" s="187">
        <v>194</v>
      </c>
      <c r="P536" s="160" t="s">
        <v>139</v>
      </c>
      <c r="Q536" s="104" t="s">
        <v>105</v>
      </c>
      <c r="R536" s="162" t="s">
        <v>801</v>
      </c>
      <c r="S536" s="162"/>
      <c r="T536" s="160"/>
      <c r="U536" s="160"/>
      <c r="V536" s="160"/>
      <c r="W536" s="160"/>
      <c r="X536" s="160"/>
      <c r="Y536" s="160"/>
      <c r="Z536" s="160"/>
      <c r="AA536" s="160"/>
      <c r="AB536" s="160"/>
      <c r="AC536" s="160"/>
      <c r="AD536" s="160"/>
    </row>
    <row r="537" s="13" customFormat="1" ht="14" spans="1:30">
      <c r="A537" s="6" t="s">
        <v>872</v>
      </c>
      <c r="B537" s="158">
        <v>46205</v>
      </c>
      <c r="C537" s="104" t="str">
        <f t="shared" si="10"/>
        <v>2026年7月</v>
      </c>
      <c r="D537" s="104" t="s">
        <v>11</v>
      </c>
      <c r="E537" s="159"/>
      <c r="F537" s="104" t="s">
        <v>1029</v>
      </c>
      <c r="G537" s="195" t="s">
        <v>1007</v>
      </c>
      <c r="H537" s="40" t="s">
        <v>39</v>
      </c>
      <c r="I537" s="155" t="s">
        <v>2763</v>
      </c>
      <c r="J537" s="109"/>
      <c r="K537" s="161" t="s">
        <v>2764</v>
      </c>
      <c r="L537" s="161" t="s">
        <v>2678</v>
      </c>
      <c r="M537" s="160" t="s">
        <v>2716</v>
      </c>
      <c r="N537" s="160" t="s">
        <v>2765</v>
      </c>
      <c r="O537" s="187">
        <v>97880</v>
      </c>
      <c r="P537" s="160" t="s">
        <v>173</v>
      </c>
      <c r="Q537" s="104" t="s">
        <v>7</v>
      </c>
      <c r="R537" s="162"/>
      <c r="S537" s="162"/>
      <c r="T537" s="160"/>
      <c r="U537" s="160"/>
      <c r="V537" s="160"/>
      <c r="W537" s="160"/>
      <c r="X537" s="160"/>
      <c r="Y537" s="160"/>
      <c r="Z537" s="160"/>
      <c r="AA537" s="160"/>
      <c r="AB537" s="160"/>
      <c r="AC537" s="160"/>
      <c r="AD537" s="160"/>
    </row>
    <row r="538" s="13" customFormat="1" ht="14" spans="1:30">
      <c r="A538" s="6"/>
      <c r="B538" s="158"/>
      <c r="C538" s="104"/>
      <c r="D538" s="104"/>
      <c r="E538" s="159"/>
      <c r="F538" s="104"/>
      <c r="G538" s="195"/>
      <c r="H538" s="40"/>
      <c r="I538" s="155"/>
      <c r="J538" s="109"/>
      <c r="K538" s="160"/>
      <c r="L538" s="160"/>
      <c r="M538" s="160"/>
      <c r="N538" s="160"/>
      <c r="O538" s="187"/>
      <c r="P538" s="160"/>
      <c r="Q538" s="160"/>
      <c r="R538" s="162"/>
      <c r="S538" s="162"/>
      <c r="T538" s="160"/>
      <c r="U538" s="160"/>
      <c r="V538" s="160"/>
      <c r="W538" s="160"/>
      <c r="X538" s="160"/>
      <c r="Y538" s="160"/>
      <c r="Z538" s="160"/>
      <c r="AA538" s="160"/>
      <c r="AB538" s="160"/>
      <c r="AC538" s="160"/>
      <c r="AD538" s="160"/>
    </row>
    <row r="539" s="13" customFormat="1" ht="14" spans="1:30">
      <c r="A539" s="6"/>
      <c r="B539" s="158"/>
      <c r="C539" s="104"/>
      <c r="D539" s="104"/>
      <c r="E539" s="159"/>
      <c r="F539" s="104"/>
      <c r="G539" s="195"/>
      <c r="H539" s="40"/>
      <c r="I539" s="155"/>
      <c r="J539" s="109"/>
      <c r="K539" s="160"/>
      <c r="L539" s="160"/>
      <c r="M539" s="160"/>
      <c r="N539" s="160"/>
      <c r="O539" s="187"/>
      <c r="P539" s="160"/>
      <c r="Q539" s="160"/>
      <c r="R539" s="162"/>
      <c r="S539" s="162"/>
      <c r="T539" s="160"/>
      <c r="U539" s="160"/>
      <c r="V539" s="160"/>
      <c r="W539" s="160"/>
      <c r="X539" s="160"/>
      <c r="Y539" s="160"/>
      <c r="Z539" s="160"/>
      <c r="AA539" s="160"/>
      <c r="AB539" s="160"/>
      <c r="AC539" s="160"/>
      <c r="AD539" s="160"/>
    </row>
    <row r="540" s="13" customFormat="1" ht="14" spans="1:30">
      <c r="A540" s="6"/>
      <c r="B540" s="158"/>
      <c r="C540" s="104"/>
      <c r="D540" s="104"/>
      <c r="E540" s="159"/>
      <c r="F540" s="104"/>
      <c r="G540" s="195"/>
      <c r="H540" s="40"/>
      <c r="I540" s="155"/>
      <c r="J540" s="109"/>
      <c r="K540" s="160"/>
      <c r="L540" s="160"/>
      <c r="M540" s="160"/>
      <c r="N540" s="160"/>
      <c r="O540" s="187"/>
      <c r="P540" s="160"/>
      <c r="Q540" s="160"/>
      <c r="R540" s="162"/>
      <c r="S540" s="162"/>
      <c r="T540" s="160"/>
      <c r="U540" s="160"/>
      <c r="V540" s="160"/>
      <c r="W540" s="160"/>
      <c r="X540" s="160"/>
      <c r="Y540" s="160"/>
      <c r="Z540" s="160"/>
      <c r="AA540" s="160"/>
      <c r="AB540" s="160"/>
      <c r="AC540" s="160"/>
      <c r="AD540" s="160"/>
    </row>
    <row r="541" s="13" customFormat="1" ht="14" spans="1:30">
      <c r="A541" s="6"/>
      <c r="B541" s="158"/>
      <c r="C541" s="104"/>
      <c r="D541" s="104"/>
      <c r="E541" s="159"/>
      <c r="F541" s="104"/>
      <c r="G541" s="195"/>
      <c r="H541" s="40"/>
      <c r="I541" s="155"/>
      <c r="J541" s="109"/>
      <c r="K541" s="160"/>
      <c r="L541" s="160"/>
      <c r="M541" s="160"/>
      <c r="N541" s="160"/>
      <c r="O541" s="187"/>
      <c r="P541" s="160"/>
      <c r="Q541" s="160"/>
      <c r="R541" s="162"/>
      <c r="S541" s="162"/>
      <c r="T541" s="160"/>
      <c r="U541" s="160"/>
      <c r="V541" s="160"/>
      <c r="W541" s="160"/>
      <c r="X541" s="160"/>
      <c r="Y541" s="160"/>
      <c r="Z541" s="160"/>
      <c r="AA541" s="160"/>
      <c r="AB541" s="160"/>
      <c r="AC541" s="160"/>
      <c r="AD541" s="160"/>
    </row>
    <row r="542" s="13" customFormat="1" ht="14" spans="1:30">
      <c r="A542" s="6"/>
      <c r="B542" s="158"/>
      <c r="C542" s="104"/>
      <c r="D542" s="104"/>
      <c r="E542" s="159"/>
      <c r="F542" s="104"/>
      <c r="G542" s="195"/>
      <c r="H542" s="40"/>
      <c r="I542" s="155"/>
      <c r="J542" s="109"/>
      <c r="K542" s="160"/>
      <c r="L542" s="160"/>
      <c r="M542" s="160"/>
      <c r="N542" s="160"/>
      <c r="O542" s="187"/>
      <c r="P542" s="160"/>
      <c r="Q542" s="160"/>
      <c r="R542" s="162"/>
      <c r="S542" s="162"/>
      <c r="T542" s="160"/>
      <c r="U542" s="160"/>
      <c r="V542" s="160"/>
      <c r="W542" s="160"/>
      <c r="X542" s="160"/>
      <c r="Y542" s="160"/>
      <c r="Z542" s="160"/>
      <c r="AA542" s="160"/>
      <c r="AB542" s="160"/>
      <c r="AC542" s="160"/>
      <c r="AD542" s="160"/>
    </row>
    <row r="543" s="13" customFormat="1" ht="14" spans="1:30">
      <c r="A543" s="6"/>
      <c r="B543" s="158"/>
      <c r="C543" s="104"/>
      <c r="D543" s="104"/>
      <c r="E543" s="159"/>
      <c r="F543" s="104"/>
      <c r="G543" s="195"/>
      <c r="H543" s="40"/>
      <c r="I543" s="155"/>
      <c r="J543" s="109"/>
      <c r="K543" s="160"/>
      <c r="L543" s="160"/>
      <c r="M543" s="160"/>
      <c r="N543" s="160"/>
      <c r="O543" s="187"/>
      <c r="P543" s="160"/>
      <c r="Q543" s="160"/>
      <c r="R543" s="162"/>
      <c r="S543" s="162"/>
      <c r="T543" s="160"/>
      <c r="U543" s="160"/>
      <c r="V543" s="160"/>
      <c r="W543" s="160"/>
      <c r="X543" s="160"/>
      <c r="Y543" s="160"/>
      <c r="Z543" s="160"/>
      <c r="AA543" s="160"/>
      <c r="AB543" s="160"/>
      <c r="AC543" s="160"/>
      <c r="AD543" s="160"/>
    </row>
    <row r="544" s="13" customFormat="1" ht="14" spans="1:30">
      <c r="A544" s="6"/>
      <c r="B544" s="158"/>
      <c r="C544" s="104"/>
      <c r="D544" s="104"/>
      <c r="E544" s="159"/>
      <c r="F544" s="104"/>
      <c r="G544" s="195"/>
      <c r="H544" s="40"/>
      <c r="I544" s="155"/>
      <c r="J544" s="109"/>
      <c r="K544" s="160"/>
      <c r="L544" s="160"/>
      <c r="M544" s="160"/>
      <c r="N544" s="160"/>
      <c r="O544" s="187"/>
      <c r="P544" s="160"/>
      <c r="Q544" s="160"/>
      <c r="R544" s="162"/>
      <c r="S544" s="162"/>
      <c r="T544" s="160"/>
      <c r="U544" s="160"/>
      <c r="V544" s="160"/>
      <c r="W544" s="160"/>
      <c r="X544" s="160"/>
      <c r="Y544" s="160"/>
      <c r="Z544" s="160"/>
      <c r="AA544" s="160"/>
      <c r="AB544" s="160"/>
      <c r="AC544" s="160"/>
      <c r="AD544" s="160"/>
    </row>
    <row r="545" s="13" customFormat="1" ht="14" spans="1:30">
      <c r="A545" s="6"/>
      <c r="B545" s="158"/>
      <c r="C545" s="104"/>
      <c r="D545" s="104"/>
      <c r="E545" s="159"/>
      <c r="F545" s="104"/>
      <c r="G545" s="195"/>
      <c r="H545" s="40"/>
      <c r="I545" s="155"/>
      <c r="J545" s="109"/>
      <c r="K545" s="160"/>
      <c r="L545" s="160"/>
      <c r="M545" s="160"/>
      <c r="N545" s="160"/>
      <c r="O545" s="187"/>
      <c r="P545" s="160"/>
      <c r="Q545" s="160"/>
      <c r="R545" s="162"/>
      <c r="S545" s="162"/>
      <c r="T545" s="160"/>
      <c r="U545" s="160"/>
      <c r="V545" s="160"/>
      <c r="W545" s="160"/>
      <c r="X545" s="160"/>
      <c r="Y545" s="160"/>
      <c r="Z545" s="160"/>
      <c r="AA545" s="160"/>
      <c r="AB545" s="160"/>
      <c r="AC545" s="160"/>
      <c r="AD545" s="160"/>
    </row>
    <row r="546" s="13" customFormat="1" ht="14" spans="1:30">
      <c r="A546" s="6"/>
      <c r="B546" s="158"/>
      <c r="C546" s="104"/>
      <c r="D546" s="104"/>
      <c r="E546" s="159"/>
      <c r="F546" s="104"/>
      <c r="G546" s="195"/>
      <c r="H546" s="40"/>
      <c r="I546" s="155"/>
      <c r="J546" s="109"/>
      <c r="K546" s="160"/>
      <c r="L546" s="160"/>
      <c r="M546" s="160"/>
      <c r="N546" s="160"/>
      <c r="O546" s="187"/>
      <c r="P546" s="160"/>
      <c r="Q546" s="160"/>
      <c r="R546" s="162"/>
      <c r="S546" s="162"/>
      <c r="T546" s="160"/>
      <c r="U546" s="160"/>
      <c r="V546" s="160"/>
      <c r="W546" s="160"/>
      <c r="X546" s="160"/>
      <c r="Y546" s="160"/>
      <c r="Z546" s="160"/>
      <c r="AA546" s="160"/>
      <c r="AB546" s="160"/>
      <c r="AC546" s="160"/>
      <c r="AD546" s="160"/>
    </row>
    <row r="547" s="13" customFormat="1" ht="14" spans="1:30">
      <c r="A547" s="6"/>
      <c r="B547" s="158"/>
      <c r="C547" s="104"/>
      <c r="D547" s="104"/>
      <c r="E547" s="159"/>
      <c r="F547" s="104"/>
      <c r="G547" s="195"/>
      <c r="H547" s="40"/>
      <c r="I547" s="155"/>
      <c r="J547" s="109"/>
      <c r="K547" s="160"/>
      <c r="L547" s="160"/>
      <c r="M547" s="160"/>
      <c r="N547" s="160"/>
      <c r="O547" s="187"/>
      <c r="P547" s="160"/>
      <c r="Q547" s="160"/>
      <c r="R547" s="162"/>
      <c r="S547" s="162"/>
      <c r="T547" s="160"/>
      <c r="U547" s="160"/>
      <c r="V547" s="160"/>
      <c r="W547" s="160"/>
      <c r="X547" s="160"/>
      <c r="Y547" s="160"/>
      <c r="Z547" s="160"/>
      <c r="AA547" s="160"/>
      <c r="AB547" s="160"/>
      <c r="AC547" s="160"/>
      <c r="AD547" s="160"/>
    </row>
    <row r="548" s="13" customFormat="1" ht="14" spans="1:30">
      <c r="A548" s="6"/>
      <c r="B548" s="158"/>
      <c r="C548" s="104"/>
      <c r="D548" s="104"/>
      <c r="E548" s="159"/>
      <c r="F548" s="104"/>
      <c r="G548" s="195"/>
      <c r="H548" s="40"/>
      <c r="I548" s="155"/>
      <c r="J548" s="109"/>
      <c r="K548" s="160"/>
      <c r="L548" s="160"/>
      <c r="M548" s="160"/>
      <c r="N548" s="160"/>
      <c r="O548" s="187"/>
      <c r="P548" s="160"/>
      <c r="Q548" s="160"/>
      <c r="R548" s="162"/>
      <c r="S548" s="162"/>
      <c r="T548" s="160"/>
      <c r="U548" s="160"/>
      <c r="V548" s="160"/>
      <c r="W548" s="160"/>
      <c r="X548" s="160"/>
      <c r="Y548" s="160"/>
      <c r="Z548" s="160"/>
      <c r="AA548" s="160"/>
      <c r="AB548" s="160"/>
      <c r="AC548" s="160"/>
      <c r="AD548" s="160"/>
    </row>
    <row r="549" s="13" customFormat="1" ht="14" spans="1:30">
      <c r="A549" s="6"/>
      <c r="B549" s="158"/>
      <c r="C549" s="104"/>
      <c r="D549" s="104"/>
      <c r="E549" s="159"/>
      <c r="F549" s="104"/>
      <c r="G549" s="195"/>
      <c r="H549" s="40"/>
      <c r="I549" s="155"/>
      <c r="J549" s="109"/>
      <c r="K549" s="160"/>
      <c r="L549" s="160"/>
      <c r="M549" s="160"/>
      <c r="N549" s="160"/>
      <c r="O549" s="187"/>
      <c r="P549" s="160"/>
      <c r="Q549" s="160"/>
      <c r="R549" s="162"/>
      <c r="S549" s="162"/>
      <c r="T549" s="160"/>
      <c r="U549" s="160"/>
      <c r="V549" s="160"/>
      <c r="W549" s="160"/>
      <c r="X549" s="160"/>
      <c r="Y549" s="160"/>
      <c r="Z549" s="160"/>
      <c r="AA549" s="160"/>
      <c r="AB549" s="160"/>
      <c r="AC549" s="160"/>
      <c r="AD549" s="160"/>
    </row>
    <row r="550" s="13" customFormat="1" ht="14" spans="1:30">
      <c r="A550" s="6"/>
      <c r="B550" s="158"/>
      <c r="C550" s="104"/>
      <c r="D550" s="104"/>
      <c r="E550" s="159"/>
      <c r="F550" s="104"/>
      <c r="G550" s="195"/>
      <c r="H550" s="40"/>
      <c r="I550" s="155"/>
      <c r="J550" s="109"/>
      <c r="K550" s="160"/>
      <c r="L550" s="160"/>
      <c r="M550" s="160"/>
      <c r="N550" s="160"/>
      <c r="O550" s="187"/>
      <c r="P550" s="160"/>
      <c r="Q550" s="160"/>
      <c r="R550" s="162"/>
      <c r="S550" s="162"/>
      <c r="T550" s="160"/>
      <c r="U550" s="160"/>
      <c r="V550" s="160"/>
      <c r="W550" s="160"/>
      <c r="X550" s="160"/>
      <c r="Y550" s="160"/>
      <c r="Z550" s="160"/>
      <c r="AA550" s="160"/>
      <c r="AB550" s="160"/>
      <c r="AC550" s="160"/>
      <c r="AD550" s="160"/>
    </row>
    <row r="551" s="13" customFormat="1" ht="14" spans="1:30">
      <c r="A551" s="6"/>
      <c r="B551" s="158"/>
      <c r="C551" s="104"/>
      <c r="D551" s="104"/>
      <c r="E551" s="159"/>
      <c r="F551" s="104"/>
      <c r="G551" s="195"/>
      <c r="H551" s="40"/>
      <c r="I551" s="155"/>
      <c r="J551" s="109"/>
      <c r="K551" s="160"/>
      <c r="L551" s="160"/>
      <c r="M551" s="160"/>
      <c r="N551" s="160"/>
      <c r="O551" s="187"/>
      <c r="P551" s="160"/>
      <c r="Q551" s="160"/>
      <c r="R551" s="162"/>
      <c r="S551" s="162"/>
      <c r="T551" s="160"/>
      <c r="U551" s="160"/>
      <c r="V551" s="160"/>
      <c r="W551" s="160"/>
      <c r="X551" s="160"/>
      <c r="Y551" s="160"/>
      <c r="Z551" s="160"/>
      <c r="AA551" s="160"/>
      <c r="AB551" s="160"/>
      <c r="AC551" s="160"/>
      <c r="AD551" s="160"/>
    </row>
    <row r="552" s="13" customFormat="1" ht="14" spans="1:30">
      <c r="A552" s="6"/>
      <c r="B552" s="158"/>
      <c r="C552" s="104"/>
      <c r="D552" s="104"/>
      <c r="E552" s="159"/>
      <c r="F552" s="104"/>
      <c r="G552" s="195"/>
      <c r="H552" s="40"/>
      <c r="I552" s="155"/>
      <c r="J552" s="109"/>
      <c r="K552" s="160"/>
      <c r="L552" s="160"/>
      <c r="M552" s="160"/>
      <c r="N552" s="160"/>
      <c r="O552" s="187"/>
      <c r="P552" s="160"/>
      <c r="Q552" s="160"/>
      <c r="R552" s="162"/>
      <c r="S552" s="162"/>
      <c r="T552" s="160"/>
      <c r="U552" s="160"/>
      <c r="V552" s="160"/>
      <c r="W552" s="160"/>
      <c r="X552" s="160"/>
      <c r="Y552" s="160"/>
      <c r="Z552" s="160"/>
      <c r="AA552" s="160"/>
      <c r="AB552" s="160"/>
      <c r="AC552" s="160"/>
      <c r="AD552" s="160"/>
    </row>
    <row r="553" s="13" customFormat="1" ht="14" spans="1:30">
      <c r="A553" s="6"/>
      <c r="B553" s="158"/>
      <c r="C553" s="104"/>
      <c r="D553" s="104"/>
      <c r="E553" s="159"/>
      <c r="F553" s="104"/>
      <c r="G553" s="195"/>
      <c r="H553" s="40"/>
      <c r="I553" s="155"/>
      <c r="J553" s="109"/>
      <c r="K553" s="160"/>
      <c r="L553" s="160"/>
      <c r="M553" s="160"/>
      <c r="N553" s="160"/>
      <c r="O553" s="187"/>
      <c r="P553" s="160"/>
      <c r="Q553" s="160"/>
      <c r="R553" s="162"/>
      <c r="S553" s="162"/>
      <c r="T553" s="160"/>
      <c r="U553" s="160"/>
      <c r="V553" s="160"/>
      <c r="W553" s="160"/>
      <c r="X553" s="160"/>
      <c r="Y553" s="160"/>
      <c r="Z553" s="160"/>
      <c r="AA553" s="160"/>
      <c r="AB553" s="160"/>
      <c r="AC553" s="160"/>
      <c r="AD553" s="160"/>
    </row>
    <row r="554" s="13" customFormat="1" ht="14" spans="1:30">
      <c r="A554" s="6"/>
      <c r="B554" s="158"/>
      <c r="C554" s="104"/>
      <c r="D554" s="104"/>
      <c r="E554" s="159"/>
      <c r="F554" s="104"/>
      <c r="G554" s="195"/>
      <c r="H554" s="40"/>
      <c r="I554" s="155"/>
      <c r="J554" s="109"/>
      <c r="K554" s="160"/>
      <c r="L554" s="160"/>
      <c r="M554" s="160"/>
      <c r="N554" s="160"/>
      <c r="O554" s="187"/>
      <c r="P554" s="160"/>
      <c r="Q554" s="160"/>
      <c r="R554" s="162"/>
      <c r="S554" s="162"/>
      <c r="T554" s="160"/>
      <c r="U554" s="160"/>
      <c r="V554" s="160"/>
      <c r="W554" s="160"/>
      <c r="X554" s="160"/>
      <c r="Y554" s="160"/>
      <c r="Z554" s="160"/>
      <c r="AA554" s="160"/>
      <c r="AB554" s="160"/>
      <c r="AC554" s="160"/>
      <c r="AD554" s="160"/>
    </row>
    <row r="555" s="13" customFormat="1" ht="14" spans="1:30">
      <c r="A555" s="6"/>
      <c r="B555" s="158"/>
      <c r="C555" s="104"/>
      <c r="D555" s="104"/>
      <c r="E555" s="159"/>
      <c r="F555" s="104"/>
      <c r="G555" s="195"/>
      <c r="H555" s="40"/>
      <c r="I555" s="155"/>
      <c r="J555" s="109"/>
      <c r="K555" s="160"/>
      <c r="L555" s="160"/>
      <c r="M555" s="160"/>
      <c r="N555" s="160"/>
      <c r="O555" s="187"/>
      <c r="P555" s="160"/>
      <c r="Q555" s="160"/>
      <c r="R555" s="162"/>
      <c r="S555" s="162"/>
      <c r="T555" s="160"/>
      <c r="U555" s="160"/>
      <c r="V555" s="160"/>
      <c r="W555" s="160"/>
      <c r="X555" s="160"/>
      <c r="Y555" s="160"/>
      <c r="Z555" s="160"/>
      <c r="AA555" s="160"/>
      <c r="AB555" s="160"/>
      <c r="AC555" s="160"/>
      <c r="AD555" s="160"/>
    </row>
    <row r="556" s="13" customFormat="1" ht="14" spans="1:30">
      <c r="A556" s="6"/>
      <c r="B556" s="158"/>
      <c r="C556" s="104"/>
      <c r="D556" s="104"/>
      <c r="E556" s="159"/>
      <c r="F556" s="104"/>
      <c r="G556" s="195"/>
      <c r="H556" s="40"/>
      <c r="I556" s="155"/>
      <c r="J556" s="109"/>
      <c r="K556" s="160"/>
      <c r="L556" s="160"/>
      <c r="M556" s="160"/>
      <c r="N556" s="160"/>
      <c r="O556" s="187"/>
      <c r="P556" s="160"/>
      <c r="Q556" s="160"/>
      <c r="R556" s="162"/>
      <c r="S556" s="162"/>
      <c r="T556" s="160"/>
      <c r="U556" s="160"/>
      <c r="V556" s="160"/>
      <c r="W556" s="160"/>
      <c r="X556" s="160"/>
      <c r="Y556" s="160"/>
      <c r="Z556" s="160"/>
      <c r="AA556" s="160"/>
      <c r="AB556" s="160"/>
      <c r="AC556" s="160"/>
      <c r="AD556" s="160"/>
    </row>
    <row r="557" s="13" customFormat="1" ht="14" spans="1:30">
      <c r="A557" s="6"/>
      <c r="B557" s="158"/>
      <c r="C557" s="104"/>
      <c r="D557" s="104"/>
      <c r="E557" s="159"/>
      <c r="F557" s="104"/>
      <c r="G557" s="195"/>
      <c r="H557" s="40"/>
      <c r="I557" s="155"/>
      <c r="J557" s="109"/>
      <c r="K557" s="160"/>
      <c r="L557" s="160"/>
      <c r="M557" s="160"/>
      <c r="N557" s="160"/>
      <c r="O557" s="187"/>
      <c r="P557" s="160"/>
      <c r="Q557" s="160"/>
      <c r="R557" s="162"/>
      <c r="S557" s="162"/>
      <c r="T557" s="160"/>
      <c r="U557" s="160"/>
      <c r="V557" s="160"/>
      <c r="W557" s="160"/>
      <c r="X557" s="160"/>
      <c r="Y557" s="160"/>
      <c r="Z557" s="160"/>
      <c r="AA557" s="160"/>
      <c r="AB557" s="160"/>
      <c r="AC557" s="160"/>
      <c r="AD557" s="160"/>
    </row>
    <row r="558" s="13" customFormat="1" ht="14" spans="1:30">
      <c r="A558" s="6"/>
      <c r="B558" s="158"/>
      <c r="C558" s="104"/>
      <c r="D558" s="104"/>
      <c r="E558" s="159"/>
      <c r="F558" s="104"/>
      <c r="G558" s="195"/>
      <c r="H558" s="40"/>
      <c r="I558" s="155"/>
      <c r="J558" s="109"/>
      <c r="K558" s="160"/>
      <c r="L558" s="160"/>
      <c r="M558" s="160"/>
      <c r="N558" s="160"/>
      <c r="O558" s="187"/>
      <c r="P558" s="160"/>
      <c r="Q558" s="160"/>
      <c r="R558" s="162"/>
      <c r="S558" s="162"/>
      <c r="T558" s="160"/>
      <c r="U558" s="160"/>
      <c r="V558" s="160"/>
      <c r="W558" s="160"/>
      <c r="X558" s="160"/>
      <c r="Y558" s="160"/>
      <c r="Z558" s="160"/>
      <c r="AA558" s="160"/>
      <c r="AB558" s="160"/>
      <c r="AC558" s="160"/>
      <c r="AD558" s="160"/>
    </row>
    <row r="559" s="13" customFormat="1" ht="14" spans="1:30">
      <c r="A559" s="6"/>
      <c r="B559" s="158"/>
      <c r="C559" s="104"/>
      <c r="D559" s="104"/>
      <c r="E559" s="159"/>
      <c r="F559" s="104"/>
      <c r="G559" s="195"/>
      <c r="H559" s="40"/>
      <c r="I559" s="155"/>
      <c r="J559" s="109"/>
      <c r="K559" s="160"/>
      <c r="L559" s="160"/>
      <c r="M559" s="160"/>
      <c r="N559" s="160"/>
      <c r="O559" s="187"/>
      <c r="P559" s="160"/>
      <c r="Q559" s="160"/>
      <c r="R559" s="162"/>
      <c r="S559" s="162"/>
      <c r="T559" s="160"/>
      <c r="U559" s="160"/>
      <c r="V559" s="160"/>
      <c r="W559" s="160"/>
      <c r="X559" s="160"/>
      <c r="Y559" s="160"/>
      <c r="Z559" s="160"/>
      <c r="AA559" s="160"/>
      <c r="AB559" s="160"/>
      <c r="AC559" s="160"/>
      <c r="AD559" s="160"/>
    </row>
    <row r="560" s="13" customFormat="1" ht="14" spans="1:30">
      <c r="A560" s="6"/>
      <c r="B560" s="158"/>
      <c r="C560" s="104"/>
      <c r="D560" s="104"/>
      <c r="E560" s="159"/>
      <c r="F560" s="104"/>
      <c r="G560" s="195"/>
      <c r="H560" s="40"/>
      <c r="I560" s="155"/>
      <c r="J560" s="109"/>
      <c r="K560" s="160"/>
      <c r="L560" s="160"/>
      <c r="M560" s="160"/>
      <c r="N560" s="160"/>
      <c r="O560" s="187"/>
      <c r="P560" s="160"/>
      <c r="Q560" s="160"/>
      <c r="R560" s="162"/>
      <c r="S560" s="162"/>
      <c r="T560" s="160"/>
      <c r="U560" s="160"/>
      <c r="V560" s="160"/>
      <c r="W560" s="160"/>
      <c r="X560" s="160"/>
      <c r="Y560" s="160"/>
      <c r="Z560" s="160"/>
      <c r="AA560" s="160"/>
      <c r="AB560" s="160"/>
      <c r="AC560" s="160"/>
      <c r="AD560" s="160"/>
    </row>
    <row r="561" s="13" customFormat="1" ht="14" spans="1:30">
      <c r="A561" s="6"/>
      <c r="B561" s="158"/>
      <c r="C561" s="104"/>
      <c r="D561" s="104"/>
      <c r="E561" s="159"/>
      <c r="F561" s="104"/>
      <c r="G561" s="195"/>
      <c r="H561" s="40"/>
      <c r="I561" s="155"/>
      <c r="J561" s="109"/>
      <c r="K561" s="160"/>
      <c r="L561" s="160"/>
      <c r="M561" s="160"/>
      <c r="N561" s="160"/>
      <c r="O561" s="187"/>
      <c r="P561" s="160"/>
      <c r="Q561" s="160"/>
      <c r="R561" s="162"/>
      <c r="S561" s="162"/>
      <c r="T561" s="160"/>
      <c r="U561" s="160"/>
      <c r="V561" s="160"/>
      <c r="W561" s="160"/>
      <c r="X561" s="160"/>
      <c r="Y561" s="160"/>
      <c r="Z561" s="160"/>
      <c r="AA561" s="160"/>
      <c r="AB561" s="160"/>
      <c r="AC561" s="160"/>
      <c r="AD561" s="160"/>
    </row>
    <row r="562" s="13" customFormat="1" ht="14" spans="1:30">
      <c r="A562" s="6"/>
      <c r="B562" s="158"/>
      <c r="C562" s="104"/>
      <c r="D562" s="104"/>
      <c r="E562" s="159"/>
      <c r="F562" s="104"/>
      <c r="G562" s="195"/>
      <c r="H562" s="40"/>
      <c r="I562" s="155"/>
      <c r="J562" s="109"/>
      <c r="K562" s="160"/>
      <c r="L562" s="160"/>
      <c r="M562" s="160"/>
      <c r="N562" s="160"/>
      <c r="O562" s="187"/>
      <c r="P562" s="160"/>
      <c r="Q562" s="160"/>
      <c r="R562" s="162"/>
      <c r="S562" s="162"/>
      <c r="T562" s="160"/>
      <c r="U562" s="160"/>
      <c r="V562" s="160"/>
      <c r="W562" s="160"/>
      <c r="X562" s="160"/>
      <c r="Y562" s="160"/>
      <c r="Z562" s="160"/>
      <c r="AA562" s="160"/>
      <c r="AB562" s="160"/>
      <c r="AC562" s="160"/>
      <c r="AD562" s="160"/>
    </row>
    <row r="563" s="13" customFormat="1" ht="14" spans="1:30">
      <c r="A563" s="6"/>
      <c r="B563" s="158"/>
      <c r="C563" s="104"/>
      <c r="D563" s="104"/>
      <c r="E563" s="159"/>
      <c r="F563" s="104"/>
      <c r="G563" s="195"/>
      <c r="H563" s="40"/>
      <c r="I563" s="155"/>
      <c r="J563" s="109"/>
      <c r="K563" s="160"/>
      <c r="L563" s="160"/>
      <c r="M563" s="160"/>
      <c r="N563" s="160"/>
      <c r="O563" s="187"/>
      <c r="P563" s="160"/>
      <c r="Q563" s="160"/>
      <c r="R563" s="162"/>
      <c r="S563" s="162"/>
      <c r="T563" s="160"/>
      <c r="U563" s="160"/>
      <c r="V563" s="160"/>
      <c r="W563" s="160"/>
      <c r="X563" s="160"/>
      <c r="Y563" s="160"/>
      <c r="Z563" s="160"/>
      <c r="AA563" s="160"/>
      <c r="AB563" s="160"/>
      <c r="AC563" s="160"/>
      <c r="AD563" s="160"/>
    </row>
    <row r="564" s="13" customFormat="1" ht="14" spans="1:30">
      <c r="A564" s="6"/>
      <c r="B564" s="158"/>
      <c r="C564" s="104"/>
      <c r="D564" s="104"/>
      <c r="E564" s="159"/>
      <c r="F564" s="104"/>
      <c r="G564" s="195"/>
      <c r="H564" s="40"/>
      <c r="I564" s="155"/>
      <c r="J564" s="109"/>
      <c r="K564" s="160"/>
      <c r="L564" s="160"/>
      <c r="M564" s="160"/>
      <c r="N564" s="160"/>
      <c r="O564" s="187"/>
      <c r="P564" s="160"/>
      <c r="Q564" s="160"/>
      <c r="R564" s="162"/>
      <c r="S564" s="162"/>
      <c r="T564" s="160"/>
      <c r="U564" s="160"/>
      <c r="V564" s="160"/>
      <c r="W564" s="160"/>
      <c r="X564" s="160"/>
      <c r="Y564" s="160"/>
      <c r="Z564" s="160"/>
      <c r="AA564" s="160"/>
      <c r="AB564" s="160"/>
      <c r="AC564" s="160"/>
      <c r="AD564" s="160"/>
    </row>
    <row r="565" s="13" customFormat="1" ht="14" spans="1:30">
      <c r="A565" s="6"/>
      <c r="B565" s="158"/>
      <c r="C565" s="104"/>
      <c r="D565" s="104"/>
      <c r="E565" s="159"/>
      <c r="F565" s="104"/>
      <c r="G565" s="195"/>
      <c r="H565" s="40"/>
      <c r="I565" s="155"/>
      <c r="J565" s="109"/>
      <c r="K565" s="160"/>
      <c r="L565" s="160"/>
      <c r="M565" s="160"/>
      <c r="N565" s="160"/>
      <c r="O565" s="187"/>
      <c r="P565" s="160"/>
      <c r="Q565" s="160"/>
      <c r="R565" s="162"/>
      <c r="S565" s="162"/>
      <c r="T565" s="160"/>
      <c r="U565" s="160"/>
      <c r="V565" s="160"/>
      <c r="W565" s="160"/>
      <c r="X565" s="160"/>
      <c r="Y565" s="160"/>
      <c r="Z565" s="160"/>
      <c r="AA565" s="160"/>
      <c r="AB565" s="160"/>
      <c r="AC565" s="160"/>
      <c r="AD565" s="160"/>
    </row>
    <row r="566" s="13" customFormat="1" ht="14" spans="1:30">
      <c r="A566" s="6"/>
      <c r="B566" s="158"/>
      <c r="C566" s="104"/>
      <c r="D566" s="104"/>
      <c r="E566" s="159"/>
      <c r="F566" s="104"/>
      <c r="G566" s="195"/>
      <c r="H566" s="40"/>
      <c r="I566" s="155"/>
      <c r="J566" s="109"/>
      <c r="K566" s="160"/>
      <c r="L566" s="160"/>
      <c r="M566" s="160"/>
      <c r="N566" s="160"/>
      <c r="O566" s="187"/>
      <c r="P566" s="160"/>
      <c r="Q566" s="160"/>
      <c r="R566" s="162"/>
      <c r="S566" s="162"/>
      <c r="T566" s="160"/>
      <c r="U566" s="160"/>
      <c r="V566" s="160"/>
      <c r="W566" s="160"/>
      <c r="X566" s="160"/>
      <c r="Y566" s="160"/>
      <c r="Z566" s="160"/>
      <c r="AA566" s="160"/>
      <c r="AB566" s="160"/>
      <c r="AC566" s="160"/>
      <c r="AD566" s="160"/>
    </row>
    <row r="567" s="13" customFormat="1" ht="14" spans="1:30">
      <c r="A567" s="6"/>
      <c r="B567" s="158"/>
      <c r="C567" s="104"/>
      <c r="D567" s="104"/>
      <c r="E567" s="159"/>
      <c r="F567" s="104"/>
      <c r="G567" s="195"/>
      <c r="H567" s="40"/>
      <c r="I567" s="155"/>
      <c r="J567" s="109"/>
      <c r="K567" s="160"/>
      <c r="L567" s="160"/>
      <c r="M567" s="160"/>
      <c r="N567" s="160"/>
      <c r="O567" s="187"/>
      <c r="P567" s="160"/>
      <c r="Q567" s="160"/>
      <c r="R567" s="162"/>
      <c r="S567" s="162"/>
      <c r="T567" s="160"/>
      <c r="U567" s="160"/>
      <c r="V567" s="160"/>
      <c r="W567" s="160"/>
      <c r="X567" s="160"/>
      <c r="Y567" s="160"/>
      <c r="Z567" s="160"/>
      <c r="AA567" s="160"/>
      <c r="AB567" s="160"/>
      <c r="AC567" s="160"/>
      <c r="AD567" s="160"/>
    </row>
    <row r="568" s="13" customFormat="1" ht="14" spans="1:30">
      <c r="A568" s="6"/>
      <c r="B568" s="158"/>
      <c r="C568" s="104"/>
      <c r="D568" s="104"/>
      <c r="E568" s="159"/>
      <c r="F568" s="104"/>
      <c r="G568" s="195"/>
      <c r="H568" s="40"/>
      <c r="I568" s="155"/>
      <c r="J568" s="109"/>
      <c r="K568" s="160"/>
      <c r="L568" s="160"/>
      <c r="M568" s="160"/>
      <c r="N568" s="160"/>
      <c r="O568" s="187"/>
      <c r="P568" s="160"/>
      <c r="Q568" s="160"/>
      <c r="R568" s="162"/>
      <c r="S568" s="162"/>
      <c r="T568" s="160"/>
      <c r="U568" s="160"/>
      <c r="V568" s="160"/>
      <c r="W568" s="160"/>
      <c r="X568" s="160"/>
      <c r="Y568" s="160"/>
      <c r="Z568" s="160"/>
      <c r="AA568" s="160"/>
      <c r="AB568" s="160"/>
      <c r="AC568" s="160"/>
      <c r="AD568" s="160"/>
    </row>
    <row r="569" s="13" customFormat="1" ht="14" spans="1:30">
      <c r="A569" s="6"/>
      <c r="B569" s="158"/>
      <c r="C569" s="104"/>
      <c r="D569" s="104"/>
      <c r="E569" s="159"/>
      <c r="F569" s="104"/>
      <c r="G569" s="195"/>
      <c r="H569" s="40"/>
      <c r="I569" s="155"/>
      <c r="J569" s="109"/>
      <c r="K569" s="160"/>
      <c r="L569" s="160"/>
      <c r="M569" s="160"/>
      <c r="N569" s="160"/>
      <c r="O569" s="187"/>
      <c r="P569" s="160"/>
      <c r="Q569" s="160"/>
      <c r="R569" s="162"/>
      <c r="S569" s="162"/>
      <c r="T569" s="160"/>
      <c r="U569" s="160"/>
      <c r="V569" s="160"/>
      <c r="W569" s="160"/>
      <c r="X569" s="160"/>
      <c r="Y569" s="160"/>
      <c r="Z569" s="160"/>
      <c r="AA569" s="160"/>
      <c r="AB569" s="160"/>
      <c r="AC569" s="160"/>
      <c r="AD569" s="160"/>
    </row>
    <row r="570" s="13" customFormat="1" ht="14" spans="1:30">
      <c r="A570" s="6"/>
      <c r="B570" s="158"/>
      <c r="C570" s="104"/>
      <c r="D570" s="104"/>
      <c r="E570" s="159"/>
      <c r="F570" s="104"/>
      <c r="G570" s="195"/>
      <c r="H570" s="40"/>
      <c r="I570" s="155"/>
      <c r="J570" s="109"/>
      <c r="K570" s="160"/>
      <c r="L570" s="160"/>
      <c r="M570" s="160"/>
      <c r="N570" s="160"/>
      <c r="O570" s="187"/>
      <c r="P570" s="160"/>
      <c r="Q570" s="160"/>
      <c r="R570" s="162"/>
      <c r="S570" s="162"/>
      <c r="T570" s="160"/>
      <c r="U570" s="160"/>
      <c r="V570" s="160"/>
      <c r="W570" s="160"/>
      <c r="X570" s="160"/>
      <c r="Y570" s="160"/>
      <c r="Z570" s="160"/>
      <c r="AA570" s="160"/>
      <c r="AB570" s="160"/>
      <c r="AC570" s="160"/>
      <c r="AD570" s="160"/>
    </row>
    <row r="571" s="13" customFormat="1" ht="14" spans="1:30">
      <c r="A571" s="6"/>
      <c r="B571" s="158"/>
      <c r="C571" s="104"/>
      <c r="D571" s="104"/>
      <c r="E571" s="159"/>
      <c r="F571" s="104"/>
      <c r="G571" s="195"/>
      <c r="H571" s="40"/>
      <c r="I571" s="155"/>
      <c r="J571" s="109"/>
      <c r="K571" s="160"/>
      <c r="L571" s="160"/>
      <c r="M571" s="160"/>
      <c r="N571" s="160"/>
      <c r="O571" s="187"/>
      <c r="P571" s="160"/>
      <c r="Q571" s="160"/>
      <c r="R571" s="162"/>
      <c r="S571" s="162"/>
      <c r="T571" s="160"/>
      <c r="U571" s="160"/>
      <c r="V571" s="160"/>
      <c r="W571" s="160"/>
      <c r="X571" s="160"/>
      <c r="Y571" s="160"/>
      <c r="Z571" s="160"/>
      <c r="AA571" s="160"/>
      <c r="AB571" s="160"/>
      <c r="AC571" s="160"/>
      <c r="AD571" s="160"/>
    </row>
    <row r="572" s="13" customFormat="1" ht="14" spans="1:30">
      <c r="A572" s="6"/>
      <c r="B572" s="158"/>
      <c r="C572" s="104"/>
      <c r="D572" s="104"/>
      <c r="E572" s="159"/>
      <c r="F572" s="104"/>
      <c r="G572" s="195"/>
      <c r="H572" s="40"/>
      <c r="I572" s="155"/>
      <c r="J572" s="109"/>
      <c r="K572" s="160"/>
      <c r="L572" s="160"/>
      <c r="M572" s="160"/>
      <c r="N572" s="160"/>
      <c r="O572" s="187"/>
      <c r="P572" s="160"/>
      <c r="Q572" s="160"/>
      <c r="R572" s="162"/>
      <c r="S572" s="162"/>
      <c r="T572" s="160"/>
      <c r="U572" s="160"/>
      <c r="V572" s="160"/>
      <c r="W572" s="160"/>
      <c r="X572" s="160"/>
      <c r="Y572" s="160"/>
      <c r="Z572" s="160"/>
      <c r="AA572" s="160"/>
      <c r="AB572" s="160"/>
      <c r="AC572" s="160"/>
      <c r="AD572" s="160"/>
    </row>
    <row r="573" s="13" customFormat="1" ht="14" spans="1:30">
      <c r="A573" s="6"/>
      <c r="B573" s="158"/>
      <c r="C573" s="104"/>
      <c r="D573" s="104"/>
      <c r="E573" s="159"/>
      <c r="F573" s="104"/>
      <c r="G573" s="195"/>
      <c r="H573" s="40"/>
      <c r="I573" s="155"/>
      <c r="J573" s="109"/>
      <c r="K573" s="160"/>
      <c r="L573" s="160"/>
      <c r="M573" s="160"/>
      <c r="N573" s="160"/>
      <c r="O573" s="187"/>
      <c r="P573" s="160"/>
      <c r="Q573" s="160"/>
      <c r="R573" s="162"/>
      <c r="S573" s="162"/>
      <c r="T573" s="160"/>
      <c r="U573" s="160"/>
      <c r="V573" s="160"/>
      <c r="W573" s="160"/>
      <c r="X573" s="160"/>
      <c r="Y573" s="160"/>
      <c r="Z573" s="160"/>
      <c r="AA573" s="160"/>
      <c r="AB573" s="160"/>
      <c r="AC573" s="160"/>
      <c r="AD573" s="160"/>
    </row>
    <row r="574" s="13" customFormat="1" ht="14" spans="1:30">
      <c r="A574" s="6"/>
      <c r="B574" s="158"/>
      <c r="C574" s="104"/>
      <c r="D574" s="104"/>
      <c r="E574" s="159"/>
      <c r="F574" s="104"/>
      <c r="G574" s="195"/>
      <c r="H574" s="40"/>
      <c r="I574" s="155"/>
      <c r="J574" s="109"/>
      <c r="K574" s="160"/>
      <c r="L574" s="160"/>
      <c r="M574" s="160"/>
      <c r="N574" s="160"/>
      <c r="O574" s="187"/>
      <c r="P574" s="160"/>
      <c r="Q574" s="160"/>
      <c r="R574" s="162"/>
      <c r="S574" s="162"/>
      <c r="T574" s="160"/>
      <c r="U574" s="160"/>
      <c r="V574" s="160"/>
      <c r="W574" s="160"/>
      <c r="X574" s="160"/>
      <c r="Y574" s="160"/>
      <c r="Z574" s="160"/>
      <c r="AA574" s="160"/>
      <c r="AB574" s="160"/>
      <c r="AC574" s="160"/>
      <c r="AD574" s="160"/>
    </row>
    <row r="575" s="13" customFormat="1" ht="14" spans="1:30">
      <c r="A575" s="6"/>
      <c r="B575" s="158"/>
      <c r="C575" s="104"/>
      <c r="D575" s="104"/>
      <c r="E575" s="159"/>
      <c r="F575" s="104"/>
      <c r="G575" s="195"/>
      <c r="H575" s="40"/>
      <c r="I575" s="155"/>
      <c r="J575" s="109"/>
      <c r="K575" s="160"/>
      <c r="L575" s="160"/>
      <c r="M575" s="160"/>
      <c r="N575" s="160"/>
      <c r="O575" s="187"/>
      <c r="P575" s="160"/>
      <c r="Q575" s="160"/>
      <c r="R575" s="162"/>
      <c r="S575" s="162"/>
      <c r="T575" s="160"/>
      <c r="U575" s="160"/>
      <c r="V575" s="160"/>
      <c r="W575" s="160"/>
      <c r="X575" s="160"/>
      <c r="Y575" s="160"/>
      <c r="Z575" s="160"/>
      <c r="AA575" s="160"/>
      <c r="AB575" s="160"/>
      <c r="AC575" s="160"/>
      <c r="AD575" s="160"/>
    </row>
    <row r="576" s="13" customFormat="1" ht="14" spans="1:30">
      <c r="A576" s="6"/>
      <c r="B576" s="158"/>
      <c r="C576" s="104"/>
      <c r="D576" s="104"/>
      <c r="E576" s="159"/>
      <c r="F576" s="104"/>
      <c r="G576" s="195"/>
      <c r="H576" s="40"/>
      <c r="I576" s="155"/>
      <c r="J576" s="109"/>
      <c r="K576" s="160"/>
      <c r="L576" s="160"/>
      <c r="M576" s="160"/>
      <c r="N576" s="160"/>
      <c r="O576" s="187"/>
      <c r="P576" s="160"/>
      <c r="Q576" s="160"/>
      <c r="R576" s="162"/>
      <c r="S576" s="162"/>
      <c r="T576" s="160"/>
      <c r="U576" s="160"/>
      <c r="V576" s="160"/>
      <c r="W576" s="160"/>
      <c r="X576" s="160"/>
      <c r="Y576" s="160"/>
      <c r="Z576" s="160"/>
      <c r="AA576" s="160"/>
      <c r="AB576" s="160"/>
      <c r="AC576" s="160"/>
      <c r="AD576" s="160"/>
    </row>
    <row r="577" s="13" customFormat="1" ht="14" spans="1:30">
      <c r="A577" s="6"/>
      <c r="B577" s="158"/>
      <c r="C577" s="104"/>
      <c r="D577" s="104"/>
      <c r="E577" s="159"/>
      <c r="F577" s="104"/>
      <c r="G577" s="195"/>
      <c r="H577" s="40"/>
      <c r="I577" s="155"/>
      <c r="J577" s="109"/>
      <c r="K577" s="160"/>
      <c r="L577" s="160"/>
      <c r="M577" s="160"/>
      <c r="N577" s="160"/>
      <c r="O577" s="187"/>
      <c r="P577" s="160"/>
      <c r="Q577" s="160"/>
      <c r="R577" s="162"/>
      <c r="S577" s="162"/>
      <c r="T577" s="160"/>
      <c r="U577" s="160"/>
      <c r="V577" s="160"/>
      <c r="W577" s="160"/>
      <c r="X577" s="160"/>
      <c r="Y577" s="160"/>
      <c r="Z577" s="160"/>
      <c r="AA577" s="160"/>
      <c r="AB577" s="160"/>
      <c r="AC577" s="160"/>
      <c r="AD577" s="160"/>
    </row>
    <row r="578" s="13" customFormat="1" ht="14" spans="1:30">
      <c r="A578" s="6"/>
      <c r="B578" s="158"/>
      <c r="C578" s="104"/>
      <c r="D578" s="104"/>
      <c r="E578" s="159"/>
      <c r="F578" s="104"/>
      <c r="G578" s="195"/>
      <c r="H578" s="40"/>
      <c r="I578" s="155"/>
      <c r="J578" s="109"/>
      <c r="K578" s="160"/>
      <c r="L578" s="160"/>
      <c r="M578" s="160"/>
      <c r="N578" s="160"/>
      <c r="O578" s="187"/>
      <c r="P578" s="160"/>
      <c r="Q578" s="160"/>
      <c r="R578" s="162"/>
      <c r="S578" s="162"/>
      <c r="T578" s="160"/>
      <c r="U578" s="160"/>
      <c r="V578" s="160"/>
      <c r="W578" s="160"/>
      <c r="X578" s="160"/>
      <c r="Y578" s="160"/>
      <c r="Z578" s="160"/>
      <c r="AA578" s="160"/>
      <c r="AB578" s="160"/>
      <c r="AC578" s="160"/>
      <c r="AD578" s="160"/>
    </row>
    <row r="579" s="13" customFormat="1" ht="14" spans="1:30">
      <c r="A579" s="6"/>
      <c r="B579" s="158"/>
      <c r="C579" s="104"/>
      <c r="D579" s="104"/>
      <c r="E579" s="159"/>
      <c r="F579" s="104"/>
      <c r="G579" s="195"/>
      <c r="H579" s="40"/>
      <c r="I579" s="155"/>
      <c r="J579" s="109"/>
      <c r="K579" s="160"/>
      <c r="L579" s="160"/>
      <c r="M579" s="160"/>
      <c r="N579" s="160"/>
      <c r="O579" s="187"/>
      <c r="P579" s="160"/>
      <c r="Q579" s="160"/>
      <c r="R579" s="162"/>
      <c r="S579" s="162"/>
      <c r="T579" s="160"/>
      <c r="U579" s="160"/>
      <c r="V579" s="160"/>
      <c r="W579" s="160"/>
      <c r="X579" s="160"/>
      <c r="Y579" s="160"/>
      <c r="Z579" s="160"/>
      <c r="AA579" s="160"/>
      <c r="AB579" s="160"/>
      <c r="AC579" s="160"/>
      <c r="AD579" s="160"/>
    </row>
    <row r="580" s="13" customFormat="1" ht="14" spans="1:30">
      <c r="A580" s="6"/>
      <c r="B580" s="158"/>
      <c r="C580" s="104"/>
      <c r="D580" s="104"/>
      <c r="E580" s="159"/>
      <c r="F580" s="104"/>
      <c r="G580" s="195"/>
      <c r="H580" s="40"/>
      <c r="I580" s="155"/>
      <c r="J580" s="109"/>
      <c r="K580" s="160"/>
      <c r="L580" s="160"/>
      <c r="M580" s="160"/>
      <c r="N580" s="160"/>
      <c r="O580" s="187"/>
      <c r="P580" s="160"/>
      <c r="Q580" s="160"/>
      <c r="R580" s="162"/>
      <c r="S580" s="162"/>
      <c r="T580" s="160"/>
      <c r="U580" s="160"/>
      <c r="V580" s="160"/>
      <c r="W580" s="160"/>
      <c r="X580" s="160"/>
      <c r="Y580" s="160"/>
      <c r="Z580" s="160"/>
      <c r="AA580" s="160"/>
      <c r="AB580" s="160"/>
      <c r="AC580" s="160"/>
      <c r="AD580" s="160"/>
    </row>
    <row r="581" s="13" customFormat="1" ht="14" spans="1:30">
      <c r="A581" s="6"/>
      <c r="B581" s="158"/>
      <c r="C581" s="104"/>
      <c r="D581" s="104"/>
      <c r="E581" s="159"/>
      <c r="F581" s="104"/>
      <c r="G581" s="195"/>
      <c r="H581" s="40"/>
      <c r="I581" s="155"/>
      <c r="J581" s="109"/>
      <c r="K581" s="160"/>
      <c r="L581" s="160"/>
      <c r="M581" s="160"/>
      <c r="N581" s="160"/>
      <c r="O581" s="187"/>
      <c r="P581" s="160"/>
      <c r="Q581" s="160"/>
      <c r="R581" s="162"/>
      <c r="S581" s="162"/>
      <c r="T581" s="160"/>
      <c r="U581" s="160"/>
      <c r="V581" s="160"/>
      <c r="W581" s="160"/>
      <c r="X581" s="160"/>
      <c r="Y581" s="160"/>
      <c r="Z581" s="160"/>
      <c r="AA581" s="160"/>
      <c r="AB581" s="160"/>
      <c r="AC581" s="160"/>
      <c r="AD581" s="160"/>
    </row>
    <row r="582" s="13" customFormat="1" ht="14" spans="1:30">
      <c r="A582" s="6"/>
      <c r="B582" s="158"/>
      <c r="C582" s="104"/>
      <c r="D582" s="104"/>
      <c r="E582" s="159"/>
      <c r="F582" s="104"/>
      <c r="G582" s="195"/>
      <c r="H582" s="40"/>
      <c r="I582" s="155"/>
      <c r="J582" s="109"/>
      <c r="K582" s="160"/>
      <c r="L582" s="160"/>
      <c r="M582" s="160"/>
      <c r="N582" s="160"/>
      <c r="O582" s="187"/>
      <c r="P582" s="160"/>
      <c r="Q582" s="160"/>
      <c r="R582" s="162"/>
      <c r="S582" s="162"/>
      <c r="T582" s="160"/>
      <c r="U582" s="160"/>
      <c r="V582" s="160"/>
      <c r="W582" s="160"/>
      <c r="X582" s="160"/>
      <c r="Y582" s="160"/>
      <c r="Z582" s="160"/>
      <c r="AA582" s="160"/>
      <c r="AB582" s="160"/>
      <c r="AC582" s="160"/>
      <c r="AD582" s="160"/>
    </row>
    <row r="583" s="13" customFormat="1" ht="14" spans="1:30">
      <c r="A583" s="6"/>
      <c r="B583" s="158"/>
      <c r="C583" s="104"/>
      <c r="D583" s="104"/>
      <c r="E583" s="159"/>
      <c r="F583" s="104"/>
      <c r="G583" s="195"/>
      <c r="H583" s="40"/>
      <c r="I583" s="155"/>
      <c r="J583" s="109"/>
      <c r="K583" s="160"/>
      <c r="L583" s="160"/>
      <c r="M583" s="160"/>
      <c r="N583" s="160"/>
      <c r="O583" s="187"/>
      <c r="P583" s="160"/>
      <c r="Q583" s="160"/>
      <c r="R583" s="162"/>
      <c r="S583" s="162"/>
      <c r="T583" s="160"/>
      <c r="U583" s="160"/>
      <c r="V583" s="160"/>
      <c r="W583" s="160"/>
      <c r="X583" s="160"/>
      <c r="Y583" s="160"/>
      <c r="Z583" s="160"/>
      <c r="AA583" s="160"/>
      <c r="AB583" s="160"/>
      <c r="AC583" s="160"/>
      <c r="AD583" s="160"/>
    </row>
    <row r="584" s="13" customFormat="1" ht="14" spans="1:30">
      <c r="A584" s="6"/>
      <c r="B584" s="158"/>
      <c r="C584" s="104"/>
      <c r="D584" s="104"/>
      <c r="E584" s="159"/>
      <c r="F584" s="104"/>
      <c r="G584" s="195"/>
      <c r="H584" s="40"/>
      <c r="I584" s="155"/>
      <c r="J584" s="109"/>
      <c r="K584" s="160"/>
      <c r="L584" s="160"/>
      <c r="M584" s="160"/>
      <c r="N584" s="160"/>
      <c r="O584" s="187"/>
      <c r="P584" s="160"/>
      <c r="Q584" s="160"/>
      <c r="R584" s="162"/>
      <c r="S584" s="162"/>
      <c r="T584" s="160"/>
      <c r="U584" s="160"/>
      <c r="V584" s="160"/>
      <c r="W584" s="160"/>
      <c r="X584" s="160"/>
      <c r="Y584" s="160"/>
      <c r="Z584" s="160"/>
      <c r="AA584" s="160"/>
      <c r="AB584" s="160"/>
      <c r="AC584" s="160"/>
      <c r="AD584" s="160"/>
    </row>
    <row r="585" s="13" customFormat="1" ht="14" spans="1:30">
      <c r="A585" s="6"/>
      <c r="B585" s="158"/>
      <c r="C585" s="104"/>
      <c r="D585" s="104"/>
      <c r="E585" s="159"/>
      <c r="F585" s="104"/>
      <c r="G585" s="195"/>
      <c r="H585" s="40"/>
      <c r="I585" s="155"/>
      <c r="J585" s="109"/>
      <c r="K585" s="160"/>
      <c r="L585" s="160"/>
      <c r="M585" s="160"/>
      <c r="N585" s="160"/>
      <c r="O585" s="187"/>
      <c r="P585" s="160"/>
      <c r="Q585" s="160"/>
      <c r="R585" s="162"/>
      <c r="S585" s="162"/>
      <c r="T585" s="160"/>
      <c r="U585" s="160"/>
      <c r="V585" s="160"/>
      <c r="W585" s="160"/>
      <c r="X585" s="160"/>
      <c r="Y585" s="160"/>
      <c r="Z585" s="160"/>
      <c r="AA585" s="160"/>
      <c r="AB585" s="160"/>
      <c r="AC585" s="160"/>
      <c r="AD585" s="160"/>
    </row>
    <row r="586" s="13" customFormat="1" ht="14" spans="1:30">
      <c r="A586" s="6"/>
      <c r="B586" s="158"/>
      <c r="C586" s="104"/>
      <c r="D586" s="104"/>
      <c r="E586" s="159"/>
      <c r="F586" s="104"/>
      <c r="G586" s="195"/>
      <c r="H586" s="40"/>
      <c r="I586" s="155"/>
      <c r="J586" s="109"/>
      <c r="K586" s="160"/>
      <c r="L586" s="160"/>
      <c r="M586" s="160"/>
      <c r="N586" s="160"/>
      <c r="O586" s="187"/>
      <c r="P586" s="160"/>
      <c r="Q586" s="160"/>
      <c r="R586" s="162"/>
      <c r="S586" s="162"/>
      <c r="T586" s="160"/>
      <c r="U586" s="160"/>
      <c r="V586" s="160"/>
      <c r="W586" s="160"/>
      <c r="X586" s="160"/>
      <c r="Y586" s="160"/>
      <c r="Z586" s="160"/>
      <c r="AA586" s="160"/>
      <c r="AB586" s="160"/>
      <c r="AC586" s="160"/>
      <c r="AD586" s="160"/>
    </row>
    <row r="587" s="13" customFormat="1" ht="14" spans="1:30">
      <c r="A587" s="6"/>
      <c r="B587" s="158"/>
      <c r="C587" s="104"/>
      <c r="D587" s="104"/>
      <c r="E587" s="159"/>
      <c r="F587" s="104"/>
      <c r="G587" s="195"/>
      <c r="H587" s="40"/>
      <c r="I587" s="155"/>
      <c r="J587" s="109"/>
      <c r="K587" s="160"/>
      <c r="L587" s="160"/>
      <c r="M587" s="160"/>
      <c r="N587" s="160"/>
      <c r="O587" s="187"/>
      <c r="P587" s="160"/>
      <c r="Q587" s="160"/>
      <c r="R587" s="162"/>
      <c r="S587" s="162"/>
      <c r="T587" s="160"/>
      <c r="U587" s="160"/>
      <c r="V587" s="160"/>
      <c r="W587" s="160"/>
      <c r="X587" s="160"/>
      <c r="Y587" s="160"/>
      <c r="Z587" s="160"/>
      <c r="AA587" s="160"/>
      <c r="AB587" s="160"/>
      <c r="AC587" s="160"/>
      <c r="AD587" s="160"/>
    </row>
    <row r="588" s="13" customFormat="1" ht="14" spans="1:30">
      <c r="A588" s="6"/>
      <c r="B588" s="158"/>
      <c r="C588" s="104"/>
      <c r="D588" s="104"/>
      <c r="E588" s="159"/>
      <c r="F588" s="104"/>
      <c r="G588" s="195"/>
      <c r="H588" s="40"/>
      <c r="I588" s="155"/>
      <c r="J588" s="109"/>
      <c r="K588" s="160"/>
      <c r="L588" s="160"/>
      <c r="M588" s="160"/>
      <c r="N588" s="160"/>
      <c r="O588" s="187"/>
      <c r="P588" s="160"/>
      <c r="Q588" s="160"/>
      <c r="R588" s="162"/>
      <c r="S588" s="162"/>
      <c r="T588" s="160"/>
      <c r="U588" s="160"/>
      <c r="V588" s="160"/>
      <c r="W588" s="160"/>
      <c r="X588" s="160"/>
      <c r="Y588" s="160"/>
      <c r="Z588" s="160"/>
      <c r="AA588" s="160"/>
      <c r="AB588" s="160"/>
      <c r="AC588" s="160"/>
      <c r="AD588" s="160"/>
    </row>
    <row r="589" s="13" customFormat="1" ht="14" spans="1:30">
      <c r="A589" s="6"/>
      <c r="B589" s="158"/>
      <c r="C589" s="104"/>
      <c r="D589" s="104"/>
      <c r="E589" s="159"/>
      <c r="F589" s="104"/>
      <c r="G589" s="195"/>
      <c r="H589" s="40"/>
      <c r="I589" s="155"/>
      <c r="J589" s="109"/>
      <c r="K589" s="160"/>
      <c r="L589" s="160"/>
      <c r="M589" s="160"/>
      <c r="N589" s="160"/>
      <c r="O589" s="187"/>
      <c r="P589" s="160"/>
      <c r="Q589" s="160"/>
      <c r="R589" s="162"/>
      <c r="S589" s="162"/>
      <c r="T589" s="160"/>
      <c r="U589" s="160"/>
      <c r="V589" s="160"/>
      <c r="W589" s="160"/>
      <c r="X589" s="160"/>
      <c r="Y589" s="160"/>
      <c r="Z589" s="160"/>
      <c r="AA589" s="160"/>
      <c r="AB589" s="160"/>
      <c r="AC589" s="160"/>
      <c r="AD589" s="160"/>
    </row>
    <row r="590" s="13" customFormat="1" ht="14" spans="1:30">
      <c r="A590" s="6"/>
      <c r="B590" s="158"/>
      <c r="C590" s="104"/>
      <c r="D590" s="104"/>
      <c r="E590" s="159"/>
      <c r="F590" s="104"/>
      <c r="G590" s="195"/>
      <c r="H590" s="40"/>
      <c r="I590" s="155"/>
      <c r="J590" s="109"/>
      <c r="K590" s="160"/>
      <c r="L590" s="160"/>
      <c r="M590" s="160"/>
      <c r="N590" s="160"/>
      <c r="O590" s="187"/>
      <c r="P590" s="160"/>
      <c r="Q590" s="160"/>
      <c r="R590" s="162"/>
      <c r="S590" s="162"/>
      <c r="T590" s="160"/>
      <c r="U590" s="160"/>
      <c r="V590" s="160"/>
      <c r="W590" s="160"/>
      <c r="X590" s="160"/>
      <c r="Y590" s="160"/>
      <c r="Z590" s="160"/>
      <c r="AA590" s="160"/>
      <c r="AB590" s="160"/>
      <c r="AC590" s="160"/>
      <c r="AD590" s="160"/>
    </row>
    <row r="591" s="13" customFormat="1" ht="14" spans="1:30">
      <c r="A591" s="6"/>
      <c r="B591" s="158"/>
      <c r="C591" s="104"/>
      <c r="D591" s="104"/>
      <c r="E591" s="159"/>
      <c r="F591" s="104"/>
      <c r="G591" s="195"/>
      <c r="H591" s="40"/>
      <c r="I591" s="155"/>
      <c r="J591" s="109"/>
      <c r="K591" s="160"/>
      <c r="L591" s="160"/>
      <c r="M591" s="160"/>
      <c r="N591" s="160"/>
      <c r="O591" s="187"/>
      <c r="P591" s="160"/>
      <c r="Q591" s="160"/>
      <c r="R591" s="162"/>
      <c r="S591" s="162"/>
      <c r="T591" s="160"/>
      <c r="U591" s="160"/>
      <c r="V591" s="160"/>
      <c r="W591" s="160"/>
      <c r="X591" s="160"/>
      <c r="Y591" s="160"/>
      <c r="Z591" s="160"/>
      <c r="AA591" s="160"/>
      <c r="AB591" s="160"/>
      <c r="AC591" s="160"/>
      <c r="AD591" s="160"/>
    </row>
    <row r="592" s="13" customFormat="1" ht="14" spans="1:30">
      <c r="A592" s="6"/>
      <c r="B592" s="158"/>
      <c r="C592" s="104"/>
      <c r="D592" s="104"/>
      <c r="E592" s="159"/>
      <c r="F592" s="104"/>
      <c r="G592" s="195"/>
      <c r="H592" s="40"/>
      <c r="I592" s="155"/>
      <c r="J592" s="109"/>
      <c r="K592" s="160"/>
      <c r="L592" s="160"/>
      <c r="M592" s="160"/>
      <c r="N592" s="160"/>
      <c r="O592" s="187"/>
      <c r="P592" s="160"/>
      <c r="Q592" s="160"/>
      <c r="R592" s="162"/>
      <c r="S592" s="162"/>
      <c r="T592" s="160"/>
      <c r="U592" s="160"/>
      <c r="V592" s="160"/>
      <c r="W592" s="160"/>
      <c r="X592" s="160"/>
      <c r="Y592" s="160"/>
      <c r="Z592" s="160"/>
      <c r="AA592" s="160"/>
      <c r="AB592" s="160"/>
      <c r="AC592" s="160"/>
      <c r="AD592" s="160"/>
    </row>
    <row r="593" s="13" customFormat="1" ht="14" spans="1:30">
      <c r="A593" s="6"/>
      <c r="B593" s="158"/>
      <c r="C593" s="104"/>
      <c r="D593" s="104"/>
      <c r="E593" s="159"/>
      <c r="F593" s="104"/>
      <c r="G593" s="195"/>
      <c r="H593" s="40"/>
      <c r="I593" s="155"/>
      <c r="J593" s="109"/>
      <c r="K593" s="160"/>
      <c r="L593" s="160"/>
      <c r="M593" s="160"/>
      <c r="N593" s="160"/>
      <c r="O593" s="187"/>
      <c r="P593" s="160"/>
      <c r="Q593" s="160"/>
      <c r="R593" s="162"/>
      <c r="S593" s="162"/>
      <c r="T593" s="160"/>
      <c r="U593" s="160"/>
      <c r="V593" s="160"/>
      <c r="W593" s="160"/>
      <c r="X593" s="160"/>
      <c r="Y593" s="160"/>
      <c r="Z593" s="160"/>
      <c r="AA593" s="160"/>
      <c r="AB593" s="160"/>
      <c r="AC593" s="160"/>
      <c r="AD593" s="160"/>
    </row>
    <row r="594" s="13" customFormat="1" ht="14" spans="1:30">
      <c r="A594" s="6"/>
      <c r="B594" s="158"/>
      <c r="C594" s="104"/>
      <c r="D594" s="104"/>
      <c r="E594" s="159"/>
      <c r="F594" s="104"/>
      <c r="G594" s="195"/>
      <c r="H594" s="40"/>
      <c r="I594" s="155"/>
      <c r="J594" s="109"/>
      <c r="K594" s="160"/>
      <c r="L594" s="160"/>
      <c r="M594" s="160"/>
      <c r="N594" s="160"/>
      <c r="O594" s="187"/>
      <c r="P594" s="160"/>
      <c r="Q594" s="160"/>
      <c r="R594" s="162"/>
      <c r="S594" s="162"/>
      <c r="T594" s="160"/>
      <c r="U594" s="160"/>
      <c r="V594" s="160"/>
      <c r="W594" s="160"/>
      <c r="X594" s="160"/>
      <c r="Y594" s="160"/>
      <c r="Z594" s="160"/>
      <c r="AA594" s="160"/>
      <c r="AB594" s="160"/>
      <c r="AC594" s="160"/>
      <c r="AD594" s="160"/>
    </row>
    <row r="595" s="13" customFormat="1" ht="14" spans="1:30">
      <c r="A595" s="6"/>
      <c r="B595" s="158"/>
      <c r="C595" s="104"/>
      <c r="D595" s="104"/>
      <c r="E595" s="159"/>
      <c r="F595" s="104"/>
      <c r="G595" s="195"/>
      <c r="H595" s="40"/>
      <c r="I595" s="155"/>
      <c r="J595" s="109"/>
      <c r="K595" s="160"/>
      <c r="L595" s="160"/>
      <c r="M595" s="160"/>
      <c r="N595" s="160"/>
      <c r="O595" s="187"/>
      <c r="P595" s="160"/>
      <c r="Q595" s="160"/>
      <c r="R595" s="162"/>
      <c r="S595" s="162"/>
      <c r="T595" s="160"/>
      <c r="U595" s="160"/>
      <c r="V595" s="160"/>
      <c r="W595" s="160"/>
      <c r="X595" s="160"/>
      <c r="Y595" s="160"/>
      <c r="Z595" s="160"/>
      <c r="AA595" s="160"/>
      <c r="AB595" s="160"/>
      <c r="AC595" s="160"/>
      <c r="AD595" s="160"/>
    </row>
    <row r="596" s="13" customFormat="1" ht="14" spans="1:30">
      <c r="A596" s="6"/>
      <c r="B596" s="158"/>
      <c r="C596" s="104"/>
      <c r="D596" s="104"/>
      <c r="E596" s="159"/>
      <c r="F596" s="104"/>
      <c r="G596" s="195"/>
      <c r="H596" s="40"/>
      <c r="I596" s="155"/>
      <c r="J596" s="109"/>
      <c r="K596" s="160"/>
      <c r="L596" s="160"/>
      <c r="M596" s="160"/>
      <c r="N596" s="160"/>
      <c r="O596" s="187"/>
      <c r="P596" s="160"/>
      <c r="Q596" s="160"/>
      <c r="R596" s="162"/>
      <c r="S596" s="162"/>
      <c r="T596" s="160"/>
      <c r="U596" s="160"/>
      <c r="V596" s="160"/>
      <c r="W596" s="160"/>
      <c r="X596" s="160"/>
      <c r="Y596" s="160"/>
      <c r="Z596" s="160"/>
      <c r="AA596" s="160"/>
      <c r="AB596" s="160"/>
      <c r="AC596" s="160"/>
      <c r="AD596" s="160"/>
    </row>
    <row r="597" s="13" customFormat="1" ht="14" spans="1:30">
      <c r="A597" s="6"/>
      <c r="B597" s="158"/>
      <c r="C597" s="104"/>
      <c r="D597" s="104"/>
      <c r="E597" s="159"/>
      <c r="F597" s="104"/>
      <c r="G597" s="195"/>
      <c r="H597" s="40"/>
      <c r="I597" s="155"/>
      <c r="J597" s="109"/>
      <c r="K597" s="160"/>
      <c r="L597" s="160"/>
      <c r="M597" s="160"/>
      <c r="N597" s="160"/>
      <c r="O597" s="187"/>
      <c r="P597" s="160"/>
      <c r="Q597" s="160"/>
      <c r="R597" s="162"/>
      <c r="S597" s="162"/>
      <c r="T597" s="160"/>
      <c r="U597" s="160"/>
      <c r="V597" s="160"/>
      <c r="W597" s="160"/>
      <c r="X597" s="160"/>
      <c r="Y597" s="160"/>
      <c r="Z597" s="160"/>
      <c r="AA597" s="160"/>
      <c r="AB597" s="160"/>
      <c r="AC597" s="160"/>
      <c r="AD597" s="160"/>
    </row>
    <row r="598" s="13" customFormat="1" ht="14" spans="1:30">
      <c r="A598" s="6"/>
      <c r="B598" s="158"/>
      <c r="C598" s="104"/>
      <c r="D598" s="104"/>
      <c r="E598" s="159"/>
      <c r="F598" s="104"/>
      <c r="G598" s="195"/>
      <c r="H598" s="40"/>
      <c r="I598" s="155"/>
      <c r="J598" s="109"/>
      <c r="K598" s="160"/>
      <c r="L598" s="160"/>
      <c r="M598" s="160"/>
      <c r="N598" s="160"/>
      <c r="O598" s="187"/>
      <c r="P598" s="160"/>
      <c r="Q598" s="160"/>
      <c r="R598" s="162"/>
      <c r="S598" s="162"/>
      <c r="T598" s="160"/>
      <c r="U598" s="160"/>
      <c r="V598" s="160"/>
      <c r="W598" s="160"/>
      <c r="X598" s="160"/>
      <c r="Y598" s="160"/>
      <c r="Z598" s="160"/>
      <c r="AA598" s="160"/>
      <c r="AB598" s="160"/>
      <c r="AC598" s="160"/>
      <c r="AD598" s="160"/>
    </row>
    <row r="599" s="13" customFormat="1" ht="14" spans="1:30">
      <c r="A599" s="6"/>
      <c r="B599" s="158"/>
      <c r="C599" s="104"/>
      <c r="D599" s="104"/>
      <c r="E599" s="159"/>
      <c r="F599" s="104"/>
      <c r="G599" s="195"/>
      <c r="H599" s="40"/>
      <c r="I599" s="155"/>
      <c r="J599" s="109"/>
      <c r="K599" s="160"/>
      <c r="L599" s="160"/>
      <c r="M599" s="160"/>
      <c r="N599" s="160"/>
      <c r="O599" s="187"/>
      <c r="P599" s="160"/>
      <c r="Q599" s="160"/>
      <c r="R599" s="162"/>
      <c r="S599" s="162"/>
      <c r="T599" s="160"/>
      <c r="U599" s="160"/>
      <c r="V599" s="160"/>
      <c r="W599" s="160"/>
      <c r="X599" s="160"/>
      <c r="Y599" s="160"/>
      <c r="Z599" s="160"/>
      <c r="AA599" s="160"/>
      <c r="AB599" s="160"/>
      <c r="AC599" s="160"/>
      <c r="AD599" s="160"/>
    </row>
    <row r="600" s="13" customFormat="1" ht="14" spans="1:30">
      <c r="A600" s="6"/>
      <c r="B600" s="158"/>
      <c r="C600" s="104"/>
      <c r="D600" s="104"/>
      <c r="E600" s="159"/>
      <c r="F600" s="104"/>
      <c r="G600" s="195"/>
      <c r="H600" s="40"/>
      <c r="I600" s="155"/>
      <c r="J600" s="109"/>
      <c r="K600" s="160"/>
      <c r="L600" s="160"/>
      <c r="M600" s="160"/>
      <c r="N600" s="160"/>
      <c r="O600" s="187"/>
      <c r="P600" s="160"/>
      <c r="Q600" s="160"/>
      <c r="R600" s="162"/>
      <c r="S600" s="162"/>
      <c r="T600" s="160"/>
      <c r="U600" s="160"/>
      <c r="V600" s="160"/>
      <c r="W600" s="160"/>
      <c r="X600" s="160"/>
      <c r="Y600" s="160"/>
      <c r="Z600" s="160"/>
      <c r="AA600" s="160"/>
      <c r="AB600" s="160"/>
      <c r="AC600" s="160"/>
      <c r="AD600" s="160"/>
    </row>
    <row r="601" s="13" customFormat="1" ht="14" spans="1:30">
      <c r="A601" s="6"/>
      <c r="B601" s="158"/>
      <c r="C601" s="104"/>
      <c r="D601" s="104"/>
      <c r="E601" s="159"/>
      <c r="F601" s="104"/>
      <c r="G601" s="195"/>
      <c r="H601" s="40"/>
      <c r="I601" s="155"/>
      <c r="J601" s="109"/>
      <c r="K601" s="160"/>
      <c r="L601" s="160"/>
      <c r="M601" s="160"/>
      <c r="N601" s="160"/>
      <c r="O601" s="187"/>
      <c r="P601" s="160"/>
      <c r="Q601" s="160"/>
      <c r="R601" s="162"/>
      <c r="S601" s="162"/>
      <c r="T601" s="160"/>
      <c r="U601" s="160"/>
      <c r="V601" s="160"/>
      <c r="W601" s="160"/>
      <c r="X601" s="160"/>
      <c r="Y601" s="160"/>
      <c r="Z601" s="160"/>
      <c r="AA601" s="160"/>
      <c r="AB601" s="160"/>
      <c r="AC601" s="160"/>
      <c r="AD601" s="160"/>
    </row>
    <row r="602" s="13" customFormat="1" ht="14" spans="1:30">
      <c r="A602" s="6"/>
      <c r="B602" s="158"/>
      <c r="C602" s="104"/>
      <c r="D602" s="104"/>
      <c r="E602" s="159"/>
      <c r="F602" s="104"/>
      <c r="G602" s="195"/>
      <c r="H602" s="40"/>
      <c r="I602" s="155"/>
      <c r="J602" s="109"/>
      <c r="K602" s="160"/>
      <c r="L602" s="160"/>
      <c r="M602" s="160"/>
      <c r="N602" s="160"/>
      <c r="O602" s="187"/>
      <c r="P602" s="160"/>
      <c r="Q602" s="160"/>
      <c r="R602" s="162"/>
      <c r="S602" s="162"/>
      <c r="T602" s="160"/>
      <c r="U602" s="160"/>
      <c r="V602" s="160"/>
      <c r="W602" s="160"/>
      <c r="X602" s="160"/>
      <c r="Y602" s="160"/>
      <c r="Z602" s="160"/>
      <c r="AA602" s="160"/>
      <c r="AB602" s="160"/>
      <c r="AC602" s="160"/>
      <c r="AD602" s="160"/>
    </row>
    <row r="603" s="13" customFormat="1" ht="14" spans="1:30">
      <c r="A603" s="6"/>
      <c r="B603" s="158"/>
      <c r="C603" s="104"/>
      <c r="D603" s="104"/>
      <c r="E603" s="159"/>
      <c r="F603" s="104"/>
      <c r="G603" s="195"/>
      <c r="H603" s="40"/>
      <c r="I603" s="155"/>
      <c r="J603" s="109"/>
      <c r="K603" s="160"/>
      <c r="L603" s="160"/>
      <c r="M603" s="160"/>
      <c r="N603" s="160"/>
      <c r="O603" s="187"/>
      <c r="P603" s="160"/>
      <c r="Q603" s="160"/>
      <c r="R603" s="162"/>
      <c r="S603" s="162"/>
      <c r="T603" s="160"/>
      <c r="U603" s="160"/>
      <c r="V603" s="160"/>
      <c r="W603" s="160"/>
      <c r="X603" s="160"/>
      <c r="Y603" s="160"/>
      <c r="Z603" s="160"/>
      <c r="AA603" s="160"/>
      <c r="AB603" s="160"/>
      <c r="AC603" s="160"/>
      <c r="AD603" s="160"/>
    </row>
    <row r="604" s="13" customFormat="1" ht="14" spans="1:30">
      <c r="A604" s="6"/>
      <c r="B604" s="158"/>
      <c r="C604" s="104"/>
      <c r="D604" s="104"/>
      <c r="E604" s="159"/>
      <c r="F604" s="104"/>
      <c r="G604" s="195"/>
      <c r="H604" s="40"/>
      <c r="I604" s="155"/>
      <c r="J604" s="109"/>
      <c r="K604" s="160"/>
      <c r="L604" s="160"/>
      <c r="M604" s="160"/>
      <c r="N604" s="160"/>
      <c r="O604" s="187"/>
      <c r="P604" s="160"/>
      <c r="Q604" s="160"/>
      <c r="R604" s="162"/>
      <c r="S604" s="162"/>
      <c r="T604" s="160"/>
      <c r="U604" s="160"/>
      <c r="V604" s="160"/>
      <c r="W604" s="160"/>
      <c r="X604" s="160"/>
      <c r="Y604" s="160"/>
      <c r="Z604" s="160"/>
      <c r="AA604" s="160"/>
      <c r="AB604" s="160"/>
      <c r="AC604" s="160"/>
      <c r="AD604" s="160"/>
    </row>
    <row r="605" s="13" customFormat="1" ht="14" spans="1:30">
      <c r="A605" s="6"/>
      <c r="B605" s="158"/>
      <c r="C605" s="104"/>
      <c r="D605" s="104"/>
      <c r="E605" s="159"/>
      <c r="F605" s="104"/>
      <c r="G605" s="195"/>
      <c r="H605" s="40"/>
      <c r="I605" s="155"/>
      <c r="J605" s="109"/>
      <c r="K605" s="160"/>
      <c r="L605" s="160"/>
      <c r="M605" s="160"/>
      <c r="N605" s="160"/>
      <c r="O605" s="187"/>
      <c r="P605" s="160"/>
      <c r="Q605" s="160"/>
      <c r="R605" s="162"/>
      <c r="S605" s="162"/>
      <c r="T605" s="160"/>
      <c r="U605" s="160"/>
      <c r="V605" s="160"/>
      <c r="W605" s="160"/>
      <c r="X605" s="160"/>
      <c r="Y605" s="160"/>
      <c r="Z605" s="160"/>
      <c r="AA605" s="160"/>
      <c r="AB605" s="160"/>
      <c r="AC605" s="160"/>
      <c r="AD605" s="160"/>
    </row>
    <row r="606" s="13" customFormat="1" ht="14" spans="1:30">
      <c r="A606" s="6"/>
      <c r="B606" s="158"/>
      <c r="C606" s="104"/>
      <c r="D606" s="104"/>
      <c r="E606" s="159"/>
      <c r="F606" s="104"/>
      <c r="G606" s="195"/>
      <c r="H606" s="40"/>
      <c r="I606" s="155"/>
      <c r="J606" s="109"/>
      <c r="K606" s="160"/>
      <c r="L606" s="160"/>
      <c r="M606" s="160"/>
      <c r="N606" s="160"/>
      <c r="O606" s="187"/>
      <c r="P606" s="160"/>
      <c r="Q606" s="160"/>
      <c r="R606" s="162"/>
      <c r="S606" s="162"/>
      <c r="T606" s="160"/>
      <c r="U606" s="160"/>
      <c r="V606" s="160"/>
      <c r="W606" s="160"/>
      <c r="X606" s="160"/>
      <c r="Y606" s="160"/>
      <c r="Z606" s="160"/>
      <c r="AA606" s="160"/>
      <c r="AB606" s="160"/>
      <c r="AC606" s="160"/>
      <c r="AD606" s="160"/>
    </row>
    <row r="607" s="13" customFormat="1" ht="14" spans="1:30">
      <c r="A607" s="6"/>
      <c r="B607" s="158"/>
      <c r="C607" s="104"/>
      <c r="D607" s="104"/>
      <c r="E607" s="159"/>
      <c r="F607" s="104"/>
      <c r="G607" s="195"/>
      <c r="H607" s="40"/>
      <c r="I607" s="155"/>
      <c r="J607" s="109"/>
      <c r="K607" s="160"/>
      <c r="L607" s="160"/>
      <c r="M607" s="160"/>
      <c r="N607" s="160"/>
      <c r="O607" s="187"/>
      <c r="P607" s="160"/>
      <c r="Q607" s="160"/>
      <c r="R607" s="162"/>
      <c r="S607" s="162"/>
      <c r="T607" s="160"/>
      <c r="U607" s="160"/>
      <c r="V607" s="160"/>
      <c r="W607" s="160"/>
      <c r="X607" s="160"/>
      <c r="Y607" s="160"/>
      <c r="Z607" s="160"/>
      <c r="AA607" s="160"/>
      <c r="AB607" s="160"/>
      <c r="AC607" s="160"/>
      <c r="AD607" s="160"/>
    </row>
    <row r="608" s="13" customFormat="1" ht="14" spans="1:30">
      <c r="A608" s="6"/>
      <c r="B608" s="158"/>
      <c r="C608" s="104"/>
      <c r="D608" s="104"/>
      <c r="E608" s="159"/>
      <c r="F608" s="104"/>
      <c r="G608" s="195"/>
      <c r="H608" s="40"/>
      <c r="I608" s="155"/>
      <c r="J608" s="109"/>
      <c r="K608" s="160"/>
      <c r="L608" s="160"/>
      <c r="M608" s="160"/>
      <c r="N608" s="160"/>
      <c r="O608" s="187"/>
      <c r="P608" s="160"/>
      <c r="Q608" s="160"/>
      <c r="R608" s="162"/>
      <c r="S608" s="162"/>
      <c r="T608" s="160"/>
      <c r="U608" s="160"/>
      <c r="V608" s="160"/>
      <c r="W608" s="160"/>
      <c r="X608" s="160"/>
      <c r="Y608" s="160"/>
      <c r="Z608" s="160"/>
      <c r="AA608" s="160"/>
      <c r="AB608" s="160"/>
      <c r="AC608" s="160"/>
      <c r="AD608" s="160"/>
    </row>
    <row r="609" s="13" customFormat="1" ht="14" spans="1:30">
      <c r="A609" s="6"/>
      <c r="B609" s="158"/>
      <c r="C609" s="104"/>
      <c r="D609" s="104"/>
      <c r="E609" s="159"/>
      <c r="F609" s="104"/>
      <c r="G609" s="195"/>
      <c r="H609" s="40"/>
      <c r="I609" s="155"/>
      <c r="J609" s="109"/>
      <c r="K609" s="160"/>
      <c r="L609" s="160"/>
      <c r="M609" s="160"/>
      <c r="N609" s="160"/>
      <c r="O609" s="187"/>
      <c r="P609" s="160"/>
      <c r="Q609" s="160"/>
      <c r="R609" s="162"/>
      <c r="S609" s="162"/>
      <c r="T609" s="160"/>
      <c r="U609" s="160"/>
      <c r="V609" s="160"/>
      <c r="W609" s="160"/>
      <c r="X609" s="160"/>
      <c r="Y609" s="160"/>
      <c r="Z609" s="160"/>
      <c r="AA609" s="160"/>
      <c r="AB609" s="160"/>
      <c r="AC609" s="160"/>
      <c r="AD609" s="160"/>
    </row>
    <row r="610" s="13" customFormat="1" ht="14" spans="1:30">
      <c r="A610" s="6"/>
      <c r="B610" s="158"/>
      <c r="C610" s="104"/>
      <c r="D610" s="104"/>
      <c r="E610" s="159"/>
      <c r="F610" s="104"/>
      <c r="G610" s="195"/>
      <c r="H610" s="40"/>
      <c r="I610" s="155"/>
      <c r="J610" s="109"/>
      <c r="K610" s="160"/>
      <c r="L610" s="160"/>
      <c r="M610" s="160"/>
      <c r="N610" s="160"/>
      <c r="O610" s="187"/>
      <c r="P610" s="160"/>
      <c r="Q610" s="160"/>
      <c r="R610" s="162"/>
      <c r="S610" s="162"/>
      <c r="T610" s="160"/>
      <c r="U610" s="160"/>
      <c r="V610" s="160"/>
      <c r="W610" s="160"/>
      <c r="X610" s="160"/>
      <c r="Y610" s="160"/>
      <c r="Z610" s="160"/>
      <c r="AA610" s="160"/>
      <c r="AB610" s="160"/>
      <c r="AC610" s="160"/>
      <c r="AD610" s="160"/>
    </row>
    <row r="611" s="13" customFormat="1" ht="14" spans="1:30">
      <c r="A611" s="6"/>
      <c r="B611" s="158"/>
      <c r="C611" s="104"/>
      <c r="D611" s="104"/>
      <c r="E611" s="159"/>
      <c r="F611" s="104"/>
      <c r="G611" s="195"/>
      <c r="H611" s="40"/>
      <c r="I611" s="155"/>
      <c r="J611" s="109"/>
      <c r="K611" s="160"/>
      <c r="L611" s="160"/>
      <c r="M611" s="160"/>
      <c r="N611" s="160"/>
      <c r="O611" s="187"/>
      <c r="P611" s="160"/>
      <c r="Q611" s="160"/>
      <c r="R611" s="162"/>
      <c r="S611" s="162"/>
      <c r="T611" s="160"/>
      <c r="U611" s="160"/>
      <c r="V611" s="160"/>
      <c r="W611" s="160"/>
      <c r="X611" s="160"/>
      <c r="Y611" s="160"/>
      <c r="Z611" s="160"/>
      <c r="AA611" s="160"/>
      <c r="AB611" s="160"/>
      <c r="AC611" s="160"/>
      <c r="AD611" s="160"/>
    </row>
    <row r="612" s="13" customFormat="1" ht="14" spans="1:30">
      <c r="A612" s="6"/>
      <c r="B612" s="158"/>
      <c r="C612" s="104"/>
      <c r="D612" s="104"/>
      <c r="E612" s="159"/>
      <c r="F612" s="104"/>
      <c r="G612" s="195"/>
      <c r="H612" s="40"/>
      <c r="I612" s="155"/>
      <c r="J612" s="109"/>
      <c r="K612" s="160"/>
      <c r="L612" s="160"/>
      <c r="M612" s="160"/>
      <c r="N612" s="160"/>
      <c r="O612" s="187"/>
      <c r="P612" s="160"/>
      <c r="Q612" s="160"/>
      <c r="R612" s="162"/>
      <c r="S612" s="162"/>
      <c r="T612" s="160"/>
      <c r="U612" s="160"/>
      <c r="V612" s="160"/>
      <c r="W612" s="160"/>
      <c r="X612" s="160"/>
      <c r="Y612" s="160"/>
      <c r="Z612" s="160"/>
      <c r="AA612" s="160"/>
      <c r="AB612" s="160"/>
      <c r="AC612" s="160"/>
      <c r="AD612" s="160"/>
    </row>
    <row r="613" s="13" customFormat="1" ht="14" spans="1:30">
      <c r="A613" s="6"/>
      <c r="B613" s="158"/>
      <c r="C613" s="104"/>
      <c r="D613" s="104"/>
      <c r="E613" s="159"/>
      <c r="F613" s="104"/>
      <c r="G613" s="195"/>
      <c r="H613" s="40"/>
      <c r="I613" s="155"/>
      <c r="J613" s="109"/>
      <c r="K613" s="160"/>
      <c r="L613" s="160"/>
      <c r="M613" s="160"/>
      <c r="N613" s="160"/>
      <c r="O613" s="187"/>
      <c r="P613" s="160"/>
      <c r="Q613" s="160"/>
      <c r="R613" s="162"/>
      <c r="S613" s="162"/>
      <c r="T613" s="160"/>
      <c r="U613" s="160"/>
      <c r="V613" s="160"/>
      <c r="W613" s="160"/>
      <c r="X613" s="160"/>
      <c r="Y613" s="160"/>
      <c r="Z613" s="160"/>
      <c r="AA613" s="160"/>
      <c r="AB613" s="160"/>
      <c r="AC613" s="160"/>
      <c r="AD613" s="160"/>
    </row>
    <row r="614" s="13" customFormat="1" ht="14" spans="1:30">
      <c r="A614" s="6"/>
      <c r="B614" s="158"/>
      <c r="C614" s="104"/>
      <c r="D614" s="104"/>
      <c r="E614" s="159"/>
      <c r="F614" s="104"/>
      <c r="G614" s="195"/>
      <c r="H614" s="40"/>
      <c r="I614" s="155"/>
      <c r="J614" s="109"/>
      <c r="K614" s="160"/>
      <c r="L614" s="160"/>
      <c r="M614" s="160"/>
      <c r="N614" s="160"/>
      <c r="O614" s="187"/>
      <c r="P614" s="160"/>
      <c r="Q614" s="160"/>
      <c r="R614" s="162"/>
      <c r="S614" s="162"/>
      <c r="T614" s="160"/>
      <c r="U614" s="160"/>
      <c r="V614" s="160"/>
      <c r="W614" s="160"/>
      <c r="X614" s="160"/>
      <c r="Y614" s="160"/>
      <c r="Z614" s="160"/>
      <c r="AA614" s="160"/>
      <c r="AB614" s="160"/>
      <c r="AC614" s="160"/>
      <c r="AD614" s="160"/>
    </row>
    <row r="615" s="13" customFormat="1" ht="14" spans="1:30">
      <c r="A615" s="6"/>
      <c r="B615" s="158"/>
      <c r="C615" s="104"/>
      <c r="D615" s="104"/>
      <c r="E615" s="159"/>
      <c r="F615" s="104"/>
      <c r="G615" s="195"/>
      <c r="H615" s="40"/>
      <c r="I615" s="155"/>
      <c r="J615" s="109"/>
      <c r="K615" s="160"/>
      <c r="L615" s="160"/>
      <c r="M615" s="160"/>
      <c r="N615" s="160"/>
      <c r="O615" s="187"/>
      <c r="P615" s="160"/>
      <c r="Q615" s="160"/>
      <c r="R615" s="162"/>
      <c r="S615" s="162"/>
      <c r="T615" s="160"/>
      <c r="U615" s="160"/>
      <c r="V615" s="160"/>
      <c r="W615" s="160"/>
      <c r="X615" s="160"/>
      <c r="Y615" s="160"/>
      <c r="Z615" s="160"/>
      <c r="AA615" s="160"/>
      <c r="AB615" s="160"/>
      <c r="AC615" s="160"/>
      <c r="AD615" s="160"/>
    </row>
    <row r="616" s="13" customFormat="1" ht="14" spans="1:30">
      <c r="A616" s="6"/>
      <c r="B616" s="158"/>
      <c r="C616" s="104"/>
      <c r="D616" s="104"/>
      <c r="E616" s="159"/>
      <c r="F616" s="104"/>
      <c r="G616" s="195"/>
      <c r="H616" s="40"/>
      <c r="I616" s="155"/>
      <c r="J616" s="109"/>
      <c r="K616" s="160"/>
      <c r="L616" s="160"/>
      <c r="M616" s="160"/>
      <c r="N616" s="160"/>
      <c r="O616" s="187"/>
      <c r="P616" s="160"/>
      <c r="Q616" s="160"/>
      <c r="R616" s="162"/>
      <c r="S616" s="162"/>
      <c r="T616" s="160"/>
      <c r="U616" s="160"/>
      <c r="V616" s="160"/>
      <c r="W616" s="160"/>
      <c r="X616" s="160"/>
      <c r="Y616" s="160"/>
      <c r="Z616" s="160"/>
      <c r="AA616" s="160"/>
      <c r="AB616" s="160"/>
      <c r="AC616" s="160"/>
      <c r="AD616" s="160"/>
    </row>
    <row r="617" s="13" customFormat="1" ht="14" spans="1:30">
      <c r="A617" s="6"/>
      <c r="B617" s="158"/>
      <c r="C617" s="104"/>
      <c r="D617" s="104"/>
      <c r="E617" s="159"/>
      <c r="F617" s="104"/>
      <c r="G617" s="195"/>
      <c r="H617" s="40"/>
      <c r="I617" s="155"/>
      <c r="J617" s="109"/>
      <c r="K617" s="160"/>
      <c r="L617" s="160"/>
      <c r="M617" s="160"/>
      <c r="N617" s="160"/>
      <c r="O617" s="187"/>
      <c r="P617" s="160"/>
      <c r="Q617" s="160"/>
      <c r="R617" s="162"/>
      <c r="S617" s="162"/>
      <c r="T617" s="160"/>
      <c r="U617" s="160"/>
      <c r="V617" s="160"/>
      <c r="W617" s="160"/>
      <c r="X617" s="160"/>
      <c r="Y617" s="160"/>
      <c r="Z617" s="160"/>
      <c r="AA617" s="160"/>
      <c r="AB617" s="160"/>
      <c r="AC617" s="160"/>
      <c r="AD617" s="160"/>
    </row>
    <row r="618" s="13" customFormat="1" ht="14" spans="1:30">
      <c r="A618" s="6"/>
      <c r="B618" s="158"/>
      <c r="C618" s="104"/>
      <c r="D618" s="104"/>
      <c r="E618" s="159"/>
      <c r="F618" s="104"/>
      <c r="G618" s="195"/>
      <c r="H618" s="40"/>
      <c r="I618" s="155"/>
      <c r="J618" s="109"/>
      <c r="K618" s="160"/>
      <c r="L618" s="160"/>
      <c r="M618" s="160"/>
      <c r="N618" s="160"/>
      <c r="O618" s="187"/>
      <c r="P618" s="160"/>
      <c r="Q618" s="160"/>
      <c r="R618" s="162"/>
      <c r="S618" s="162"/>
      <c r="T618" s="160"/>
      <c r="U618" s="160"/>
      <c r="V618" s="160"/>
      <c r="W618" s="160"/>
      <c r="X618" s="160"/>
      <c r="Y618" s="160"/>
      <c r="Z618" s="160"/>
      <c r="AA618" s="160"/>
      <c r="AB618" s="160"/>
      <c r="AC618" s="160"/>
      <c r="AD618" s="160"/>
    </row>
    <row r="619" s="13" customFormat="1" ht="14" spans="1:30">
      <c r="A619" s="6"/>
      <c r="B619" s="158"/>
      <c r="C619" s="104"/>
      <c r="D619" s="104"/>
      <c r="E619" s="159"/>
      <c r="F619" s="104"/>
      <c r="G619" s="195"/>
      <c r="H619" s="40"/>
      <c r="I619" s="155"/>
      <c r="J619" s="109"/>
      <c r="K619" s="160"/>
      <c r="L619" s="160"/>
      <c r="M619" s="160"/>
      <c r="N619" s="160"/>
      <c r="O619" s="187"/>
      <c r="P619" s="160"/>
      <c r="Q619" s="160"/>
      <c r="R619" s="162"/>
      <c r="S619" s="162"/>
      <c r="T619" s="160"/>
      <c r="U619" s="160"/>
      <c r="V619" s="160"/>
      <c r="W619" s="160"/>
      <c r="X619" s="160"/>
      <c r="Y619" s="160"/>
      <c r="Z619" s="160"/>
      <c r="AA619" s="160"/>
      <c r="AB619" s="160"/>
      <c r="AC619" s="160"/>
      <c r="AD619" s="160"/>
    </row>
    <row r="620" s="13" customFormat="1" ht="14" spans="1:30">
      <c r="A620" s="6"/>
      <c r="B620" s="158"/>
      <c r="C620" s="104"/>
      <c r="D620" s="104"/>
      <c r="E620" s="159"/>
      <c r="F620" s="104"/>
      <c r="G620" s="195"/>
      <c r="H620" s="40"/>
      <c r="I620" s="155"/>
      <c r="J620" s="109"/>
      <c r="K620" s="160"/>
      <c r="L620" s="160"/>
      <c r="M620" s="160"/>
      <c r="N620" s="160"/>
      <c r="O620" s="187"/>
      <c r="P620" s="160"/>
      <c r="Q620" s="160"/>
      <c r="R620" s="162"/>
      <c r="S620" s="162"/>
      <c r="T620" s="160"/>
      <c r="U620" s="160"/>
      <c r="V620" s="160"/>
      <c r="W620" s="160"/>
      <c r="X620" s="160"/>
      <c r="Y620" s="160"/>
      <c r="Z620" s="160"/>
      <c r="AA620" s="160"/>
      <c r="AB620" s="160"/>
      <c r="AC620" s="160"/>
      <c r="AD620" s="160"/>
    </row>
    <row r="621" s="13" customFormat="1" ht="14" spans="1:30">
      <c r="A621" s="6"/>
      <c r="B621" s="158"/>
      <c r="C621" s="104"/>
      <c r="D621" s="104"/>
      <c r="E621" s="159"/>
      <c r="F621" s="104"/>
      <c r="G621" s="195"/>
      <c r="H621" s="40"/>
      <c r="I621" s="155"/>
      <c r="J621" s="109"/>
      <c r="K621" s="160"/>
      <c r="L621" s="160"/>
      <c r="M621" s="160"/>
      <c r="N621" s="160"/>
      <c r="O621" s="187"/>
      <c r="P621" s="160"/>
      <c r="Q621" s="160"/>
      <c r="R621" s="162"/>
      <c r="S621" s="162"/>
      <c r="T621" s="160"/>
      <c r="U621" s="160"/>
      <c r="V621" s="160"/>
      <c r="W621" s="160"/>
      <c r="X621" s="160"/>
      <c r="Y621" s="160"/>
      <c r="Z621" s="160"/>
      <c r="AA621" s="160"/>
      <c r="AB621" s="160"/>
      <c r="AC621" s="160"/>
      <c r="AD621" s="160"/>
    </row>
    <row r="622" s="13" customFormat="1" ht="14" spans="1:30">
      <c r="A622" s="6"/>
      <c r="B622" s="158"/>
      <c r="C622" s="104"/>
      <c r="D622" s="104"/>
      <c r="E622" s="159"/>
      <c r="F622" s="104"/>
      <c r="G622" s="195"/>
      <c r="H622" s="40"/>
      <c r="I622" s="155"/>
      <c r="J622" s="109"/>
      <c r="K622" s="160"/>
      <c r="L622" s="160"/>
      <c r="M622" s="160"/>
      <c r="N622" s="160"/>
      <c r="O622" s="187"/>
      <c r="P622" s="160"/>
      <c r="Q622" s="160"/>
      <c r="R622" s="162"/>
      <c r="S622" s="162"/>
      <c r="T622" s="160"/>
      <c r="U622" s="160"/>
      <c r="V622" s="160"/>
      <c r="W622" s="160"/>
      <c r="X622" s="160"/>
      <c r="Y622" s="160"/>
      <c r="Z622" s="160"/>
      <c r="AA622" s="160"/>
      <c r="AB622" s="160"/>
      <c r="AC622" s="160"/>
      <c r="AD622" s="160"/>
    </row>
    <row r="623" s="13" customFormat="1" ht="14" spans="1:30">
      <c r="A623" s="6"/>
      <c r="B623" s="158"/>
      <c r="C623" s="104"/>
      <c r="D623" s="104"/>
      <c r="E623" s="159"/>
      <c r="F623" s="104"/>
      <c r="G623" s="195"/>
      <c r="H623" s="40"/>
      <c r="I623" s="155"/>
      <c r="J623" s="109"/>
      <c r="K623" s="160"/>
      <c r="L623" s="160"/>
      <c r="M623" s="160"/>
      <c r="N623" s="160"/>
      <c r="O623" s="187"/>
      <c r="P623" s="160"/>
      <c r="Q623" s="160"/>
      <c r="R623" s="162"/>
      <c r="S623" s="162"/>
      <c r="T623" s="160"/>
      <c r="U623" s="160"/>
      <c r="V623" s="160"/>
      <c r="W623" s="160"/>
      <c r="X623" s="160"/>
      <c r="Y623" s="160"/>
      <c r="Z623" s="160"/>
      <c r="AA623" s="160"/>
      <c r="AB623" s="160"/>
      <c r="AC623" s="160"/>
      <c r="AD623" s="160"/>
    </row>
    <row r="624" s="13" customFormat="1" ht="14" spans="1:30">
      <c r="A624" s="6"/>
      <c r="B624" s="158"/>
      <c r="C624" s="104"/>
      <c r="D624" s="104"/>
      <c r="E624" s="159"/>
      <c r="F624" s="104"/>
      <c r="G624" s="195"/>
      <c r="H624" s="40"/>
      <c r="I624" s="155"/>
      <c r="J624" s="109"/>
      <c r="K624" s="160"/>
      <c r="L624" s="160"/>
      <c r="M624" s="160"/>
      <c r="N624" s="160"/>
      <c r="O624" s="187"/>
      <c r="P624" s="160"/>
      <c r="Q624" s="160"/>
      <c r="R624" s="162"/>
      <c r="S624" s="162"/>
      <c r="T624" s="160"/>
      <c r="U624" s="160"/>
      <c r="V624" s="160"/>
      <c r="W624" s="160"/>
      <c r="X624" s="160"/>
      <c r="Y624" s="160"/>
      <c r="Z624" s="160"/>
      <c r="AA624" s="160"/>
      <c r="AB624" s="160"/>
      <c r="AC624" s="160"/>
      <c r="AD624" s="160"/>
    </row>
    <row r="625" s="13" customFormat="1" ht="14" spans="1:30">
      <c r="A625" s="6"/>
      <c r="B625" s="158"/>
      <c r="C625" s="104"/>
      <c r="D625" s="104"/>
      <c r="E625" s="159"/>
      <c r="F625" s="104"/>
      <c r="G625" s="195"/>
      <c r="H625" s="40"/>
      <c r="I625" s="155"/>
      <c r="J625" s="109"/>
      <c r="K625" s="160"/>
      <c r="L625" s="160"/>
      <c r="M625" s="160"/>
      <c r="N625" s="160"/>
      <c r="O625" s="187"/>
      <c r="P625" s="160"/>
      <c r="Q625" s="160"/>
      <c r="R625" s="162"/>
      <c r="S625" s="162"/>
      <c r="T625" s="160"/>
      <c r="U625" s="160"/>
      <c r="V625" s="160"/>
      <c r="W625" s="160"/>
      <c r="X625" s="160"/>
      <c r="Y625" s="160"/>
      <c r="Z625" s="160"/>
      <c r="AA625" s="160"/>
      <c r="AB625" s="160"/>
      <c r="AC625" s="160"/>
      <c r="AD625" s="160"/>
    </row>
    <row r="626" s="13" customFormat="1" ht="14" spans="1:30">
      <c r="A626" s="6"/>
      <c r="B626" s="158"/>
      <c r="C626" s="104"/>
      <c r="D626" s="104"/>
      <c r="E626" s="159"/>
      <c r="F626" s="104"/>
      <c r="G626" s="195"/>
      <c r="H626" s="40"/>
      <c r="I626" s="155"/>
      <c r="J626" s="109"/>
      <c r="K626" s="160"/>
      <c r="L626" s="160"/>
      <c r="M626" s="160"/>
      <c r="N626" s="160"/>
      <c r="O626" s="187"/>
      <c r="P626" s="160"/>
      <c r="Q626" s="160"/>
      <c r="R626" s="162"/>
      <c r="S626" s="162"/>
      <c r="T626" s="160"/>
      <c r="U626" s="160"/>
      <c r="V626" s="160"/>
      <c r="W626" s="160"/>
      <c r="X626" s="160"/>
      <c r="Y626" s="160"/>
      <c r="Z626" s="160"/>
      <c r="AA626" s="160"/>
      <c r="AB626" s="160"/>
      <c r="AC626" s="160"/>
      <c r="AD626" s="160"/>
    </row>
    <row r="627" s="13" customFormat="1" ht="14" spans="1:30">
      <c r="A627" s="6"/>
      <c r="B627" s="158"/>
      <c r="C627" s="104"/>
      <c r="D627" s="104"/>
      <c r="E627" s="159"/>
      <c r="F627" s="104"/>
      <c r="G627" s="195"/>
      <c r="H627" s="40"/>
      <c r="I627" s="155"/>
      <c r="J627" s="109"/>
      <c r="K627" s="160"/>
      <c r="L627" s="160"/>
      <c r="M627" s="160"/>
      <c r="N627" s="160"/>
      <c r="O627" s="187"/>
      <c r="P627" s="160"/>
      <c r="Q627" s="160"/>
      <c r="R627" s="162"/>
      <c r="S627" s="162"/>
      <c r="T627" s="160"/>
      <c r="U627" s="160"/>
      <c r="V627" s="160"/>
      <c r="W627" s="160"/>
      <c r="X627" s="160"/>
      <c r="Y627" s="160"/>
      <c r="Z627" s="160"/>
      <c r="AA627" s="160"/>
      <c r="AB627" s="160"/>
      <c r="AC627" s="160"/>
      <c r="AD627" s="160"/>
    </row>
    <row r="628" s="13" customFormat="1" ht="14" spans="1:30">
      <c r="A628" s="6"/>
      <c r="B628" s="158"/>
      <c r="C628" s="104"/>
      <c r="D628" s="104"/>
      <c r="E628" s="159"/>
      <c r="F628" s="104"/>
      <c r="G628" s="195"/>
      <c r="H628" s="40"/>
      <c r="I628" s="155"/>
      <c r="J628" s="109"/>
      <c r="K628" s="160"/>
      <c r="L628" s="160"/>
      <c r="M628" s="160"/>
      <c r="N628" s="160"/>
      <c r="O628" s="187"/>
      <c r="P628" s="160"/>
      <c r="Q628" s="160"/>
      <c r="R628" s="162"/>
      <c r="S628" s="162"/>
      <c r="T628" s="160"/>
      <c r="U628" s="160"/>
      <c r="V628" s="160"/>
      <c r="W628" s="160"/>
      <c r="X628" s="160"/>
      <c r="Y628" s="160"/>
      <c r="Z628" s="160"/>
      <c r="AA628" s="160"/>
      <c r="AB628" s="160"/>
      <c r="AC628" s="160"/>
      <c r="AD628" s="160"/>
    </row>
    <row r="629" s="13" customFormat="1" ht="14" spans="1:30">
      <c r="A629" s="6"/>
      <c r="B629" s="158"/>
      <c r="C629" s="104"/>
      <c r="D629" s="104"/>
      <c r="E629" s="159"/>
      <c r="F629" s="104"/>
      <c r="G629" s="195"/>
      <c r="H629" s="40"/>
      <c r="I629" s="155"/>
      <c r="J629" s="109"/>
      <c r="K629" s="160"/>
      <c r="L629" s="160"/>
      <c r="M629" s="160"/>
      <c r="N629" s="160"/>
      <c r="O629" s="187"/>
      <c r="P629" s="160"/>
      <c r="Q629" s="160"/>
      <c r="R629" s="162"/>
      <c r="S629" s="162"/>
      <c r="T629" s="160"/>
      <c r="U629" s="160"/>
      <c r="V629" s="160"/>
      <c r="W629" s="160"/>
      <c r="X629" s="160"/>
      <c r="Y629" s="160"/>
      <c r="Z629" s="160"/>
      <c r="AA629" s="160"/>
      <c r="AB629" s="160"/>
      <c r="AC629" s="160"/>
      <c r="AD629" s="160"/>
    </row>
    <row r="630" s="13" customFormat="1" ht="14" spans="1:30">
      <c r="A630" s="6"/>
      <c r="B630" s="158"/>
      <c r="C630" s="104"/>
      <c r="D630" s="104"/>
      <c r="E630" s="159"/>
      <c r="F630" s="104"/>
      <c r="G630" s="195"/>
      <c r="H630" s="40"/>
      <c r="I630" s="155"/>
      <c r="J630" s="109"/>
      <c r="K630" s="160"/>
      <c r="L630" s="160"/>
      <c r="M630" s="160"/>
      <c r="N630" s="160"/>
      <c r="O630" s="187"/>
      <c r="P630" s="160"/>
      <c r="Q630" s="160"/>
      <c r="R630" s="162"/>
      <c r="S630" s="162"/>
      <c r="T630" s="160"/>
      <c r="U630" s="160"/>
      <c r="V630" s="160"/>
      <c r="W630" s="160"/>
      <c r="X630" s="160"/>
      <c r="Y630" s="160"/>
      <c r="Z630" s="160"/>
      <c r="AA630" s="160"/>
      <c r="AB630" s="160"/>
      <c r="AC630" s="160"/>
      <c r="AD630" s="160"/>
    </row>
    <row r="631" s="13" customFormat="1" ht="14" spans="1:30">
      <c r="A631" s="6"/>
      <c r="B631" s="158"/>
      <c r="C631" s="104"/>
      <c r="D631" s="104"/>
      <c r="E631" s="159"/>
      <c r="F631" s="104"/>
      <c r="G631" s="195"/>
      <c r="H631" s="40"/>
      <c r="I631" s="155"/>
      <c r="J631" s="109"/>
      <c r="K631" s="160"/>
      <c r="L631" s="160"/>
      <c r="M631" s="160"/>
      <c r="N631" s="160"/>
      <c r="O631" s="187"/>
      <c r="P631" s="160"/>
      <c r="Q631" s="160"/>
      <c r="R631" s="162"/>
      <c r="S631" s="162"/>
      <c r="T631" s="160"/>
      <c r="U631" s="160"/>
      <c r="V631" s="160"/>
      <c r="W631" s="160"/>
      <c r="X631" s="160"/>
      <c r="Y631" s="160"/>
      <c r="Z631" s="160"/>
      <c r="AA631" s="160"/>
      <c r="AB631" s="160"/>
      <c r="AC631" s="160"/>
      <c r="AD631" s="160"/>
    </row>
    <row r="632" s="13" customFormat="1" ht="14" spans="1:30">
      <c r="A632" s="6"/>
      <c r="B632" s="158"/>
      <c r="C632" s="104"/>
      <c r="D632" s="104"/>
      <c r="E632" s="159"/>
      <c r="F632" s="104"/>
      <c r="G632" s="195"/>
      <c r="H632" s="40"/>
      <c r="I632" s="155"/>
      <c r="J632" s="109"/>
      <c r="K632" s="160"/>
      <c r="L632" s="160"/>
      <c r="M632" s="160"/>
      <c r="N632" s="160"/>
      <c r="O632" s="187"/>
      <c r="P632" s="160"/>
      <c r="Q632" s="160"/>
      <c r="R632" s="162"/>
      <c r="S632" s="162"/>
      <c r="T632" s="160"/>
      <c r="U632" s="160"/>
      <c r="V632" s="160"/>
      <c r="W632" s="160"/>
      <c r="X632" s="160"/>
      <c r="Y632" s="160"/>
      <c r="Z632" s="160"/>
      <c r="AA632" s="160"/>
      <c r="AB632" s="160"/>
      <c r="AC632" s="160"/>
      <c r="AD632" s="160"/>
    </row>
    <row r="633" s="13" customFormat="1" ht="14" spans="1:30">
      <c r="A633" s="6"/>
      <c r="B633" s="158"/>
      <c r="C633" s="104"/>
      <c r="D633" s="104"/>
      <c r="E633" s="159"/>
      <c r="F633" s="104"/>
      <c r="G633" s="195"/>
      <c r="H633" s="40"/>
      <c r="I633" s="155"/>
      <c r="J633" s="109"/>
      <c r="K633" s="160"/>
      <c r="L633" s="160"/>
      <c r="M633" s="160"/>
      <c r="N633" s="160"/>
      <c r="O633" s="187"/>
      <c r="P633" s="160"/>
      <c r="Q633" s="160"/>
      <c r="R633" s="162"/>
      <c r="S633" s="162"/>
      <c r="T633" s="160"/>
      <c r="U633" s="160"/>
      <c r="V633" s="160"/>
      <c r="W633" s="160"/>
      <c r="X633" s="160"/>
      <c r="Y633" s="160"/>
      <c r="Z633" s="160"/>
      <c r="AA633" s="160"/>
      <c r="AB633" s="160"/>
      <c r="AC633" s="160"/>
      <c r="AD633" s="160"/>
    </row>
    <row r="634" s="13" customFormat="1" ht="14" spans="1:30">
      <c r="A634" s="6"/>
      <c r="B634" s="158"/>
      <c r="C634" s="104"/>
      <c r="D634" s="104"/>
      <c r="E634" s="159"/>
      <c r="F634" s="104"/>
      <c r="G634" s="195"/>
      <c r="H634" s="40"/>
      <c r="I634" s="155"/>
      <c r="J634" s="109"/>
      <c r="K634" s="160"/>
      <c r="L634" s="160"/>
      <c r="M634" s="160"/>
      <c r="N634" s="160"/>
      <c r="O634" s="187"/>
      <c r="P634" s="160"/>
      <c r="Q634" s="160"/>
      <c r="R634" s="162"/>
      <c r="S634" s="162"/>
      <c r="T634" s="160"/>
      <c r="U634" s="160"/>
      <c r="V634" s="160"/>
      <c r="W634" s="160"/>
      <c r="X634" s="160"/>
      <c r="Y634" s="160"/>
      <c r="Z634" s="160"/>
      <c r="AA634" s="160"/>
      <c r="AB634" s="160"/>
      <c r="AC634" s="160"/>
      <c r="AD634" s="160"/>
    </row>
    <row r="635" s="13" customFormat="1" ht="14" spans="1:30">
      <c r="A635" s="6"/>
      <c r="B635" s="158"/>
      <c r="C635" s="104"/>
      <c r="D635" s="104"/>
      <c r="E635" s="159"/>
      <c r="F635" s="104"/>
      <c r="G635" s="195"/>
      <c r="H635" s="40"/>
      <c r="I635" s="155"/>
      <c r="J635" s="109"/>
      <c r="K635" s="160"/>
      <c r="L635" s="160"/>
      <c r="M635" s="160"/>
      <c r="N635" s="160"/>
      <c r="O635" s="187"/>
      <c r="P635" s="160"/>
      <c r="Q635" s="160"/>
      <c r="R635" s="162"/>
      <c r="S635" s="162"/>
      <c r="T635" s="160"/>
      <c r="U635" s="160"/>
      <c r="V635" s="160"/>
      <c r="W635" s="160"/>
      <c r="X635" s="160"/>
      <c r="Y635" s="160"/>
      <c r="Z635" s="160"/>
      <c r="AA635" s="160"/>
      <c r="AB635" s="160"/>
      <c r="AC635" s="160"/>
      <c r="AD635" s="160"/>
    </row>
    <row r="636" s="13" customFormat="1" ht="14" spans="1:30">
      <c r="A636" s="6"/>
      <c r="B636" s="158"/>
      <c r="C636" s="104"/>
      <c r="D636" s="104"/>
      <c r="E636" s="159"/>
      <c r="F636" s="104"/>
      <c r="G636" s="195"/>
      <c r="H636" s="40"/>
      <c r="I636" s="155"/>
      <c r="J636" s="109"/>
      <c r="K636" s="160"/>
      <c r="L636" s="160"/>
      <c r="M636" s="160"/>
      <c r="N636" s="160"/>
      <c r="O636" s="187"/>
      <c r="P636" s="160"/>
      <c r="Q636" s="160"/>
      <c r="R636" s="162"/>
      <c r="S636" s="162"/>
      <c r="T636" s="160"/>
      <c r="U636" s="160"/>
      <c r="V636" s="160"/>
      <c r="W636" s="160"/>
      <c r="X636" s="160"/>
      <c r="Y636" s="160"/>
      <c r="Z636" s="160"/>
      <c r="AA636" s="160"/>
      <c r="AB636" s="160"/>
      <c r="AC636" s="160"/>
      <c r="AD636" s="160"/>
    </row>
    <row r="637" s="13" customFormat="1" ht="14" spans="1:30">
      <c r="A637" s="6"/>
      <c r="B637" s="158"/>
      <c r="C637" s="104"/>
      <c r="D637" s="104"/>
      <c r="E637" s="159"/>
      <c r="F637" s="104"/>
      <c r="G637" s="195"/>
      <c r="H637" s="40"/>
      <c r="I637" s="155"/>
      <c r="J637" s="109"/>
      <c r="K637" s="160"/>
      <c r="L637" s="160"/>
      <c r="M637" s="160"/>
      <c r="N637" s="160"/>
      <c r="O637" s="187"/>
      <c r="P637" s="160"/>
      <c r="Q637" s="160"/>
      <c r="R637" s="162"/>
      <c r="S637" s="162"/>
      <c r="T637" s="160"/>
      <c r="U637" s="160"/>
      <c r="V637" s="160"/>
      <c r="W637" s="160"/>
      <c r="X637" s="160"/>
      <c r="Y637" s="160"/>
      <c r="Z637" s="160"/>
      <c r="AA637" s="160"/>
      <c r="AB637" s="160"/>
      <c r="AC637" s="160"/>
      <c r="AD637" s="160"/>
    </row>
    <row r="638" s="13" customFormat="1" ht="14" spans="1:30">
      <c r="A638" s="6"/>
      <c r="B638" s="158"/>
      <c r="C638" s="104"/>
      <c r="D638" s="104"/>
      <c r="E638" s="159"/>
      <c r="F638" s="104"/>
      <c r="G638" s="195"/>
      <c r="H638" s="40"/>
      <c r="I638" s="155"/>
      <c r="J638" s="109"/>
      <c r="K638" s="160"/>
      <c r="L638" s="160"/>
      <c r="M638" s="160"/>
      <c r="N638" s="160"/>
      <c r="O638" s="187"/>
      <c r="P638" s="160"/>
      <c r="Q638" s="160"/>
      <c r="R638" s="162"/>
      <c r="S638" s="162"/>
      <c r="T638" s="160"/>
      <c r="U638" s="160"/>
      <c r="V638" s="160"/>
      <c r="W638" s="160"/>
      <c r="X638" s="160"/>
      <c r="Y638" s="160"/>
      <c r="Z638" s="160"/>
      <c r="AA638" s="160"/>
      <c r="AB638" s="160"/>
      <c r="AC638" s="160"/>
      <c r="AD638" s="160"/>
    </row>
    <row r="639" s="13" customFormat="1" ht="14" spans="1:30">
      <c r="A639" s="6"/>
      <c r="B639" s="158"/>
      <c r="C639" s="104"/>
      <c r="D639" s="104"/>
      <c r="E639" s="159"/>
      <c r="F639" s="104"/>
      <c r="G639" s="195"/>
      <c r="H639" s="40"/>
      <c r="I639" s="155"/>
      <c r="J639" s="109"/>
      <c r="K639" s="160"/>
      <c r="L639" s="160"/>
      <c r="M639" s="160"/>
      <c r="N639" s="160"/>
      <c r="O639" s="187"/>
      <c r="P639" s="160"/>
      <c r="Q639" s="160"/>
      <c r="R639" s="162"/>
      <c r="S639" s="162"/>
      <c r="T639" s="160"/>
      <c r="U639" s="160"/>
      <c r="V639" s="160"/>
      <c r="W639" s="160"/>
      <c r="X639" s="160"/>
      <c r="Y639" s="160"/>
      <c r="Z639" s="160"/>
      <c r="AA639" s="160"/>
      <c r="AB639" s="160"/>
      <c r="AC639" s="160"/>
      <c r="AD639" s="160"/>
    </row>
  </sheetData>
  <mergeCells count="87">
    <mergeCell ref="A164:A165"/>
    <mergeCell ref="A168:A169"/>
    <mergeCell ref="A368:A369"/>
    <mergeCell ref="A414:A415"/>
    <mergeCell ref="A441:A442"/>
    <mergeCell ref="A490:A491"/>
    <mergeCell ref="B164:B165"/>
    <mergeCell ref="B168:B169"/>
    <mergeCell ref="B368:B369"/>
    <mergeCell ref="B414:B415"/>
    <mergeCell ref="B441:B442"/>
    <mergeCell ref="B490:B491"/>
    <mergeCell ref="C164:C165"/>
    <mergeCell ref="C168:C169"/>
    <mergeCell ref="C368:C369"/>
    <mergeCell ref="C414:C415"/>
    <mergeCell ref="C441:C442"/>
    <mergeCell ref="C490:C491"/>
    <mergeCell ref="D164:D165"/>
    <mergeCell ref="D168:D169"/>
    <mergeCell ref="D368:D369"/>
    <mergeCell ref="D414:D415"/>
    <mergeCell ref="D441:D442"/>
    <mergeCell ref="D490:D491"/>
    <mergeCell ref="E164:E165"/>
    <mergeCell ref="E168:E169"/>
    <mergeCell ref="E368:E369"/>
    <mergeCell ref="F168:F169"/>
    <mergeCell ref="F368:F369"/>
    <mergeCell ref="F414:F415"/>
    <mergeCell ref="F441:F442"/>
    <mergeCell ref="F490:F491"/>
    <mergeCell ref="G168:G169"/>
    <mergeCell ref="G368:G369"/>
    <mergeCell ref="G414:G415"/>
    <mergeCell ref="G490:G491"/>
    <mergeCell ref="H164:H165"/>
    <mergeCell ref="H168:H169"/>
    <mergeCell ref="H368:H369"/>
    <mergeCell ref="H414:H415"/>
    <mergeCell ref="H441:H442"/>
    <mergeCell ref="H490:H491"/>
    <mergeCell ref="I164:I165"/>
    <mergeCell ref="I168:I169"/>
    <mergeCell ref="I368:I369"/>
    <mergeCell ref="I414:I415"/>
    <mergeCell ref="I441:I442"/>
    <mergeCell ref="I490:I491"/>
    <mergeCell ref="J164:J165"/>
    <mergeCell ref="J168:J169"/>
    <mergeCell ref="J368:J369"/>
    <mergeCell ref="J441:J442"/>
    <mergeCell ref="J490:J491"/>
    <mergeCell ref="K368:K369"/>
    <mergeCell ref="K418:K419"/>
    <mergeCell ref="L168:L169"/>
    <mergeCell ref="L368:L369"/>
    <mergeCell ref="L418:L419"/>
    <mergeCell ref="L426:L430"/>
    <mergeCell ref="L431:L438"/>
    <mergeCell ref="L456:L458"/>
    <mergeCell ref="L490:L491"/>
    <mergeCell ref="M368:M369"/>
    <mergeCell ref="M418:M419"/>
    <mergeCell ref="M426:M430"/>
    <mergeCell ref="M431:M438"/>
    <mergeCell ref="M441:M442"/>
    <mergeCell ref="M456:M458"/>
    <mergeCell ref="N168:N169"/>
    <mergeCell ref="N368:N369"/>
    <mergeCell ref="N414:N415"/>
    <mergeCell ref="N418:N419"/>
    <mergeCell ref="N426:N430"/>
    <mergeCell ref="N431:N438"/>
    <mergeCell ref="N456:N458"/>
    <mergeCell ref="N490:N491"/>
    <mergeCell ref="O368:O369"/>
    <mergeCell ref="P368:P369"/>
    <mergeCell ref="Q164:Q165"/>
    <mergeCell ref="Q168:Q169"/>
    <mergeCell ref="Q368:Q369"/>
    <mergeCell ref="Q441:Q442"/>
    <mergeCell ref="Q490:Q491"/>
    <mergeCell ref="R168:R169"/>
    <mergeCell ref="R368:R369"/>
    <mergeCell ref="R441:R442"/>
    <mergeCell ref="S78:S79"/>
  </mergeCells>
  <conditionalFormatting sqref="I1:I639">
    <cfRule type="duplicateValues" dxfId="0" priority="4"/>
  </conditionalFormatting>
  <conditionalFormatting sqref="L1:L639">
    <cfRule type="duplicateValues" dxfId="0" priority="1"/>
  </conditionalFormatting>
  <conditionalFormatting sqref="M1:M639">
    <cfRule type="duplicateValues" dxfId="0" priority="6"/>
  </conditionalFormatting>
  <conditionalFormatting sqref="N1:N639">
    <cfRule type="duplicateValues" dxfId="0" priority="2"/>
  </conditionalFormatting>
  <conditionalFormatting sqref="N1:N241 N244:N289 N291:N298 N303">
    <cfRule type="duplicateValues" dxfId="0" priority="3"/>
  </conditionalFormatting>
  <dataValidations count="11">
    <dataValidation type="date" operator="between" showInputMessage="1" showErrorMessage="1" sqref="V22:W22 T34:U34 T35 T44:U44 K108 K111 K119 K122 K125 T125:U125 K135 K140 K148 K151 T166:U166 K167 K170 K172 T174 K178 T181:U181 K188 K196 T209:U209 T226:U226 T231:U231 T263:Y263 T264:W264 T280 T283:U283 T289:U289 T291:U291 T293:V293 T294:U294 T295 T304:W304 T312 T327 T331:U331 T336 T370 T373 B416 B2:B164 B166:B168 B170:B368 B370:B414 B418:B441 B443:B488 B492:B639 K130:K132 K154:K155 K161:K162 K164:K165 T2:T30 T41:U42"/>
    <dataValidation type="list" allowBlank="1" showInputMessage="1" showErrorMessage="1" sqref="E417">
      <formula1>"平安银行,Banking Circle,DBS,Thunes,CC,Pyvio,PING PONG,M-DAQ,QBC,GME,TransferMate,IBC,"</formula1>
    </dataValidation>
    <dataValidation type="list" allowBlank="1" showInputMessage="1" showErrorMessage="1" sqref="A$1:A$1048576">
      <formula1>"李凯,戈燕,李源,陈一涵,王伊丽,蔡丽娜,樊筱全,杨珂,赵文奇,"</formula1>
    </dataValidation>
    <dataValidation type="decimal" operator="between" allowBlank="1" showInputMessage="1" showErrorMessage="1" sqref="B489:B490 O$1:O$1048576"/>
    <dataValidation type="list" allowBlank="1" showInputMessage="1" showErrorMessage="1" sqref="C$1:C$1048576">
      <formula1>"B2B,电商,服贸,汇兑,机构客户,KYC,"</formula1>
    </dataValidation>
    <dataValidation type="list" allowBlank="1" showInputMessage="1" showErrorMessage="1" sqref="D$1:D$1048576">
      <formula1>"B2B,电商,服贸汇兑,"</formula1>
    </dataValidation>
    <dataValidation type="list" allowBlank="1" showInputMessage="1" showErrorMessage="1" sqref="F$1:F$1048576">
      <formula1>"入账,出款,"</formula1>
    </dataValidation>
    <dataValidation type="list" allowBlank="1" showInputMessage="1" showErrorMessage="1" sqref="G$1:G$1048576">
      <formula1>"已到账,未到账,渠道退款,商户退款,"</formula1>
    </dataValidation>
    <dataValidation type="list" allowBlank="1" showInputMessage="1" showErrorMessage="1" sqref="H$1:H$1048576">
      <formula1>"平安银行,Banking Circle,DBS,Thunes,CC,Pyvio,PING PONG,M-DAQ,Baokim,Nium,SCB,Openpayd,DSGpay,Moolahgo,IBC,TransferMate,"</formula1>
    </dataValidation>
    <dataValidation type="list" allowBlank="1" showInputMessage="1" showErrorMessage="1" sqref="J$1:J$1048576">
      <formula1>"目前状态,已经回复,待BD回复,无需处理,客户要求取消,GEP风控拒绝,渠道拒绝,Unassigned,"</formula1>
    </dataValidation>
    <dataValidation type="list" allowBlank="1" showInputMessage="1" showErrorMessage="1" sqref="Q$1:Q$1048576">
      <formula1>"Personal Information,Retrieval Request,"</formula1>
    </dataValidation>
  </dataValidations>
  <hyperlinks>
    <hyperlink ref="S69" r:id="rId3" display="韩国买家，https://moneypin.biz/bizno/detail/6178198806/&#10;反馈东台市琪乐金属制品有限公司是商户大陆公司，暗关联"/>
    <hyperlink ref="E400" r:id="rId4" display="DSG调单Timeline整理"/>
    <hyperlink ref="E528" r:id="rId5" display="提单物流公司专门做伊朗专线http://www.yt-tx.com/ "/>
  </hyperlinks>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账户调查">
    <tabColor rgb="FFFFFFFF"/>
  </sheetPr>
  <dimension ref="A1:AE282"/>
  <sheetViews>
    <sheetView topLeftCell="G1" workbookViewId="0">
      <pane ySplit="1" topLeftCell="A2" activePane="bottomLeft" state="frozen"/>
      <selection/>
      <selection pane="bottomLeft" activeCell="A1" sqref="A1"/>
    </sheetView>
  </sheetViews>
  <sheetFormatPr defaultColWidth="9.81818181818182" defaultRowHeight="16.5"/>
  <cols>
    <col min="1" max="1" width="14.7" style="10" customWidth="1"/>
    <col min="2" max="2" width="13.3545454545455" style="10" customWidth="1"/>
    <col min="3" max="3" width="18.3454545454545" style="49" customWidth="1"/>
    <col min="4" max="4" width="13.2090909090909" style="10" customWidth="1"/>
    <col min="5" max="5" width="20.9818181818182" style="6" customWidth="1"/>
    <col min="6" max="6" width="16.8636363636364" style="6" customWidth="1"/>
    <col min="7" max="7" width="72.9727272727273" style="107" customWidth="1"/>
    <col min="8" max="8" width="16.1818181818182" style="6" customWidth="1"/>
    <col min="9" max="9" width="15.1" style="136" customWidth="1"/>
    <col min="10" max="10" width="9.70909090909091" style="10" customWidth="1"/>
    <col min="11" max="11" width="18.4818181818182" style="10" customWidth="1"/>
    <col min="12" max="12" width="27.2454545454545" style="10" customWidth="1"/>
    <col min="13" max="13" width="22.1090909090909" style="10" customWidth="1"/>
    <col min="14" max="14" width="36.8272727272727" style="10" customWidth="1"/>
    <col min="15" max="15" width="26.0272727272727" style="10" customWidth="1"/>
    <col min="16" max="16" width="32.1636363636364" style="6" customWidth="1"/>
    <col min="17" max="17" width="17.2636363636364" style="10" customWidth="1"/>
    <col min="18" max="18" width="24.8272727272727" style="10" customWidth="1"/>
    <col min="19" max="19" width="13.6181818181818" style="10" customWidth="1"/>
    <col min="20" max="31" width="13.6727272727273" style="10"/>
  </cols>
  <sheetData>
    <row r="1" ht="30" spans="1:31">
      <c r="A1" s="2" t="s">
        <v>56</v>
      </c>
      <c r="B1" s="2" t="s">
        <v>57</v>
      </c>
      <c r="C1" s="3" t="s">
        <v>58</v>
      </c>
      <c r="D1" s="3" t="s">
        <v>59</v>
      </c>
      <c r="E1" s="3" t="s">
        <v>997</v>
      </c>
      <c r="F1" s="3" t="s">
        <v>60</v>
      </c>
      <c r="G1" s="3" t="s">
        <v>61</v>
      </c>
      <c r="H1" s="2" t="s">
        <v>64</v>
      </c>
      <c r="I1" s="2" t="s">
        <v>2766</v>
      </c>
      <c r="J1" s="120" t="s">
        <v>62</v>
      </c>
      <c r="K1" s="120" t="s">
        <v>2767</v>
      </c>
      <c r="L1" s="120" t="s">
        <v>71</v>
      </c>
      <c r="M1" s="120" t="s">
        <v>66</v>
      </c>
      <c r="N1" s="137" t="s">
        <v>67</v>
      </c>
      <c r="O1" s="57" t="s">
        <v>70</v>
      </c>
      <c r="P1" s="137" t="s">
        <v>69</v>
      </c>
      <c r="Q1" s="57" t="s">
        <v>72</v>
      </c>
      <c r="R1" s="57" t="s">
        <v>73</v>
      </c>
      <c r="S1" s="57" t="s">
        <v>74</v>
      </c>
      <c r="T1" s="57" t="s">
        <v>75</v>
      </c>
      <c r="U1" s="57"/>
      <c r="V1" s="57"/>
      <c r="W1" s="59"/>
      <c r="X1" s="138"/>
      <c r="Y1" s="138"/>
      <c r="Z1" s="138"/>
      <c r="AA1" s="138"/>
      <c r="AB1" s="138"/>
      <c r="AC1" s="138"/>
      <c r="AD1" s="138"/>
      <c r="AE1" s="138"/>
    </row>
    <row r="2" ht="21" customHeight="1" spans="1:31">
      <c r="A2" s="6" t="s">
        <v>142</v>
      </c>
      <c r="B2" s="7">
        <v>45673</v>
      </c>
      <c r="C2" s="6" t="str">
        <f t="shared" ref="C2:C28" si="0">YEAR(B2)&amp;"年"&amp;MONTH(B2)&amp;"月"</f>
        <v>2025年1月</v>
      </c>
      <c r="D2" s="6" t="s">
        <v>10</v>
      </c>
      <c r="E2" s="139" t="s">
        <v>2232</v>
      </c>
      <c r="F2" s="40" t="s">
        <v>42</v>
      </c>
      <c r="G2" s="140" t="s">
        <v>2768</v>
      </c>
      <c r="H2" s="6" t="s">
        <v>82</v>
      </c>
      <c r="I2" s="141" t="s">
        <v>2232</v>
      </c>
      <c r="J2" s="59" t="s">
        <v>2232</v>
      </c>
      <c r="K2" s="59"/>
      <c r="L2" s="59" t="s">
        <v>2769</v>
      </c>
      <c r="M2" s="59" t="s">
        <v>2232</v>
      </c>
      <c r="N2" s="59" t="s">
        <v>2232</v>
      </c>
      <c r="O2" s="6" t="s">
        <v>94</v>
      </c>
      <c r="P2" s="40"/>
      <c r="Q2" s="6"/>
      <c r="R2" s="6"/>
      <c r="S2" s="6"/>
      <c r="T2" s="6"/>
      <c r="U2" s="6"/>
      <c r="V2" s="6"/>
      <c r="W2" s="6"/>
      <c r="X2" s="6"/>
      <c r="Y2" s="6"/>
      <c r="Z2" s="6"/>
      <c r="AA2" s="6"/>
      <c r="AB2" s="6"/>
      <c r="AC2" s="6"/>
      <c r="AD2" s="6"/>
      <c r="AE2" s="6"/>
    </row>
    <row r="3" ht="21" customHeight="1" spans="1:31">
      <c r="A3" s="6" t="s">
        <v>142</v>
      </c>
      <c r="B3" s="7">
        <v>45673</v>
      </c>
      <c r="C3" s="6" t="str">
        <f t="shared" si="0"/>
        <v>2025年1月</v>
      </c>
      <c r="D3" s="6" t="s">
        <v>11</v>
      </c>
      <c r="E3" s="139" t="s">
        <v>1056</v>
      </c>
      <c r="F3" s="40" t="s">
        <v>40</v>
      </c>
      <c r="G3" s="140" t="s">
        <v>2770</v>
      </c>
      <c r="H3" s="6" t="s">
        <v>82</v>
      </c>
      <c r="I3" s="141" t="s">
        <v>2232</v>
      </c>
      <c r="J3" s="59" t="s">
        <v>2232</v>
      </c>
      <c r="K3" s="59"/>
      <c r="L3" s="59" t="s">
        <v>1635</v>
      </c>
      <c r="M3" s="59" t="s">
        <v>2771</v>
      </c>
      <c r="N3" s="59" t="s">
        <v>2772</v>
      </c>
      <c r="O3" s="74" t="s">
        <v>111</v>
      </c>
      <c r="P3" s="40" t="s">
        <v>2773</v>
      </c>
      <c r="Q3" s="74">
        <v>45681</v>
      </c>
      <c r="R3" s="74">
        <v>45701</v>
      </c>
      <c r="S3" s="6"/>
      <c r="T3" s="6"/>
      <c r="U3" s="6"/>
      <c r="V3" s="6"/>
      <c r="W3" s="6"/>
      <c r="X3" s="6"/>
      <c r="Y3" s="6"/>
      <c r="Z3" s="6"/>
      <c r="AA3" s="6"/>
      <c r="AB3" s="6"/>
      <c r="AC3" s="6"/>
      <c r="AD3" s="6"/>
      <c r="AE3" s="6"/>
    </row>
    <row r="4" ht="21" customHeight="1" spans="1:31">
      <c r="A4" s="6" t="s">
        <v>1266</v>
      </c>
      <c r="B4" s="7">
        <v>45698</v>
      </c>
      <c r="C4" s="6" t="str">
        <f t="shared" si="0"/>
        <v>2025年2月</v>
      </c>
      <c r="D4" s="6" t="s">
        <v>11</v>
      </c>
      <c r="E4" s="139" t="s">
        <v>1056</v>
      </c>
      <c r="F4" s="40" t="s">
        <v>40</v>
      </c>
      <c r="G4" s="140" t="s">
        <v>2774</v>
      </c>
      <c r="H4" s="6" t="s">
        <v>82</v>
      </c>
      <c r="I4" s="142">
        <v>395000</v>
      </c>
      <c r="J4" s="59" t="s">
        <v>149</v>
      </c>
      <c r="K4" s="59"/>
      <c r="L4" s="59" t="s">
        <v>1635</v>
      </c>
      <c r="M4" s="59" t="s">
        <v>2775</v>
      </c>
      <c r="N4" s="59" t="s">
        <v>2776</v>
      </c>
      <c r="O4" s="6" t="s">
        <v>111</v>
      </c>
      <c r="P4" s="40" t="s">
        <v>2773</v>
      </c>
      <c r="Q4" s="6"/>
      <c r="R4" s="6"/>
      <c r="S4" s="6"/>
      <c r="T4" s="6"/>
      <c r="U4" s="6"/>
      <c r="V4" s="6"/>
      <c r="W4" s="6"/>
      <c r="X4" s="6"/>
      <c r="Y4" s="6"/>
      <c r="Z4" s="6"/>
      <c r="AA4" s="6"/>
      <c r="AB4" s="6"/>
      <c r="AC4" s="6"/>
      <c r="AD4" s="6"/>
      <c r="AE4" s="6"/>
    </row>
    <row r="5" ht="28" spans="1:31">
      <c r="A5" s="6" t="s">
        <v>142</v>
      </c>
      <c r="B5" s="7">
        <v>45681</v>
      </c>
      <c r="C5" s="6" t="str">
        <f t="shared" si="0"/>
        <v>2025年1月</v>
      </c>
      <c r="D5" s="6" t="s">
        <v>12</v>
      </c>
      <c r="E5" s="40" t="s">
        <v>2232</v>
      </c>
      <c r="F5" s="40" t="s">
        <v>39</v>
      </c>
      <c r="G5" s="140" t="s">
        <v>2777</v>
      </c>
      <c r="H5" s="6" t="s">
        <v>82</v>
      </c>
      <c r="I5" s="141" t="s">
        <v>2232</v>
      </c>
      <c r="J5" s="59" t="s">
        <v>2232</v>
      </c>
      <c r="K5" s="59"/>
      <c r="L5" s="59"/>
      <c r="M5" s="59"/>
      <c r="N5" s="59"/>
      <c r="O5" s="6" t="s">
        <v>94</v>
      </c>
      <c r="P5" s="40"/>
      <c r="Q5" s="6"/>
      <c r="R5" s="6"/>
      <c r="S5" s="6"/>
      <c r="T5" s="6"/>
      <c r="U5" s="6"/>
      <c r="V5" s="6"/>
      <c r="W5" s="6"/>
      <c r="X5" s="6"/>
      <c r="Y5" s="6"/>
      <c r="Z5" s="6"/>
      <c r="AA5" s="6"/>
      <c r="AB5" s="6"/>
      <c r="AC5" s="6"/>
      <c r="AD5" s="6"/>
      <c r="AE5" s="6"/>
    </row>
    <row r="6" ht="21" customHeight="1" spans="1:31">
      <c r="A6" s="6" t="s">
        <v>142</v>
      </c>
      <c r="B6" s="7">
        <v>45708</v>
      </c>
      <c r="C6" s="6" t="str">
        <f t="shared" si="0"/>
        <v>2025年2月</v>
      </c>
      <c r="D6" s="6" t="s">
        <v>11</v>
      </c>
      <c r="E6" s="139" t="s">
        <v>1056</v>
      </c>
      <c r="F6" s="40" t="s">
        <v>40</v>
      </c>
      <c r="G6" s="140" t="s">
        <v>2778</v>
      </c>
      <c r="H6" s="6" t="s">
        <v>82</v>
      </c>
      <c r="I6" s="141" t="s">
        <v>2232</v>
      </c>
      <c r="J6" s="59" t="s">
        <v>2232</v>
      </c>
      <c r="K6" s="59"/>
      <c r="L6" s="59" t="s">
        <v>1635</v>
      </c>
      <c r="M6" s="8" t="s">
        <v>2779</v>
      </c>
      <c r="N6" s="59" t="s">
        <v>2780</v>
      </c>
      <c r="O6" s="6" t="s">
        <v>111</v>
      </c>
      <c r="P6" s="40"/>
      <c r="Q6" s="6"/>
      <c r="R6" s="6"/>
      <c r="S6" s="6"/>
      <c r="T6" s="6"/>
      <c r="U6" s="6"/>
      <c r="V6" s="6"/>
      <c r="W6" s="6"/>
    </row>
    <row r="7" ht="21" customHeight="1" spans="1:31">
      <c r="A7" s="6" t="s">
        <v>207</v>
      </c>
      <c r="B7" s="7">
        <v>45713</v>
      </c>
      <c r="C7" s="6" t="str">
        <f t="shared" si="0"/>
        <v>2025年2月</v>
      </c>
      <c r="D7" s="6" t="s">
        <v>12</v>
      </c>
      <c r="E7" s="143" t="s">
        <v>2781</v>
      </c>
      <c r="F7" s="40" t="s">
        <v>39</v>
      </c>
      <c r="G7" s="140" t="s">
        <v>2782</v>
      </c>
      <c r="H7" s="6" t="s">
        <v>82</v>
      </c>
      <c r="I7" s="141" t="s">
        <v>2232</v>
      </c>
      <c r="J7" s="59" t="s">
        <v>2232</v>
      </c>
      <c r="K7" s="6"/>
      <c r="L7" s="6" t="s">
        <v>2783</v>
      </c>
      <c r="M7" s="10" t="s">
        <v>2784</v>
      </c>
      <c r="N7" s="59"/>
      <c r="O7" s="6" t="s">
        <v>94</v>
      </c>
      <c r="P7" s="40" t="s">
        <v>2785</v>
      </c>
      <c r="Q7" s="6"/>
      <c r="R7" s="6"/>
      <c r="S7" s="6"/>
      <c r="T7" s="6"/>
      <c r="U7" s="6"/>
      <c r="V7" s="6"/>
      <c r="W7" s="6"/>
    </row>
    <row r="8" ht="21" customHeight="1" spans="1:31">
      <c r="A8" s="6" t="s">
        <v>142</v>
      </c>
      <c r="B8" s="7">
        <v>45714</v>
      </c>
      <c r="C8" s="6" t="str">
        <f t="shared" si="0"/>
        <v>2025年2月</v>
      </c>
      <c r="D8" s="6" t="s">
        <v>11</v>
      </c>
      <c r="E8" s="139" t="s">
        <v>1056</v>
      </c>
      <c r="F8" s="40" t="s">
        <v>40</v>
      </c>
      <c r="G8" s="140" t="s">
        <v>2786</v>
      </c>
      <c r="H8" s="6" t="s">
        <v>82</v>
      </c>
      <c r="I8" s="136">
        <v>62797.4</v>
      </c>
      <c r="J8" s="59" t="s">
        <v>149</v>
      </c>
      <c r="K8" s="59"/>
      <c r="L8" s="59" t="s">
        <v>1635</v>
      </c>
      <c r="M8" s="8" t="s">
        <v>199</v>
      </c>
      <c r="N8" s="59" t="s">
        <v>200</v>
      </c>
      <c r="O8" s="7" t="s">
        <v>111</v>
      </c>
      <c r="P8" s="40"/>
      <c r="Q8" s="7">
        <v>45727</v>
      </c>
      <c r="W8" s="6"/>
    </row>
    <row r="9" ht="28" spans="1:31">
      <c r="A9" s="6" t="s">
        <v>78</v>
      </c>
      <c r="B9" s="7">
        <v>45721</v>
      </c>
      <c r="C9" s="6" t="str">
        <f t="shared" si="0"/>
        <v>2025年3月</v>
      </c>
      <c r="D9" s="6" t="s">
        <v>10</v>
      </c>
      <c r="E9" s="139" t="s">
        <v>2787</v>
      </c>
      <c r="F9" s="40" t="s">
        <v>41</v>
      </c>
      <c r="G9" s="140" t="s">
        <v>2788</v>
      </c>
      <c r="H9" s="6" t="s">
        <v>82</v>
      </c>
      <c r="I9" s="144">
        <v>483243494</v>
      </c>
      <c r="J9" s="109" t="s">
        <v>1037</v>
      </c>
      <c r="K9" s="8"/>
      <c r="L9" s="8"/>
      <c r="M9" s="8" t="s">
        <v>2789</v>
      </c>
      <c r="N9" s="59" t="s">
        <v>2790</v>
      </c>
      <c r="O9" s="7" t="s">
        <v>120</v>
      </c>
      <c r="P9" s="40"/>
      <c r="Q9" s="7">
        <v>45742</v>
      </c>
      <c r="R9" s="7">
        <v>45742</v>
      </c>
      <c r="S9" s="6"/>
      <c r="T9" s="6"/>
      <c r="U9" s="6"/>
      <c r="V9" s="6"/>
      <c r="W9" s="6"/>
    </row>
    <row r="10" ht="21" customHeight="1" spans="1:31">
      <c r="A10" s="6" t="s">
        <v>142</v>
      </c>
      <c r="B10" s="7">
        <v>45727</v>
      </c>
      <c r="C10" s="6" t="str">
        <f t="shared" si="0"/>
        <v>2025年3月</v>
      </c>
      <c r="D10" s="6" t="s">
        <v>12</v>
      </c>
      <c r="E10" s="143" t="s">
        <v>1045</v>
      </c>
      <c r="F10" s="40" t="s">
        <v>41</v>
      </c>
      <c r="G10" s="145" t="s">
        <v>2791</v>
      </c>
      <c r="H10" s="6" t="s">
        <v>82</v>
      </c>
      <c r="I10" s="146">
        <v>1127781268</v>
      </c>
      <c r="J10" s="8" t="s">
        <v>1037</v>
      </c>
      <c r="K10" s="8"/>
      <c r="L10" s="8"/>
      <c r="M10" s="8"/>
      <c r="N10" s="59"/>
      <c r="O10" s="6" t="s">
        <v>94</v>
      </c>
      <c r="P10" s="40"/>
      <c r="Q10" s="6"/>
      <c r="R10" s="6"/>
      <c r="S10" s="6"/>
      <c r="T10" s="6"/>
      <c r="U10" s="6"/>
      <c r="V10" s="6"/>
      <c r="W10" s="6"/>
    </row>
    <row r="11" ht="45.75" customHeight="1" spans="1:31">
      <c r="A11" s="6" t="s">
        <v>207</v>
      </c>
      <c r="B11" s="7">
        <v>45737</v>
      </c>
      <c r="C11" s="6" t="str">
        <f t="shared" si="0"/>
        <v>2025年3月</v>
      </c>
      <c r="D11" s="6" t="s">
        <v>11</v>
      </c>
      <c r="E11" s="143" t="s">
        <v>1028</v>
      </c>
      <c r="F11" s="40" t="s">
        <v>39</v>
      </c>
      <c r="G11" s="140" t="s">
        <v>2792</v>
      </c>
      <c r="H11" s="6" t="s">
        <v>82</v>
      </c>
      <c r="I11" s="144">
        <v>255126.4</v>
      </c>
      <c r="J11" s="109" t="s">
        <v>173</v>
      </c>
      <c r="K11" s="71"/>
      <c r="L11" s="71" t="s">
        <v>2793</v>
      </c>
      <c r="M11" s="71" t="s">
        <v>2794</v>
      </c>
      <c r="N11" s="70" t="s">
        <v>2795</v>
      </c>
      <c r="O11" s="6" t="s">
        <v>94</v>
      </c>
      <c r="P11" s="40" t="s">
        <v>2796</v>
      </c>
      <c r="Q11" s="6"/>
      <c r="R11" s="6"/>
      <c r="S11" s="6"/>
      <c r="T11" s="6"/>
      <c r="U11" s="6"/>
      <c r="V11" s="6"/>
      <c r="W11" s="6"/>
    </row>
    <row r="12" ht="42" spans="1:31">
      <c r="A12" s="6" t="s">
        <v>142</v>
      </c>
      <c r="B12" s="7">
        <v>45740</v>
      </c>
      <c r="C12" s="6" t="str">
        <f t="shared" si="0"/>
        <v>2025年3月</v>
      </c>
      <c r="D12" s="6" t="s">
        <v>11</v>
      </c>
      <c r="E12" s="139" t="s">
        <v>1121</v>
      </c>
      <c r="F12" s="40" t="s">
        <v>39</v>
      </c>
      <c r="G12" s="70" t="s">
        <v>2797</v>
      </c>
      <c r="H12" s="6" t="s">
        <v>82</v>
      </c>
      <c r="I12" s="141">
        <v>61142</v>
      </c>
      <c r="J12" s="8" t="s">
        <v>173</v>
      </c>
      <c r="K12" s="8"/>
      <c r="L12" s="8"/>
      <c r="M12" s="8" t="s">
        <v>2798</v>
      </c>
      <c r="N12" s="59" t="s">
        <v>2799</v>
      </c>
      <c r="O12" s="6" t="s">
        <v>270</v>
      </c>
      <c r="P12" s="40" t="s">
        <v>110</v>
      </c>
      <c r="Q12" s="6"/>
      <c r="R12" s="6"/>
      <c r="S12" s="6"/>
      <c r="T12" s="6"/>
      <c r="U12" s="6"/>
      <c r="V12" s="6"/>
      <c r="W12" s="6"/>
    </row>
    <row r="13" ht="21" customHeight="1" spans="1:31">
      <c r="A13" s="6" t="s">
        <v>207</v>
      </c>
      <c r="B13" s="7">
        <v>45741</v>
      </c>
      <c r="C13" s="6" t="str">
        <f t="shared" si="0"/>
        <v>2025年3月</v>
      </c>
      <c r="D13" s="6" t="s">
        <v>11</v>
      </c>
      <c r="E13" s="139" t="s">
        <v>1056</v>
      </c>
      <c r="F13" s="40" t="s">
        <v>40</v>
      </c>
      <c r="G13" s="140" t="s">
        <v>2800</v>
      </c>
      <c r="H13" s="6" t="s">
        <v>82</v>
      </c>
      <c r="I13" s="141">
        <v>92417</v>
      </c>
      <c r="J13" s="6" t="s">
        <v>149</v>
      </c>
      <c r="K13" s="8"/>
      <c r="L13" s="8"/>
      <c r="M13" s="8" t="s">
        <v>2801</v>
      </c>
      <c r="N13" s="59" t="s">
        <v>2802</v>
      </c>
      <c r="O13" s="6" t="s">
        <v>111</v>
      </c>
      <c r="P13" s="40" t="s">
        <v>2773</v>
      </c>
      <c r="Q13" s="6"/>
      <c r="R13" s="6"/>
      <c r="S13" s="6"/>
      <c r="T13" s="6"/>
      <c r="U13" s="6"/>
      <c r="V13" s="6"/>
      <c r="W13" s="6"/>
    </row>
    <row r="14" ht="42" spans="1:31">
      <c r="A14" s="6" t="s">
        <v>142</v>
      </c>
      <c r="B14" s="7">
        <v>45743</v>
      </c>
      <c r="C14" s="6" t="str">
        <f t="shared" si="0"/>
        <v>2025年3月</v>
      </c>
      <c r="D14" s="6" t="s">
        <v>12</v>
      </c>
      <c r="E14" s="143" t="s">
        <v>1045</v>
      </c>
      <c r="F14" s="40" t="s">
        <v>39</v>
      </c>
      <c r="G14" s="140" t="s">
        <v>2803</v>
      </c>
      <c r="H14" s="6" t="s">
        <v>82</v>
      </c>
      <c r="I14" s="141">
        <v>25000</v>
      </c>
      <c r="J14" s="6" t="s">
        <v>173</v>
      </c>
      <c r="K14" s="6"/>
      <c r="L14" s="6"/>
      <c r="M14" s="8" t="s">
        <v>1159</v>
      </c>
      <c r="N14" s="6" t="s">
        <v>1160</v>
      </c>
      <c r="O14" s="74" t="s">
        <v>186</v>
      </c>
      <c r="P14" s="40"/>
      <c r="Q14" s="74">
        <v>45761</v>
      </c>
      <c r="R14" s="6"/>
      <c r="S14" s="87">
        <v>46097</v>
      </c>
      <c r="T14" s="6" t="s">
        <v>2237</v>
      </c>
      <c r="V14" s="6"/>
      <c r="W14" s="6"/>
    </row>
    <row r="15" ht="28" spans="1:31">
      <c r="A15" s="6" t="s">
        <v>207</v>
      </c>
      <c r="B15" s="7">
        <v>45743</v>
      </c>
      <c r="C15" s="6" t="str">
        <f t="shared" si="0"/>
        <v>2025年3月</v>
      </c>
      <c r="D15" s="6" t="s">
        <v>11</v>
      </c>
      <c r="E15" s="139" t="s">
        <v>1064</v>
      </c>
      <c r="F15" s="40" t="s">
        <v>41</v>
      </c>
      <c r="G15" s="140" t="s">
        <v>2804</v>
      </c>
      <c r="H15" s="6" t="s">
        <v>82</v>
      </c>
      <c r="I15" s="141">
        <v>1346798900</v>
      </c>
      <c r="J15" s="6" t="s">
        <v>1037</v>
      </c>
      <c r="K15" s="6"/>
      <c r="L15" s="6" t="s">
        <v>2805</v>
      </c>
      <c r="M15" s="8" t="s">
        <v>2806</v>
      </c>
      <c r="N15" s="59" t="s">
        <v>2807</v>
      </c>
      <c r="O15" s="6" t="s">
        <v>146</v>
      </c>
      <c r="P15" s="40" t="s">
        <v>50</v>
      </c>
      <c r="Q15" s="6"/>
      <c r="R15" s="6"/>
      <c r="S15" s="6"/>
      <c r="T15" s="6"/>
      <c r="U15" s="6"/>
      <c r="V15" s="6"/>
      <c r="W15" s="6"/>
    </row>
    <row r="16" ht="28" spans="1:31">
      <c r="A16" s="6" t="s">
        <v>207</v>
      </c>
      <c r="B16" s="7">
        <v>45744</v>
      </c>
      <c r="C16" s="6" t="str">
        <f t="shared" si="0"/>
        <v>2025年3月</v>
      </c>
      <c r="D16" s="6" t="s">
        <v>11</v>
      </c>
      <c r="E16" s="139" t="s">
        <v>1138</v>
      </c>
      <c r="F16" s="40" t="s">
        <v>41</v>
      </c>
      <c r="G16" s="140" t="s">
        <v>2808</v>
      </c>
      <c r="H16" s="6" t="s">
        <v>82</v>
      </c>
      <c r="I16" s="141">
        <v>561362250</v>
      </c>
      <c r="J16" s="6" t="s">
        <v>1037</v>
      </c>
      <c r="K16" s="6"/>
      <c r="L16" s="6"/>
      <c r="M16" s="8" t="s">
        <v>2809</v>
      </c>
      <c r="N16" s="59" t="s">
        <v>2810</v>
      </c>
      <c r="O16" s="74" t="s">
        <v>111</v>
      </c>
      <c r="P16" s="40" t="s">
        <v>2785</v>
      </c>
      <c r="Q16" s="74">
        <v>45758</v>
      </c>
      <c r="R16" s="74">
        <v>45761</v>
      </c>
      <c r="S16" s="6"/>
      <c r="T16" s="6"/>
      <c r="U16" s="6"/>
      <c r="V16" s="6"/>
      <c r="W16" s="6"/>
    </row>
    <row r="17" ht="21" customHeight="1" spans="1:23">
      <c r="A17" s="6" t="s">
        <v>142</v>
      </c>
      <c r="B17" s="7">
        <v>45747</v>
      </c>
      <c r="C17" s="6" t="str">
        <f t="shared" si="0"/>
        <v>2025年3月</v>
      </c>
      <c r="D17" s="6" t="s">
        <v>11</v>
      </c>
      <c r="E17" s="139" t="s">
        <v>1056</v>
      </c>
      <c r="F17" s="40" t="s">
        <v>40</v>
      </c>
      <c r="G17" s="140" t="s">
        <v>2811</v>
      </c>
      <c r="H17" s="6" t="s">
        <v>82</v>
      </c>
      <c r="I17" s="141">
        <v>160919.3</v>
      </c>
      <c r="J17" s="6" t="s">
        <v>149</v>
      </c>
      <c r="K17" s="6"/>
      <c r="L17" s="6"/>
      <c r="M17" s="8" t="s">
        <v>2812</v>
      </c>
      <c r="N17" s="59" t="s">
        <v>2813</v>
      </c>
      <c r="O17" s="6" t="s">
        <v>111</v>
      </c>
      <c r="P17" s="40"/>
      <c r="Q17" s="6"/>
      <c r="R17" s="6"/>
      <c r="S17" s="6"/>
      <c r="T17" s="6"/>
      <c r="U17" s="6"/>
      <c r="V17" s="6"/>
      <c r="W17" s="6"/>
    </row>
    <row r="18" ht="14" spans="1:23">
      <c r="A18" s="6" t="s">
        <v>142</v>
      </c>
      <c r="B18" s="7">
        <v>45750</v>
      </c>
      <c r="C18" s="6" t="str">
        <f t="shared" si="0"/>
        <v>2025年4月</v>
      </c>
      <c r="D18" s="6" t="s">
        <v>11</v>
      </c>
      <c r="E18" s="139" t="s">
        <v>1056</v>
      </c>
      <c r="F18" s="40" t="s">
        <v>41</v>
      </c>
      <c r="G18" s="140" t="s">
        <v>2814</v>
      </c>
      <c r="H18" s="6" t="s">
        <v>82</v>
      </c>
      <c r="I18" s="141">
        <v>450000000</v>
      </c>
      <c r="J18" s="6" t="s">
        <v>1037</v>
      </c>
      <c r="K18" s="6"/>
      <c r="L18" s="6"/>
      <c r="M18" s="8" t="s">
        <v>2815</v>
      </c>
      <c r="O18" s="7" t="s">
        <v>111</v>
      </c>
      <c r="P18" s="40"/>
      <c r="Q18" s="7">
        <v>45764</v>
      </c>
      <c r="R18" s="7">
        <v>45764</v>
      </c>
      <c r="S18" s="6"/>
      <c r="T18" s="6"/>
      <c r="U18" s="6"/>
      <c r="V18" s="6"/>
      <c r="W18" s="6"/>
    </row>
    <row r="19" ht="28" spans="1:23">
      <c r="A19" s="6" t="s">
        <v>142</v>
      </c>
      <c r="B19" s="7">
        <v>45744</v>
      </c>
      <c r="C19" s="6" t="str">
        <f t="shared" si="0"/>
        <v>2025年3月</v>
      </c>
      <c r="D19" s="6" t="s">
        <v>11</v>
      </c>
      <c r="E19" s="139" t="s">
        <v>1138</v>
      </c>
      <c r="F19" s="40" t="s">
        <v>41</v>
      </c>
      <c r="G19" s="140" t="s">
        <v>2816</v>
      </c>
      <c r="H19" s="6" t="s">
        <v>82</v>
      </c>
      <c r="I19" s="141">
        <v>450000000</v>
      </c>
      <c r="J19" s="6" t="s">
        <v>1037</v>
      </c>
      <c r="K19" s="6"/>
      <c r="L19" s="6"/>
      <c r="M19" s="8" t="s">
        <v>2817</v>
      </c>
      <c r="N19" s="41" t="s">
        <v>2818</v>
      </c>
      <c r="O19" s="7" t="s">
        <v>111</v>
      </c>
      <c r="P19" s="40"/>
      <c r="Q19" s="7">
        <v>45769</v>
      </c>
      <c r="R19" s="6"/>
      <c r="S19" s="6"/>
      <c r="T19" s="6"/>
      <c r="U19" s="6"/>
      <c r="V19" s="6"/>
      <c r="W19" s="6"/>
    </row>
    <row r="20" ht="21" customHeight="1" spans="1:23">
      <c r="A20" s="6" t="s">
        <v>207</v>
      </c>
      <c r="B20" s="7">
        <v>45750</v>
      </c>
      <c r="C20" s="6" t="str">
        <f t="shared" si="0"/>
        <v>2025年4月</v>
      </c>
      <c r="D20" s="6" t="s">
        <v>11</v>
      </c>
      <c r="E20" s="139" t="s">
        <v>1056</v>
      </c>
      <c r="F20" s="40" t="s">
        <v>40</v>
      </c>
      <c r="G20" s="140" t="s">
        <v>2819</v>
      </c>
      <c r="H20" s="6" t="s">
        <v>82</v>
      </c>
      <c r="I20" s="141">
        <v>126590.17</v>
      </c>
      <c r="J20" s="6" t="s">
        <v>149</v>
      </c>
      <c r="K20" s="6"/>
      <c r="L20" s="6"/>
      <c r="M20" s="71" t="s">
        <v>2820</v>
      </c>
      <c r="N20" s="59" t="s">
        <v>2821</v>
      </c>
      <c r="O20" s="6" t="s">
        <v>111</v>
      </c>
      <c r="P20" s="40" t="s">
        <v>2773</v>
      </c>
      <c r="Q20" s="6"/>
      <c r="R20" s="6"/>
      <c r="S20" s="6"/>
      <c r="T20" s="6"/>
      <c r="U20" s="6"/>
      <c r="V20" s="6"/>
      <c r="W20" s="6"/>
    </row>
    <row r="21" ht="28" spans="1:23">
      <c r="A21" s="6" t="s">
        <v>78</v>
      </c>
      <c r="B21" s="7">
        <v>45757</v>
      </c>
      <c r="C21" s="6" t="str">
        <f t="shared" si="0"/>
        <v>2025年4月</v>
      </c>
      <c r="D21" s="6" t="s">
        <v>10</v>
      </c>
      <c r="E21" s="139" t="s">
        <v>2822</v>
      </c>
      <c r="F21" s="40" t="s">
        <v>41</v>
      </c>
      <c r="G21" s="140" t="s">
        <v>2823</v>
      </c>
      <c r="H21" s="6" t="s">
        <v>82</v>
      </c>
      <c r="I21" s="141">
        <v>550000000</v>
      </c>
      <c r="J21" s="6" t="s">
        <v>1037</v>
      </c>
      <c r="K21" s="6"/>
      <c r="L21" s="6"/>
      <c r="M21" s="8" t="s">
        <v>2824</v>
      </c>
      <c r="N21" s="59" t="s">
        <v>2825</v>
      </c>
      <c r="O21" s="6" t="s">
        <v>111</v>
      </c>
      <c r="P21" s="40" t="s">
        <v>2785</v>
      </c>
      <c r="Q21" s="6"/>
      <c r="R21" s="6"/>
      <c r="S21" s="6"/>
      <c r="T21" s="6"/>
      <c r="U21" s="6"/>
      <c r="V21" s="6"/>
      <c r="W21" s="6"/>
    </row>
    <row r="22" ht="28" spans="1:23">
      <c r="A22" s="6" t="s">
        <v>207</v>
      </c>
      <c r="B22" s="7">
        <v>45757</v>
      </c>
      <c r="C22" s="6" t="str">
        <f t="shared" si="0"/>
        <v>2025年4月</v>
      </c>
      <c r="D22" s="6" t="s">
        <v>11</v>
      </c>
      <c r="E22" s="139" t="s">
        <v>1234</v>
      </c>
      <c r="F22" s="40" t="s">
        <v>39</v>
      </c>
      <c r="G22" s="140" t="s">
        <v>2826</v>
      </c>
      <c r="H22" s="6" t="s">
        <v>82</v>
      </c>
      <c r="I22" s="141">
        <v>18000</v>
      </c>
      <c r="J22" s="6" t="s">
        <v>173</v>
      </c>
      <c r="K22" s="6"/>
      <c r="L22" s="6" t="s">
        <v>2827</v>
      </c>
      <c r="M22" s="8" t="s">
        <v>2828</v>
      </c>
      <c r="N22" s="59" t="s">
        <v>2829</v>
      </c>
      <c r="O22" s="6" t="s">
        <v>146</v>
      </c>
      <c r="P22" s="40" t="s">
        <v>110</v>
      </c>
      <c r="Q22" s="6"/>
      <c r="R22" s="6"/>
      <c r="S22" s="6"/>
      <c r="T22" s="6"/>
      <c r="U22" s="6"/>
      <c r="V22" s="6"/>
      <c r="W22" s="6"/>
    </row>
    <row r="23" ht="28" spans="1:23">
      <c r="A23" s="6" t="s">
        <v>142</v>
      </c>
      <c r="B23" s="7">
        <v>45758</v>
      </c>
      <c r="C23" s="6" t="str">
        <f t="shared" si="0"/>
        <v>2025年4月</v>
      </c>
      <c r="D23" s="6" t="s">
        <v>11</v>
      </c>
      <c r="E23" s="139" t="s">
        <v>1064</v>
      </c>
      <c r="F23" s="40" t="s">
        <v>41</v>
      </c>
      <c r="G23" s="140" t="s">
        <v>2830</v>
      </c>
      <c r="H23" s="6" t="s">
        <v>82</v>
      </c>
      <c r="I23" s="141">
        <v>2999999994</v>
      </c>
      <c r="J23" s="6" t="s">
        <v>1037</v>
      </c>
      <c r="K23" s="6"/>
      <c r="L23" s="6"/>
      <c r="M23" s="8" t="s">
        <v>2831</v>
      </c>
      <c r="N23" s="59" t="s">
        <v>2832</v>
      </c>
      <c r="O23" s="6" t="s">
        <v>111</v>
      </c>
      <c r="P23" s="40"/>
      <c r="Q23" s="6"/>
      <c r="R23" s="6"/>
      <c r="S23" s="6"/>
      <c r="T23" s="6"/>
      <c r="U23" s="6"/>
      <c r="V23" s="6"/>
      <c r="W23" s="6"/>
    </row>
    <row r="24" ht="21" customHeight="1" spans="1:23">
      <c r="A24" s="6" t="s">
        <v>207</v>
      </c>
      <c r="B24" s="7">
        <v>45758</v>
      </c>
      <c r="C24" s="6" t="str">
        <f t="shared" si="0"/>
        <v>2025年4月</v>
      </c>
      <c r="D24" s="6" t="s">
        <v>11</v>
      </c>
      <c r="E24" s="139" t="s">
        <v>1056</v>
      </c>
      <c r="F24" s="40" t="s">
        <v>40</v>
      </c>
      <c r="G24" s="140" t="s">
        <v>2833</v>
      </c>
      <c r="H24" s="6" t="s">
        <v>82</v>
      </c>
      <c r="I24" s="141">
        <v>79870</v>
      </c>
      <c r="J24" s="6" t="s">
        <v>149</v>
      </c>
      <c r="K24" s="6"/>
      <c r="L24" s="6" t="s">
        <v>2834</v>
      </c>
      <c r="M24" s="8" t="s">
        <v>2835</v>
      </c>
      <c r="N24" s="59" t="s">
        <v>2836</v>
      </c>
      <c r="O24" s="6" t="s">
        <v>111</v>
      </c>
      <c r="P24" s="40" t="s">
        <v>2837</v>
      </c>
      <c r="Q24" s="6"/>
      <c r="R24" s="6"/>
      <c r="S24" s="6"/>
      <c r="T24" s="6"/>
      <c r="U24" s="6"/>
      <c r="V24" s="6"/>
      <c r="W24" s="6"/>
    </row>
    <row r="25" ht="28" spans="1:23">
      <c r="A25" s="6" t="s">
        <v>78</v>
      </c>
      <c r="B25" s="7">
        <v>45764</v>
      </c>
      <c r="C25" s="6" t="str">
        <f t="shared" si="0"/>
        <v>2025年4月</v>
      </c>
      <c r="D25" s="6" t="s">
        <v>10</v>
      </c>
      <c r="E25" s="139" t="s">
        <v>2822</v>
      </c>
      <c r="F25" s="40" t="s">
        <v>41</v>
      </c>
      <c r="G25" s="140" t="s">
        <v>2838</v>
      </c>
      <c r="H25" s="6" t="s">
        <v>82</v>
      </c>
      <c r="I25" s="141">
        <v>944999999</v>
      </c>
      <c r="J25" s="6" t="s">
        <v>1037</v>
      </c>
      <c r="K25" s="6"/>
      <c r="L25" s="6"/>
      <c r="M25" s="8" t="s">
        <v>2839</v>
      </c>
      <c r="N25" s="59" t="s">
        <v>2840</v>
      </c>
      <c r="O25" s="6" t="s">
        <v>111</v>
      </c>
      <c r="P25" s="40" t="s">
        <v>2785</v>
      </c>
      <c r="Q25" s="6"/>
      <c r="R25" s="6"/>
      <c r="S25" s="6"/>
      <c r="T25" s="6"/>
      <c r="U25" s="6"/>
      <c r="V25" s="6"/>
      <c r="W25" s="6"/>
    </row>
    <row r="26" ht="28" spans="1:23">
      <c r="A26" s="6" t="s">
        <v>142</v>
      </c>
      <c r="B26" s="7">
        <v>45765</v>
      </c>
      <c r="C26" s="6" t="str">
        <f t="shared" si="0"/>
        <v>2025年4月</v>
      </c>
      <c r="D26" s="6" t="s">
        <v>10</v>
      </c>
      <c r="E26" s="139" t="s">
        <v>2822</v>
      </c>
      <c r="F26" s="40" t="s">
        <v>41</v>
      </c>
      <c r="G26" s="140" t="s">
        <v>2841</v>
      </c>
      <c r="H26" s="6" t="s">
        <v>1058</v>
      </c>
      <c r="I26" s="141">
        <v>1340499993</v>
      </c>
      <c r="J26" s="6" t="s">
        <v>1037</v>
      </c>
      <c r="K26" s="6"/>
      <c r="L26" s="6"/>
      <c r="M26" s="8" t="s">
        <v>803</v>
      </c>
      <c r="N26" s="59" t="s">
        <v>804</v>
      </c>
      <c r="O26" s="6" t="s">
        <v>111</v>
      </c>
      <c r="P26" s="40"/>
      <c r="Q26" s="6"/>
      <c r="R26" s="6"/>
      <c r="S26" s="6"/>
      <c r="T26" s="6"/>
      <c r="U26" s="6"/>
      <c r="V26" s="6"/>
      <c r="W26" s="6"/>
    </row>
    <row r="27" ht="42" spans="1:23">
      <c r="A27" s="6" t="s">
        <v>142</v>
      </c>
      <c r="B27" s="7">
        <v>45770</v>
      </c>
      <c r="C27" s="6" t="str">
        <f t="shared" si="0"/>
        <v>2025年4月</v>
      </c>
      <c r="D27" s="6" t="s">
        <v>11</v>
      </c>
      <c r="E27" s="139" t="s">
        <v>2842</v>
      </c>
      <c r="F27" s="40" t="s">
        <v>39</v>
      </c>
      <c r="G27" s="140" t="s">
        <v>2843</v>
      </c>
      <c r="H27" s="6" t="s">
        <v>82</v>
      </c>
      <c r="I27" s="141">
        <v>10087</v>
      </c>
      <c r="J27" s="6" t="s">
        <v>173</v>
      </c>
      <c r="K27" s="6"/>
      <c r="L27" s="6"/>
      <c r="M27" s="8" t="s">
        <v>2844</v>
      </c>
      <c r="N27" s="59" t="s">
        <v>2845</v>
      </c>
      <c r="O27" s="6" t="s">
        <v>261</v>
      </c>
      <c r="P27" s="40"/>
      <c r="Q27" s="6"/>
      <c r="R27" s="6"/>
      <c r="S27" s="6"/>
      <c r="T27" s="6"/>
      <c r="U27" s="6"/>
      <c r="V27" s="6"/>
      <c r="W27" s="6"/>
    </row>
    <row r="28" ht="36.75" customHeight="1" spans="1:23">
      <c r="A28" s="6" t="s">
        <v>584</v>
      </c>
      <c r="B28" s="7">
        <v>45784</v>
      </c>
      <c r="C28" s="6" t="str">
        <f t="shared" si="0"/>
        <v>2025年5月</v>
      </c>
      <c r="D28" s="6" t="s">
        <v>11</v>
      </c>
      <c r="E28" s="139" t="s">
        <v>1045</v>
      </c>
      <c r="F28" s="40" t="s">
        <v>39</v>
      </c>
      <c r="G28" s="140" t="s">
        <v>2846</v>
      </c>
      <c r="H28" s="6" t="s">
        <v>82</v>
      </c>
      <c r="I28" s="141">
        <v>476729.35</v>
      </c>
      <c r="J28" s="6" t="s">
        <v>149</v>
      </c>
      <c r="K28" s="6"/>
      <c r="L28" s="6"/>
      <c r="M28" s="8" t="s">
        <v>2847</v>
      </c>
      <c r="N28" s="59" t="s">
        <v>2848</v>
      </c>
      <c r="O28" s="6" t="s">
        <v>124</v>
      </c>
      <c r="P28" s="40"/>
      <c r="Q28" s="6"/>
      <c r="R28" s="6"/>
      <c r="S28" s="6"/>
      <c r="T28" s="6"/>
      <c r="U28" s="6"/>
      <c r="V28" s="6"/>
      <c r="W28" s="6"/>
    </row>
    <row r="29" ht="21" customHeight="1" spans="1:23">
      <c r="C29" s="10"/>
      <c r="D29" s="40"/>
      <c r="E29" s="139" t="s">
        <v>1234</v>
      </c>
      <c r="F29" s="40"/>
      <c r="G29" s="10"/>
      <c r="H29" s="10"/>
      <c r="I29" s="10"/>
      <c r="K29" s="6"/>
      <c r="L29" s="6"/>
      <c r="M29" s="8" t="s">
        <v>2849</v>
      </c>
      <c r="N29" s="59" t="s">
        <v>1730</v>
      </c>
      <c r="O29" s="6" t="s">
        <v>146</v>
      </c>
      <c r="P29" s="40"/>
      <c r="Q29" s="6"/>
      <c r="R29" s="6"/>
      <c r="S29" s="6"/>
      <c r="T29" s="6"/>
      <c r="U29" s="6"/>
      <c r="V29" s="6"/>
      <c r="W29" s="6"/>
    </row>
    <row r="30" ht="21" customHeight="1" spans="1:23">
      <c r="C30" s="10"/>
      <c r="D30" s="40"/>
      <c r="E30" s="139" t="s">
        <v>1045</v>
      </c>
      <c r="F30" s="40"/>
      <c r="G30" s="10"/>
      <c r="H30" s="10"/>
      <c r="I30" s="10"/>
      <c r="K30" s="6"/>
      <c r="L30" s="6"/>
      <c r="M30" s="8" t="s">
        <v>2850</v>
      </c>
      <c r="N30" s="70" t="s">
        <v>2851</v>
      </c>
      <c r="O30" s="6" t="s">
        <v>124</v>
      </c>
      <c r="P30" s="40"/>
      <c r="Q30" s="6"/>
      <c r="R30" s="6"/>
      <c r="S30" s="6"/>
      <c r="T30" s="6"/>
      <c r="U30" s="6"/>
      <c r="V30" s="6"/>
      <c r="W30" s="6"/>
    </row>
    <row r="31" ht="21" customHeight="1" spans="1:23">
      <c r="A31" s="6" t="s">
        <v>142</v>
      </c>
      <c r="B31" s="7">
        <v>45788</v>
      </c>
      <c r="C31" s="6" t="str">
        <f t="shared" ref="C31:C89" si="1">YEAR(B31)&amp;"年"&amp;MONTH(B31)&amp;"月"</f>
        <v>2025年5月</v>
      </c>
      <c r="D31" s="6" t="s">
        <v>11</v>
      </c>
      <c r="E31" s="139" t="s">
        <v>2842</v>
      </c>
      <c r="F31" s="40" t="s">
        <v>39</v>
      </c>
      <c r="G31" s="140" t="s">
        <v>2852</v>
      </c>
      <c r="H31" s="6" t="s">
        <v>82</v>
      </c>
      <c r="I31" s="141">
        <v>209540.8</v>
      </c>
      <c r="J31" s="6" t="s">
        <v>173</v>
      </c>
      <c r="K31" s="6"/>
      <c r="L31" s="6"/>
      <c r="M31" s="8" t="s">
        <v>2844</v>
      </c>
      <c r="N31" s="59" t="s">
        <v>2845</v>
      </c>
      <c r="O31" s="7" t="s">
        <v>261</v>
      </c>
      <c r="P31" s="40"/>
      <c r="Q31" s="7">
        <v>45804</v>
      </c>
      <c r="R31" s="7">
        <v>45806</v>
      </c>
      <c r="S31" s="6"/>
      <c r="T31" s="6"/>
      <c r="U31" s="6"/>
      <c r="V31" s="6"/>
      <c r="W31" s="6"/>
    </row>
    <row r="32" ht="21" customHeight="1" spans="1:23">
      <c r="A32" s="6" t="s">
        <v>207</v>
      </c>
      <c r="B32" s="7">
        <v>45792</v>
      </c>
      <c r="C32" s="6" t="str">
        <f t="shared" si="1"/>
        <v>2025年5月</v>
      </c>
      <c r="D32" s="6" t="s">
        <v>11</v>
      </c>
      <c r="E32" s="139" t="s">
        <v>1064</v>
      </c>
      <c r="F32" s="40" t="s">
        <v>40</v>
      </c>
      <c r="G32" s="140" t="s">
        <v>2853</v>
      </c>
      <c r="H32" s="6" t="s">
        <v>82</v>
      </c>
      <c r="I32" s="141">
        <v>146997.7</v>
      </c>
      <c r="J32" s="6" t="s">
        <v>149</v>
      </c>
      <c r="K32" s="6"/>
      <c r="L32" s="6"/>
      <c r="M32" s="8" t="s">
        <v>1282</v>
      </c>
      <c r="N32" s="59" t="s">
        <v>1284</v>
      </c>
      <c r="O32" s="6" t="s">
        <v>111</v>
      </c>
      <c r="P32" s="40" t="s">
        <v>2773</v>
      </c>
      <c r="Q32" s="6"/>
      <c r="R32" s="6"/>
      <c r="S32" s="6"/>
      <c r="T32" s="6"/>
      <c r="U32" s="6"/>
      <c r="V32" s="6"/>
      <c r="W32" s="6"/>
    </row>
    <row r="33" ht="21" customHeight="1" spans="1:23">
      <c r="A33" s="6" t="s">
        <v>142</v>
      </c>
      <c r="B33" s="7">
        <v>45792</v>
      </c>
      <c r="C33" s="6" t="str">
        <f t="shared" si="1"/>
        <v>2025年5月</v>
      </c>
      <c r="D33" s="6" t="s">
        <v>11</v>
      </c>
      <c r="E33" s="139" t="s">
        <v>1056</v>
      </c>
      <c r="F33" s="40" t="s">
        <v>40</v>
      </c>
      <c r="G33" s="140" t="s">
        <v>2854</v>
      </c>
      <c r="H33" s="6" t="s">
        <v>82</v>
      </c>
      <c r="I33" s="141">
        <v>172250</v>
      </c>
      <c r="J33" s="6" t="s">
        <v>149</v>
      </c>
      <c r="K33" s="6"/>
      <c r="L33" s="6"/>
      <c r="M33" s="8" t="s">
        <v>2855</v>
      </c>
      <c r="N33" s="147" t="s">
        <v>2856</v>
      </c>
      <c r="O33" s="6" t="s">
        <v>111</v>
      </c>
      <c r="P33" s="40"/>
      <c r="Q33" s="6"/>
      <c r="R33" s="6"/>
      <c r="S33" s="6"/>
      <c r="T33" s="6"/>
      <c r="U33" s="6"/>
      <c r="V33" s="6"/>
      <c r="W33" s="6"/>
    </row>
    <row r="34" ht="28" spans="1:23">
      <c r="A34" s="6" t="s">
        <v>142</v>
      </c>
      <c r="B34" s="7">
        <v>45797</v>
      </c>
      <c r="C34" s="6" t="str">
        <f t="shared" si="1"/>
        <v>2025年5月</v>
      </c>
      <c r="D34" s="6" t="s">
        <v>12</v>
      </c>
      <c r="E34" s="143" t="s">
        <v>1045</v>
      </c>
      <c r="F34" s="40" t="s">
        <v>39</v>
      </c>
      <c r="G34" s="140" t="s">
        <v>2857</v>
      </c>
      <c r="H34" s="6" t="s">
        <v>82</v>
      </c>
      <c r="I34" s="141">
        <v>22500</v>
      </c>
      <c r="J34" s="6" t="s">
        <v>173</v>
      </c>
      <c r="K34" s="6"/>
      <c r="L34" s="6"/>
      <c r="M34" s="37" t="s">
        <v>2858</v>
      </c>
      <c r="N34" s="38" t="s">
        <v>2859</v>
      </c>
      <c r="O34" s="6" t="s">
        <v>129</v>
      </c>
      <c r="P34" s="40"/>
      <c r="Q34" s="6"/>
      <c r="R34" s="6"/>
      <c r="S34" s="6"/>
      <c r="T34" s="6"/>
      <c r="U34" s="6"/>
      <c r="V34" s="6"/>
      <c r="W34" s="6"/>
    </row>
    <row r="35" ht="42" spans="1:23">
      <c r="A35" s="6" t="s">
        <v>142</v>
      </c>
      <c r="B35" s="7">
        <v>45800</v>
      </c>
      <c r="C35" s="6" t="str">
        <f t="shared" si="1"/>
        <v>2025年5月</v>
      </c>
      <c r="D35" s="6" t="s">
        <v>12</v>
      </c>
      <c r="E35" s="143" t="s">
        <v>1045</v>
      </c>
      <c r="F35" s="40" t="s">
        <v>39</v>
      </c>
      <c r="G35" s="140" t="s">
        <v>2860</v>
      </c>
      <c r="H35" s="6" t="s">
        <v>82</v>
      </c>
      <c r="I35" s="141">
        <v>964360.45</v>
      </c>
      <c r="J35" s="6" t="s">
        <v>173</v>
      </c>
      <c r="K35" s="6"/>
      <c r="L35" s="6"/>
      <c r="M35" s="37" t="s">
        <v>2858</v>
      </c>
      <c r="N35" s="38" t="s">
        <v>2859</v>
      </c>
      <c r="O35" s="7" t="s">
        <v>129</v>
      </c>
      <c r="P35" s="40"/>
      <c r="Q35" s="7">
        <v>45812</v>
      </c>
      <c r="R35" s="7">
        <v>45824</v>
      </c>
      <c r="S35" s="7">
        <v>46022</v>
      </c>
      <c r="T35" s="7">
        <v>46028</v>
      </c>
      <c r="U35" s="6"/>
      <c r="V35" s="6"/>
      <c r="W35" s="6"/>
    </row>
    <row r="36" ht="21" customHeight="1" spans="1:23">
      <c r="A36" s="6" t="s">
        <v>207</v>
      </c>
      <c r="B36" s="7">
        <v>45799</v>
      </c>
      <c r="C36" s="6" t="str">
        <f t="shared" si="1"/>
        <v>2025年5月</v>
      </c>
      <c r="D36" s="6" t="s">
        <v>11</v>
      </c>
      <c r="E36" s="139" t="s">
        <v>1064</v>
      </c>
      <c r="F36" s="40" t="s">
        <v>40</v>
      </c>
      <c r="G36" s="140" t="s">
        <v>2861</v>
      </c>
      <c r="H36" s="6" t="s">
        <v>82</v>
      </c>
      <c r="I36" s="141">
        <v>296351</v>
      </c>
      <c r="J36" s="6" t="s">
        <v>149</v>
      </c>
      <c r="K36" s="6"/>
      <c r="L36" s="6"/>
      <c r="M36" s="8" t="s">
        <v>2862</v>
      </c>
      <c r="N36" s="38" t="s">
        <v>2863</v>
      </c>
      <c r="O36" s="6" t="s">
        <v>111</v>
      </c>
      <c r="P36" s="40" t="s">
        <v>2773</v>
      </c>
      <c r="Q36" s="6"/>
      <c r="R36" s="6"/>
      <c r="S36" s="6"/>
      <c r="T36" s="6"/>
      <c r="U36" s="6"/>
      <c r="V36" s="6"/>
      <c r="W36" s="6"/>
    </row>
    <row r="37" ht="21" customHeight="1" spans="1:23">
      <c r="A37" s="6" t="s">
        <v>1266</v>
      </c>
      <c r="B37" s="7">
        <v>45800</v>
      </c>
      <c r="C37" s="6" t="str">
        <f t="shared" si="1"/>
        <v>2025年5月</v>
      </c>
      <c r="D37" s="6" t="s">
        <v>11</v>
      </c>
      <c r="E37" s="139" t="s">
        <v>1056</v>
      </c>
      <c r="F37" s="40" t="s">
        <v>40</v>
      </c>
      <c r="G37" s="140" t="s">
        <v>2864</v>
      </c>
      <c r="H37" s="6" t="s">
        <v>82</v>
      </c>
      <c r="I37" s="141">
        <v>97788.26</v>
      </c>
      <c r="J37" s="6" t="s">
        <v>149</v>
      </c>
      <c r="K37" s="6"/>
      <c r="L37" s="6"/>
      <c r="M37" s="8" t="s">
        <v>2865</v>
      </c>
      <c r="N37" s="38" t="s">
        <v>2866</v>
      </c>
      <c r="O37" s="6" t="s">
        <v>111</v>
      </c>
      <c r="P37" s="40" t="s">
        <v>2773</v>
      </c>
      <c r="Q37" s="6"/>
      <c r="R37" s="6"/>
      <c r="S37" s="6"/>
      <c r="T37" s="6"/>
      <c r="U37" s="6"/>
      <c r="V37" s="6"/>
      <c r="W37" s="6"/>
    </row>
    <row r="38" ht="21" customHeight="1" spans="1:23">
      <c r="A38" s="6" t="s">
        <v>207</v>
      </c>
      <c r="B38" s="7">
        <v>45800</v>
      </c>
      <c r="C38" s="6" t="str">
        <f t="shared" si="1"/>
        <v>2025年5月</v>
      </c>
      <c r="D38" s="6" t="s">
        <v>11</v>
      </c>
      <c r="E38" s="139" t="s">
        <v>1056</v>
      </c>
      <c r="F38" s="40" t="s">
        <v>40</v>
      </c>
      <c r="G38" s="140" t="s">
        <v>2867</v>
      </c>
      <c r="H38" s="6" t="s">
        <v>82</v>
      </c>
      <c r="I38" s="141">
        <v>83020</v>
      </c>
      <c r="J38" s="6" t="s">
        <v>149</v>
      </c>
      <c r="K38" s="6"/>
      <c r="L38" s="6" t="s">
        <v>2834</v>
      </c>
      <c r="M38" s="8" t="s">
        <v>2868</v>
      </c>
      <c r="N38" s="38" t="s">
        <v>2869</v>
      </c>
      <c r="O38" s="6" t="s">
        <v>111</v>
      </c>
      <c r="P38" s="40" t="s">
        <v>2773</v>
      </c>
      <c r="Q38" s="6"/>
      <c r="R38" s="6"/>
      <c r="S38" s="6"/>
      <c r="T38" s="6"/>
      <c r="U38" s="6"/>
      <c r="V38" s="6"/>
      <c r="W38" s="6"/>
    </row>
    <row r="39" ht="21" customHeight="1" spans="1:23">
      <c r="A39" s="6" t="s">
        <v>142</v>
      </c>
      <c r="B39" s="7">
        <v>45803</v>
      </c>
      <c r="C39" s="6" t="str">
        <f t="shared" si="1"/>
        <v>2025年5月</v>
      </c>
      <c r="D39" s="6" t="s">
        <v>11</v>
      </c>
      <c r="E39" s="139" t="s">
        <v>2232</v>
      </c>
      <c r="F39" s="40" t="s">
        <v>39</v>
      </c>
      <c r="G39" s="140" t="s">
        <v>2870</v>
      </c>
      <c r="H39" s="6" t="s">
        <v>82</v>
      </c>
      <c r="I39" s="141">
        <v>0</v>
      </c>
      <c r="J39" s="6" t="s">
        <v>2232</v>
      </c>
      <c r="K39" s="6"/>
      <c r="L39" s="6"/>
      <c r="M39" s="6"/>
      <c r="N39" s="40"/>
      <c r="O39" s="6" t="s">
        <v>94</v>
      </c>
      <c r="P39" s="40"/>
      <c r="Q39" s="6"/>
      <c r="R39" s="6"/>
      <c r="S39" s="6"/>
      <c r="T39" s="6"/>
      <c r="U39" s="6"/>
      <c r="V39" s="6"/>
      <c r="W39" s="6"/>
    </row>
    <row r="40" ht="21" customHeight="1" spans="1:23">
      <c r="A40" s="6" t="s">
        <v>207</v>
      </c>
      <c r="B40" s="7">
        <v>45806</v>
      </c>
      <c r="C40" s="6" t="str">
        <f t="shared" si="1"/>
        <v>2025年5月</v>
      </c>
      <c r="D40" s="6" t="s">
        <v>11</v>
      </c>
      <c r="E40" s="139" t="s">
        <v>1056</v>
      </c>
      <c r="F40" s="40" t="s">
        <v>40</v>
      </c>
      <c r="G40" s="140" t="s">
        <v>2871</v>
      </c>
      <c r="H40" s="6" t="s">
        <v>82</v>
      </c>
      <c r="I40" s="141">
        <v>173257</v>
      </c>
      <c r="J40" s="6" t="s">
        <v>149</v>
      </c>
      <c r="K40" s="6"/>
      <c r="L40" s="6"/>
      <c r="M40" s="8" t="s">
        <v>2872</v>
      </c>
      <c r="N40" s="38" t="s">
        <v>2873</v>
      </c>
      <c r="O40" s="6" t="s">
        <v>111</v>
      </c>
      <c r="P40" s="40" t="s">
        <v>2773</v>
      </c>
      <c r="Q40" s="6"/>
      <c r="R40" s="6"/>
      <c r="S40" s="6"/>
      <c r="T40" s="6"/>
      <c r="U40" s="6"/>
      <c r="V40" s="6"/>
      <c r="W40" s="6"/>
    </row>
    <row r="41" ht="21" customHeight="1" spans="1:23">
      <c r="A41" s="6" t="s">
        <v>1266</v>
      </c>
      <c r="B41" s="7">
        <v>45807</v>
      </c>
      <c r="C41" s="6" t="str">
        <f t="shared" si="1"/>
        <v>2025年5月</v>
      </c>
      <c r="D41" s="6" t="s">
        <v>11</v>
      </c>
      <c r="E41" s="139" t="s">
        <v>1056</v>
      </c>
      <c r="F41" s="40" t="s">
        <v>40</v>
      </c>
      <c r="G41" s="140" t="s">
        <v>2874</v>
      </c>
      <c r="H41" s="6" t="s">
        <v>82</v>
      </c>
      <c r="I41" s="141">
        <v>187373.11</v>
      </c>
      <c r="J41" s="6" t="s">
        <v>149</v>
      </c>
      <c r="K41" s="6"/>
      <c r="L41" s="6"/>
      <c r="M41" s="8" t="s">
        <v>2875</v>
      </c>
      <c r="N41" s="38" t="s">
        <v>2876</v>
      </c>
      <c r="O41" s="6" t="s">
        <v>111</v>
      </c>
      <c r="P41" s="40" t="s">
        <v>2773</v>
      </c>
      <c r="Q41" s="6"/>
      <c r="R41" s="6"/>
      <c r="S41" s="6"/>
      <c r="T41" s="6"/>
      <c r="U41" s="6"/>
      <c r="V41" s="6"/>
      <c r="W41" s="6"/>
    </row>
    <row r="42" ht="21" customHeight="1" spans="1:23">
      <c r="A42" s="6" t="s">
        <v>207</v>
      </c>
      <c r="B42" s="7">
        <v>45807</v>
      </c>
      <c r="C42" s="6" t="str">
        <f t="shared" si="1"/>
        <v>2025年5月</v>
      </c>
      <c r="D42" s="6" t="s">
        <v>11</v>
      </c>
      <c r="E42" s="139" t="s">
        <v>1056</v>
      </c>
      <c r="F42" s="40" t="s">
        <v>40</v>
      </c>
      <c r="G42" s="140" t="s">
        <v>2877</v>
      </c>
      <c r="H42" s="6" t="s">
        <v>82</v>
      </c>
      <c r="I42" s="141">
        <v>99608.5</v>
      </c>
      <c r="J42" s="6" t="s">
        <v>149</v>
      </c>
      <c r="K42" s="6"/>
      <c r="L42" s="6"/>
      <c r="M42" s="8" t="s">
        <v>2878</v>
      </c>
      <c r="N42" s="38" t="s">
        <v>2879</v>
      </c>
      <c r="O42" s="6" t="s">
        <v>111</v>
      </c>
      <c r="P42" s="40" t="s">
        <v>2773</v>
      </c>
      <c r="Q42" s="6"/>
      <c r="R42" s="6"/>
      <c r="S42" s="6"/>
      <c r="T42" s="6"/>
      <c r="U42" s="6"/>
      <c r="V42" s="6"/>
      <c r="W42" s="6"/>
    </row>
    <row r="43" ht="21" customHeight="1" spans="1:23">
      <c r="A43" s="6" t="s">
        <v>78</v>
      </c>
      <c r="B43" s="7">
        <v>45812</v>
      </c>
      <c r="C43" s="6" t="str">
        <f t="shared" si="1"/>
        <v>2025年6月</v>
      </c>
      <c r="D43" s="6" t="s">
        <v>10</v>
      </c>
      <c r="E43" s="139" t="s">
        <v>2880</v>
      </c>
      <c r="F43" s="40" t="s">
        <v>42</v>
      </c>
      <c r="G43" s="140" t="s">
        <v>2881</v>
      </c>
      <c r="H43" s="6" t="s">
        <v>82</v>
      </c>
      <c r="I43" s="141"/>
      <c r="J43" s="6"/>
      <c r="K43" s="6"/>
      <c r="L43" s="6" t="s">
        <v>2882</v>
      </c>
      <c r="M43" s="8" t="s">
        <v>2883</v>
      </c>
      <c r="N43" s="38" t="s">
        <v>2884</v>
      </c>
      <c r="O43" s="6" t="s">
        <v>124</v>
      </c>
      <c r="P43" s="40" t="s">
        <v>50</v>
      </c>
      <c r="Q43" s="6"/>
      <c r="R43" s="6"/>
      <c r="S43" s="6"/>
      <c r="T43" s="6"/>
      <c r="U43" s="6"/>
      <c r="V43" s="6"/>
      <c r="W43" s="6"/>
    </row>
    <row r="44" ht="42" spans="1:23">
      <c r="A44" s="6" t="s">
        <v>207</v>
      </c>
      <c r="B44" s="7">
        <v>45812</v>
      </c>
      <c r="C44" s="6" t="str">
        <f t="shared" si="1"/>
        <v>2025年6月</v>
      </c>
      <c r="D44" s="6" t="s">
        <v>11</v>
      </c>
      <c r="E44" s="139" t="s">
        <v>2842</v>
      </c>
      <c r="F44" s="40" t="s">
        <v>39</v>
      </c>
      <c r="G44" s="140" t="s">
        <v>2885</v>
      </c>
      <c r="H44" s="6" t="s">
        <v>82</v>
      </c>
      <c r="I44" s="141">
        <v>20109.89</v>
      </c>
      <c r="J44" s="6" t="s">
        <v>173</v>
      </c>
      <c r="K44" s="6"/>
      <c r="L44" s="6"/>
      <c r="M44" s="8" t="s">
        <v>2844</v>
      </c>
      <c r="N44" s="59" t="s">
        <v>2845</v>
      </c>
      <c r="O44" s="6" t="s">
        <v>261</v>
      </c>
      <c r="P44" s="40" t="s">
        <v>2886</v>
      </c>
      <c r="Q44" s="6"/>
      <c r="R44" s="6"/>
      <c r="S44" s="6"/>
      <c r="T44" s="6"/>
      <c r="U44" s="6"/>
      <c r="V44" s="6"/>
      <c r="W44" s="6"/>
    </row>
    <row r="45" ht="14" spans="1:23">
      <c r="A45" s="6" t="s">
        <v>207</v>
      </c>
      <c r="B45" s="7">
        <v>45812</v>
      </c>
      <c r="C45" s="6" t="str">
        <f t="shared" si="1"/>
        <v>2025年6月</v>
      </c>
      <c r="D45" s="6" t="s">
        <v>11</v>
      </c>
      <c r="E45" s="139" t="s">
        <v>2842</v>
      </c>
      <c r="F45" s="40" t="s">
        <v>39</v>
      </c>
      <c r="G45" s="139" t="s">
        <v>2887</v>
      </c>
      <c r="H45" s="6" t="s">
        <v>82</v>
      </c>
      <c r="I45" s="141"/>
      <c r="J45" s="6"/>
      <c r="K45" s="6"/>
      <c r="L45" s="6"/>
      <c r="M45" s="8" t="s">
        <v>2844</v>
      </c>
      <c r="N45" s="59" t="s">
        <v>2845</v>
      </c>
      <c r="O45" s="6" t="s">
        <v>261</v>
      </c>
      <c r="P45" s="40" t="s">
        <v>2886</v>
      </c>
      <c r="Q45" s="6"/>
      <c r="R45" s="6"/>
      <c r="S45" s="6"/>
      <c r="T45" s="6"/>
      <c r="U45" s="6"/>
      <c r="V45" s="6"/>
      <c r="W45" s="6"/>
    </row>
    <row r="46" ht="28" spans="1:23">
      <c r="A46" s="6" t="s">
        <v>142</v>
      </c>
      <c r="B46" s="7">
        <v>45814</v>
      </c>
      <c r="C46" s="6" t="str">
        <f t="shared" si="1"/>
        <v>2025年6月</v>
      </c>
      <c r="D46" s="6" t="s">
        <v>12</v>
      </c>
      <c r="E46" s="40" t="s">
        <v>2232</v>
      </c>
      <c r="F46" s="40" t="s">
        <v>39</v>
      </c>
      <c r="G46" s="140" t="s">
        <v>2888</v>
      </c>
      <c r="H46" s="6" t="s">
        <v>82</v>
      </c>
      <c r="I46" s="141"/>
      <c r="J46" s="6"/>
      <c r="K46" s="6"/>
      <c r="L46" s="6"/>
      <c r="M46" s="6"/>
      <c r="N46" s="59"/>
      <c r="O46" s="6" t="s">
        <v>94</v>
      </c>
      <c r="P46" s="40"/>
      <c r="Q46" s="6"/>
      <c r="R46" s="6"/>
      <c r="S46" s="6"/>
      <c r="T46" s="6"/>
      <c r="U46" s="6"/>
      <c r="V46" s="6"/>
      <c r="W46" s="6"/>
    </row>
    <row r="47" ht="21" customHeight="1" spans="1:23">
      <c r="A47" s="6" t="s">
        <v>207</v>
      </c>
      <c r="B47" s="7">
        <v>45832</v>
      </c>
      <c r="C47" s="6" t="str">
        <f t="shared" si="1"/>
        <v>2025年6月</v>
      </c>
      <c r="D47" s="6" t="s">
        <v>11</v>
      </c>
      <c r="E47" s="139" t="s">
        <v>1056</v>
      </c>
      <c r="F47" s="40" t="s">
        <v>40</v>
      </c>
      <c r="G47" s="140" t="s">
        <v>2889</v>
      </c>
      <c r="H47" s="6" t="s">
        <v>82</v>
      </c>
      <c r="I47" s="141">
        <v>99188.01</v>
      </c>
      <c r="J47" s="6" t="s">
        <v>149</v>
      </c>
      <c r="K47" s="6"/>
      <c r="L47" s="6"/>
      <c r="M47" s="8" t="s">
        <v>691</v>
      </c>
      <c r="N47" s="59" t="s">
        <v>692</v>
      </c>
      <c r="O47" s="6" t="s">
        <v>111</v>
      </c>
      <c r="P47" s="40" t="s">
        <v>2773</v>
      </c>
      <c r="Q47" s="6"/>
      <c r="R47" s="6"/>
      <c r="S47" s="6"/>
      <c r="T47" s="6"/>
      <c r="U47" s="6"/>
      <c r="V47" s="6"/>
      <c r="W47" s="6"/>
    </row>
    <row r="48" ht="21" customHeight="1" spans="1:23">
      <c r="A48" s="6" t="s">
        <v>142</v>
      </c>
      <c r="B48" s="7">
        <v>45835</v>
      </c>
      <c r="C48" s="6" t="str">
        <f t="shared" si="1"/>
        <v>2025年6月</v>
      </c>
      <c r="D48" s="6" t="s">
        <v>11</v>
      </c>
      <c r="E48" s="139" t="s">
        <v>1056</v>
      </c>
      <c r="F48" s="40" t="s">
        <v>40</v>
      </c>
      <c r="G48" s="140" t="s">
        <v>2890</v>
      </c>
      <c r="H48" s="6" t="s">
        <v>82</v>
      </c>
      <c r="I48" s="141">
        <v>153750</v>
      </c>
      <c r="J48" s="6" t="s">
        <v>149</v>
      </c>
      <c r="K48" s="6"/>
      <c r="L48" s="6"/>
      <c r="M48" s="8" t="s">
        <v>2878</v>
      </c>
      <c r="N48" s="59" t="s">
        <v>2879</v>
      </c>
      <c r="O48" s="6" t="s">
        <v>111</v>
      </c>
      <c r="P48" s="40"/>
      <c r="Q48" s="6"/>
      <c r="R48" s="6"/>
      <c r="S48" s="6"/>
      <c r="T48" s="6"/>
      <c r="U48" s="6"/>
      <c r="V48" s="6"/>
      <c r="W48" s="6"/>
    </row>
    <row r="49" ht="14" spans="1:23">
      <c r="A49" s="6" t="s">
        <v>207</v>
      </c>
      <c r="B49" s="7">
        <v>45847</v>
      </c>
      <c r="C49" s="6" t="str">
        <f t="shared" si="1"/>
        <v>2025年7月</v>
      </c>
      <c r="D49" s="6" t="s">
        <v>11</v>
      </c>
      <c r="E49" s="139"/>
      <c r="F49" s="40" t="s">
        <v>40</v>
      </c>
      <c r="G49" s="140" t="s">
        <v>1389</v>
      </c>
      <c r="H49" s="6" t="s">
        <v>82</v>
      </c>
      <c r="I49" s="141">
        <v>911600</v>
      </c>
      <c r="J49" s="6" t="s">
        <v>1062</v>
      </c>
      <c r="K49" s="6"/>
      <c r="L49" s="6"/>
      <c r="M49" s="59"/>
      <c r="N49" s="59" t="s">
        <v>2891</v>
      </c>
      <c r="O49" s="6" t="s">
        <v>94</v>
      </c>
      <c r="P49" s="40"/>
      <c r="Q49" s="6"/>
      <c r="R49" s="6"/>
      <c r="S49" s="6"/>
      <c r="T49" s="6"/>
      <c r="U49" s="6"/>
      <c r="V49" s="6"/>
      <c r="W49" s="6"/>
    </row>
    <row r="50" ht="14" spans="1:23">
      <c r="A50" s="6" t="s">
        <v>142</v>
      </c>
      <c r="B50" s="7">
        <v>45854</v>
      </c>
      <c r="C50" s="6" t="str">
        <f t="shared" si="1"/>
        <v>2025年7月</v>
      </c>
      <c r="D50" s="6" t="s">
        <v>12</v>
      </c>
      <c r="E50" s="139" t="s">
        <v>2892</v>
      </c>
      <c r="F50" s="40" t="s">
        <v>2893</v>
      </c>
      <c r="G50" s="140" t="s">
        <v>2894</v>
      </c>
      <c r="H50" s="6" t="s">
        <v>1058</v>
      </c>
      <c r="I50" s="141">
        <v>172200</v>
      </c>
      <c r="J50" s="6" t="s">
        <v>173</v>
      </c>
      <c r="K50" s="6"/>
      <c r="L50" s="6"/>
      <c r="M50" s="59" t="s">
        <v>2895</v>
      </c>
      <c r="N50" s="59" t="s">
        <v>2896</v>
      </c>
      <c r="O50" s="6" t="s">
        <v>1487</v>
      </c>
      <c r="P50" s="40"/>
      <c r="Q50" s="6"/>
      <c r="R50" s="6"/>
      <c r="S50" s="6"/>
      <c r="T50" s="6"/>
      <c r="U50" s="6"/>
      <c r="V50" s="6"/>
      <c r="W50" s="6"/>
    </row>
    <row r="51" ht="14" spans="1:23">
      <c r="A51" s="6" t="s">
        <v>207</v>
      </c>
      <c r="B51" s="7">
        <v>45854</v>
      </c>
      <c r="C51" s="6" t="str">
        <f t="shared" si="1"/>
        <v>2025年7月</v>
      </c>
      <c r="D51" s="6" t="s">
        <v>11</v>
      </c>
      <c r="E51" s="139" t="s">
        <v>2897</v>
      </c>
      <c r="F51" s="40" t="s">
        <v>49</v>
      </c>
      <c r="G51" s="10" t="s">
        <v>2898</v>
      </c>
      <c r="H51" s="6" t="s">
        <v>82</v>
      </c>
      <c r="I51" s="141">
        <v>3621599971</v>
      </c>
      <c r="J51" s="6" t="s">
        <v>1037</v>
      </c>
      <c r="K51" s="6"/>
      <c r="L51" s="6"/>
      <c r="M51" s="8" t="s">
        <v>2817</v>
      </c>
      <c r="N51" s="59" t="s">
        <v>2899</v>
      </c>
      <c r="O51" s="6" t="s">
        <v>111</v>
      </c>
      <c r="P51" s="40"/>
      <c r="Q51" s="6"/>
      <c r="R51" s="6"/>
      <c r="S51" s="6"/>
      <c r="T51" s="6"/>
      <c r="U51" s="6"/>
      <c r="V51" s="6"/>
      <c r="W51" s="6"/>
    </row>
    <row r="52" ht="21" customHeight="1" spans="1:23">
      <c r="A52" s="6" t="s">
        <v>78</v>
      </c>
      <c r="B52" s="7">
        <v>45854</v>
      </c>
      <c r="C52" s="6" t="str">
        <f t="shared" si="1"/>
        <v>2025年7月</v>
      </c>
      <c r="D52" s="6" t="s">
        <v>10</v>
      </c>
      <c r="E52" s="139" t="s">
        <v>1378</v>
      </c>
      <c r="F52" s="40" t="s">
        <v>40</v>
      </c>
      <c r="G52" s="140" t="s">
        <v>2900</v>
      </c>
      <c r="H52" s="6" t="s">
        <v>82</v>
      </c>
      <c r="I52" s="141"/>
      <c r="J52" s="6"/>
      <c r="K52" s="6"/>
      <c r="L52" s="6" t="s">
        <v>2901</v>
      </c>
      <c r="M52" s="59" t="s">
        <v>2902</v>
      </c>
      <c r="N52" s="59" t="s">
        <v>2903</v>
      </c>
      <c r="O52" s="74" t="s">
        <v>124</v>
      </c>
      <c r="P52" s="40" t="s">
        <v>2904</v>
      </c>
      <c r="Q52" s="74">
        <v>45855</v>
      </c>
      <c r="R52" s="74">
        <v>45860</v>
      </c>
      <c r="S52" s="6"/>
      <c r="T52" s="6"/>
      <c r="U52" s="6"/>
      <c r="V52" s="6"/>
      <c r="W52" s="6"/>
    </row>
    <row r="53" ht="21" customHeight="1" spans="1:23">
      <c r="A53" s="6" t="s">
        <v>142</v>
      </c>
      <c r="B53" s="7">
        <v>45854</v>
      </c>
      <c r="C53" s="6" t="str">
        <f t="shared" si="1"/>
        <v>2025年7月</v>
      </c>
      <c r="D53" s="6" t="s">
        <v>12</v>
      </c>
      <c r="E53" s="139"/>
      <c r="F53" s="40" t="s">
        <v>39</v>
      </c>
      <c r="G53" s="140" t="s">
        <v>2905</v>
      </c>
      <c r="H53" s="6" t="s">
        <v>82</v>
      </c>
      <c r="I53" s="141"/>
      <c r="J53" s="6"/>
      <c r="K53" s="6"/>
      <c r="L53" s="6"/>
      <c r="M53" s="59"/>
      <c r="N53" s="59"/>
      <c r="O53" s="74" t="s">
        <v>94</v>
      </c>
      <c r="P53" s="40"/>
      <c r="Q53" s="74"/>
      <c r="R53" s="74"/>
      <c r="S53" s="6"/>
      <c r="T53" s="6"/>
      <c r="U53" s="6"/>
      <c r="V53" s="6"/>
      <c r="W53" s="6"/>
    </row>
    <row r="54" ht="42" spans="1:23">
      <c r="A54" s="6" t="s">
        <v>207</v>
      </c>
      <c r="B54" s="7">
        <v>45856</v>
      </c>
      <c r="C54" s="6" t="str">
        <f t="shared" si="1"/>
        <v>2025年7月</v>
      </c>
      <c r="D54" s="6" t="s">
        <v>11</v>
      </c>
      <c r="E54" s="139" t="s">
        <v>2842</v>
      </c>
      <c r="F54" s="40" t="s">
        <v>39</v>
      </c>
      <c r="G54" s="140" t="s">
        <v>2906</v>
      </c>
      <c r="H54" s="6" t="s">
        <v>82</v>
      </c>
      <c r="I54" s="141">
        <v>1651</v>
      </c>
      <c r="J54" s="6" t="s">
        <v>173</v>
      </c>
      <c r="K54" s="6"/>
      <c r="L54" s="6"/>
      <c r="M54" s="37" t="s">
        <v>2907</v>
      </c>
      <c r="N54" s="38" t="s">
        <v>2908</v>
      </c>
      <c r="O54" s="6" t="s">
        <v>194</v>
      </c>
      <c r="P54" s="40"/>
      <c r="Q54" s="6"/>
      <c r="R54" s="6"/>
      <c r="S54" s="6"/>
      <c r="T54" s="6"/>
      <c r="U54" s="6"/>
      <c r="V54" s="6"/>
      <c r="W54" s="6"/>
    </row>
    <row r="55" ht="14" spans="1:23">
      <c r="A55" s="6" t="s">
        <v>142</v>
      </c>
      <c r="B55" s="7">
        <v>45859</v>
      </c>
      <c r="C55" s="6" t="str">
        <f t="shared" si="1"/>
        <v>2025年7月</v>
      </c>
      <c r="D55" s="6" t="s">
        <v>11</v>
      </c>
      <c r="E55" s="139" t="s">
        <v>1204</v>
      </c>
      <c r="F55" s="40" t="s">
        <v>48</v>
      </c>
      <c r="G55" s="140" t="s">
        <v>2909</v>
      </c>
      <c r="H55" s="6" t="s">
        <v>82</v>
      </c>
      <c r="I55" s="141">
        <v>3330800</v>
      </c>
      <c r="J55" s="6" t="s">
        <v>173</v>
      </c>
      <c r="K55" s="6"/>
      <c r="L55" s="6"/>
      <c r="M55" s="8" t="s">
        <v>2910</v>
      </c>
      <c r="N55" s="59" t="s">
        <v>2911</v>
      </c>
      <c r="O55" s="6" t="s">
        <v>129</v>
      </c>
      <c r="P55" s="40"/>
      <c r="Q55" s="6"/>
      <c r="R55" s="6"/>
      <c r="S55" s="6"/>
      <c r="T55" s="6"/>
      <c r="U55" s="6"/>
      <c r="V55" s="6"/>
      <c r="W55" s="6"/>
    </row>
    <row r="56" ht="21" customHeight="1" spans="1:23">
      <c r="A56" s="6" t="s">
        <v>142</v>
      </c>
      <c r="B56" s="7">
        <v>45857</v>
      </c>
      <c r="C56" s="6" t="str">
        <f t="shared" si="1"/>
        <v>2025年7月</v>
      </c>
      <c r="D56" s="6" t="s">
        <v>11</v>
      </c>
      <c r="E56" s="139" t="s">
        <v>1056</v>
      </c>
      <c r="F56" s="40" t="s">
        <v>40</v>
      </c>
      <c r="G56" s="140" t="s">
        <v>2912</v>
      </c>
      <c r="H56" s="6" t="s">
        <v>82</v>
      </c>
      <c r="I56" s="141">
        <v>81450</v>
      </c>
      <c r="J56" s="6" t="s">
        <v>149</v>
      </c>
      <c r="K56" s="6"/>
      <c r="L56" s="6"/>
      <c r="M56" s="8" t="s">
        <v>2913</v>
      </c>
      <c r="N56" s="59" t="s">
        <v>2914</v>
      </c>
      <c r="O56" s="6" t="s">
        <v>111</v>
      </c>
      <c r="P56" s="40"/>
      <c r="Q56" s="6"/>
      <c r="R56" s="6"/>
      <c r="S56" s="6"/>
      <c r="T56" s="6"/>
      <c r="U56" s="6"/>
      <c r="V56" s="6"/>
      <c r="W56" s="6"/>
    </row>
    <row r="57" ht="28" spans="1:23">
      <c r="A57" s="6" t="s">
        <v>142</v>
      </c>
      <c r="B57" s="7">
        <v>45861</v>
      </c>
      <c r="C57" s="6" t="str">
        <f t="shared" si="1"/>
        <v>2025年7月</v>
      </c>
      <c r="D57" s="6" t="s">
        <v>12</v>
      </c>
      <c r="E57" s="139" t="s">
        <v>1045</v>
      </c>
      <c r="F57" s="40" t="s">
        <v>39</v>
      </c>
      <c r="G57" s="140" t="s">
        <v>2915</v>
      </c>
      <c r="H57" s="6" t="s">
        <v>82</v>
      </c>
      <c r="I57" s="141">
        <v>163150.88</v>
      </c>
      <c r="J57" s="6" t="s">
        <v>149</v>
      </c>
      <c r="K57" s="6"/>
      <c r="L57" s="6"/>
      <c r="M57" s="8" t="s">
        <v>1866</v>
      </c>
      <c r="N57" s="59" t="s">
        <v>1868</v>
      </c>
      <c r="O57" s="6" t="s">
        <v>161</v>
      </c>
      <c r="P57" s="40"/>
      <c r="Q57" s="6"/>
      <c r="R57" s="6"/>
      <c r="S57" s="6"/>
      <c r="T57" s="6"/>
      <c r="U57" s="6"/>
      <c r="V57" s="6"/>
      <c r="W57" s="6"/>
    </row>
    <row r="58" ht="28" spans="1:23">
      <c r="A58" s="6" t="s">
        <v>142</v>
      </c>
      <c r="B58" s="7">
        <v>45861</v>
      </c>
      <c r="C58" s="6" t="str">
        <f t="shared" si="1"/>
        <v>2025年7月</v>
      </c>
      <c r="D58" s="6" t="s">
        <v>11</v>
      </c>
      <c r="E58" s="139" t="s">
        <v>2916</v>
      </c>
      <c r="F58" s="40" t="s">
        <v>48</v>
      </c>
      <c r="G58" s="140" t="s">
        <v>2917</v>
      </c>
      <c r="H58" s="6" t="s">
        <v>82</v>
      </c>
      <c r="I58" s="141">
        <v>2745.45</v>
      </c>
      <c r="J58" s="6" t="s">
        <v>173</v>
      </c>
      <c r="K58" s="6"/>
      <c r="L58" s="6"/>
      <c r="M58" s="8" t="s">
        <v>2918</v>
      </c>
      <c r="N58" s="59" t="s">
        <v>2919</v>
      </c>
      <c r="O58" s="6"/>
      <c r="P58" s="40"/>
      <c r="Q58" s="6"/>
      <c r="R58" s="6"/>
      <c r="S58" s="6"/>
      <c r="T58" s="6"/>
      <c r="U58" s="6"/>
      <c r="V58" s="6"/>
      <c r="W58" s="6"/>
    </row>
    <row r="59" ht="21" customHeight="1" spans="1:23">
      <c r="A59" s="6" t="s">
        <v>142</v>
      </c>
      <c r="B59" s="7">
        <v>45862</v>
      </c>
      <c r="C59" s="6" t="str">
        <f t="shared" si="1"/>
        <v>2025年7月</v>
      </c>
      <c r="D59" s="6" t="s">
        <v>12</v>
      </c>
      <c r="E59" s="139" t="s">
        <v>1595</v>
      </c>
      <c r="F59" s="40" t="s">
        <v>39</v>
      </c>
      <c r="G59" s="140" t="s">
        <v>2920</v>
      </c>
      <c r="H59" s="6" t="s">
        <v>82</v>
      </c>
      <c r="I59" s="141">
        <v>8148.63</v>
      </c>
      <c r="J59" s="6" t="s">
        <v>2233</v>
      </c>
      <c r="K59" s="6"/>
      <c r="L59" s="6"/>
      <c r="M59" s="6"/>
      <c r="N59" s="59"/>
      <c r="O59" s="6" t="s">
        <v>94</v>
      </c>
      <c r="P59" s="40"/>
      <c r="Q59" s="6"/>
      <c r="R59" s="6"/>
      <c r="S59" s="6"/>
      <c r="T59" s="6"/>
      <c r="U59" s="6"/>
      <c r="V59" s="6"/>
      <c r="W59" s="6"/>
    </row>
    <row r="60" ht="21" customHeight="1" spans="1:23">
      <c r="A60" s="6" t="s">
        <v>142</v>
      </c>
      <c r="B60" s="7">
        <v>45863</v>
      </c>
      <c r="C60" s="6" t="str">
        <f t="shared" si="1"/>
        <v>2025年7月</v>
      </c>
      <c r="D60" s="6" t="s">
        <v>11</v>
      </c>
      <c r="E60" s="139"/>
      <c r="F60" s="40" t="s">
        <v>39</v>
      </c>
      <c r="G60" s="140" t="s">
        <v>2921</v>
      </c>
      <c r="H60" s="6" t="s">
        <v>82</v>
      </c>
      <c r="I60" s="141">
        <v>813477.5</v>
      </c>
      <c r="J60" s="6" t="s">
        <v>173</v>
      </c>
      <c r="K60" s="6"/>
      <c r="L60" s="6"/>
      <c r="M60" s="6"/>
      <c r="N60" s="59"/>
      <c r="O60" s="6" t="s">
        <v>94</v>
      </c>
      <c r="P60" s="40"/>
      <c r="Q60" s="6"/>
      <c r="R60" s="6"/>
      <c r="S60" s="6"/>
      <c r="T60" s="6"/>
      <c r="U60" s="6"/>
      <c r="V60" s="6"/>
      <c r="W60" s="6"/>
    </row>
    <row r="61" ht="21" customHeight="1" spans="1:23">
      <c r="A61" s="6" t="s">
        <v>207</v>
      </c>
      <c r="B61" s="7">
        <v>45875</v>
      </c>
      <c r="C61" s="6" t="str">
        <f t="shared" si="1"/>
        <v>2025年8月</v>
      </c>
      <c r="D61" s="6" t="s">
        <v>11</v>
      </c>
      <c r="E61" s="139"/>
      <c r="F61" s="40" t="s">
        <v>39</v>
      </c>
      <c r="G61" s="140" t="s">
        <v>2922</v>
      </c>
      <c r="H61" s="6" t="s">
        <v>82</v>
      </c>
      <c r="I61" s="141">
        <v>204408.99</v>
      </c>
      <c r="J61" s="6" t="s">
        <v>149</v>
      </c>
      <c r="K61" s="6"/>
      <c r="L61" s="6"/>
      <c r="M61" s="8" t="s">
        <v>2923</v>
      </c>
      <c r="N61" s="59" t="s">
        <v>2924</v>
      </c>
      <c r="O61" s="6" t="s">
        <v>146</v>
      </c>
      <c r="P61" s="40"/>
      <c r="Q61" s="6"/>
      <c r="R61" s="6"/>
      <c r="S61" s="6"/>
      <c r="T61" s="6"/>
      <c r="U61" s="6"/>
      <c r="V61" s="6"/>
      <c r="W61" s="6"/>
    </row>
    <row r="62" ht="14" spans="1:23">
      <c r="A62" s="6" t="s">
        <v>142</v>
      </c>
      <c r="B62" s="7">
        <v>45875</v>
      </c>
      <c r="C62" s="6" t="str">
        <f t="shared" si="1"/>
        <v>2025年8月</v>
      </c>
      <c r="D62" s="6" t="s">
        <v>11</v>
      </c>
      <c r="E62" s="139"/>
      <c r="F62" s="40" t="s">
        <v>40</v>
      </c>
      <c r="G62" s="140" t="s">
        <v>2925</v>
      </c>
      <c r="H62" s="6" t="s">
        <v>82</v>
      </c>
      <c r="I62" s="148">
        <v>15000</v>
      </c>
      <c r="J62" s="6" t="s">
        <v>149</v>
      </c>
      <c r="K62" s="6"/>
      <c r="L62" s="6"/>
      <c r="M62" s="8" t="s">
        <v>2926</v>
      </c>
      <c r="N62" s="59" t="s">
        <v>2927</v>
      </c>
      <c r="O62" s="6" t="s">
        <v>111</v>
      </c>
      <c r="P62" s="40"/>
      <c r="Q62" s="7">
        <v>45890</v>
      </c>
      <c r="R62" s="6" t="s">
        <v>2928</v>
      </c>
      <c r="S62" s="6"/>
      <c r="T62" s="6"/>
      <c r="U62" s="6"/>
      <c r="V62" s="6"/>
      <c r="W62" s="6"/>
    </row>
    <row r="63" ht="14" spans="1:23">
      <c r="A63" s="6" t="s">
        <v>207</v>
      </c>
      <c r="B63" s="7">
        <v>45881</v>
      </c>
      <c r="C63" s="6" t="str">
        <f t="shared" si="1"/>
        <v>2025年8月</v>
      </c>
      <c r="D63" s="6" t="s">
        <v>11</v>
      </c>
      <c r="E63" s="139"/>
      <c r="F63" s="40" t="s">
        <v>40</v>
      </c>
      <c r="G63" s="140" t="s">
        <v>2929</v>
      </c>
      <c r="H63" s="6" t="s">
        <v>82</v>
      </c>
      <c r="I63" s="140">
        <v>5107680.76</v>
      </c>
      <c r="J63" s="6" t="s">
        <v>149</v>
      </c>
      <c r="K63" s="6"/>
      <c r="L63" s="6" t="s">
        <v>2930</v>
      </c>
      <c r="M63" s="6" t="s">
        <v>2232</v>
      </c>
      <c r="N63" s="59" t="s">
        <v>2232</v>
      </c>
      <c r="O63" s="7" t="s">
        <v>94</v>
      </c>
      <c r="P63" s="40"/>
      <c r="Q63" s="7">
        <v>45883</v>
      </c>
      <c r="R63" s="7">
        <v>45888</v>
      </c>
      <c r="S63" s="6"/>
      <c r="T63" s="6"/>
      <c r="U63" s="6"/>
      <c r="V63" s="6"/>
      <c r="W63" s="6"/>
    </row>
    <row r="64" ht="21" customHeight="1" spans="1:23">
      <c r="A64" s="6" t="s">
        <v>78</v>
      </c>
      <c r="B64" s="7">
        <v>45882</v>
      </c>
      <c r="C64" s="6" t="str">
        <f t="shared" si="1"/>
        <v>2025年8月</v>
      </c>
      <c r="D64" s="6" t="s">
        <v>10</v>
      </c>
      <c r="E64" s="139"/>
      <c r="F64" s="40" t="s">
        <v>52</v>
      </c>
      <c r="G64" s="140" t="s">
        <v>2931</v>
      </c>
      <c r="H64" s="6" t="s">
        <v>82</v>
      </c>
      <c r="I64" s="141">
        <v>27</v>
      </c>
      <c r="J64" s="6" t="s">
        <v>149</v>
      </c>
      <c r="K64" s="6"/>
      <c r="L64" s="6" t="s">
        <v>2932</v>
      </c>
      <c r="M64" s="8" t="s">
        <v>2933</v>
      </c>
      <c r="N64" s="59" t="s">
        <v>2934</v>
      </c>
      <c r="O64" s="6" t="s">
        <v>179</v>
      </c>
      <c r="P64" s="40"/>
      <c r="Q64" s="6"/>
      <c r="R64" s="6"/>
      <c r="S64" s="6"/>
      <c r="T64" s="6"/>
      <c r="U64" s="6"/>
      <c r="V64" s="6"/>
      <c r="W64" s="6"/>
    </row>
    <row r="65" ht="21" customHeight="1" spans="1:23">
      <c r="A65" s="6" t="s">
        <v>78</v>
      </c>
      <c r="B65" s="7">
        <v>45882</v>
      </c>
      <c r="C65" s="6" t="str">
        <f t="shared" si="1"/>
        <v>2025年8月</v>
      </c>
      <c r="D65" s="6" t="s">
        <v>10</v>
      </c>
      <c r="E65" s="139"/>
      <c r="F65" s="40" t="s">
        <v>52</v>
      </c>
      <c r="G65" s="140" t="s">
        <v>2935</v>
      </c>
      <c r="H65" s="6" t="s">
        <v>82</v>
      </c>
      <c r="I65" s="141">
        <v>35</v>
      </c>
      <c r="J65" s="6" t="s">
        <v>149</v>
      </c>
      <c r="K65" s="6"/>
      <c r="L65" s="6" t="s">
        <v>2932</v>
      </c>
      <c r="M65" s="8" t="s">
        <v>2936</v>
      </c>
      <c r="N65" s="59" t="s">
        <v>2937</v>
      </c>
      <c r="O65" s="6" t="s">
        <v>85</v>
      </c>
      <c r="P65" s="40"/>
      <c r="Q65" s="6"/>
      <c r="R65" s="6"/>
      <c r="S65" s="6"/>
      <c r="T65" s="6"/>
      <c r="U65" s="6"/>
      <c r="V65" s="6"/>
      <c r="W65" s="6"/>
    </row>
    <row r="66" ht="42" spans="1:23">
      <c r="A66" s="6" t="s">
        <v>207</v>
      </c>
      <c r="B66" s="7">
        <v>45882</v>
      </c>
      <c r="C66" s="6" t="str">
        <f t="shared" si="1"/>
        <v>2025年8月</v>
      </c>
      <c r="D66" s="6" t="s">
        <v>11</v>
      </c>
      <c r="E66" s="139" t="s">
        <v>2938</v>
      </c>
      <c r="F66" s="40" t="s">
        <v>39</v>
      </c>
      <c r="G66" s="140" t="s">
        <v>2939</v>
      </c>
      <c r="H66" s="6" t="s">
        <v>82</v>
      </c>
      <c r="I66" s="149">
        <v>1365</v>
      </c>
      <c r="J66" s="6" t="s">
        <v>173</v>
      </c>
      <c r="K66" s="38"/>
      <c r="L66" s="38" t="s">
        <v>2940</v>
      </c>
      <c r="M66" s="37" t="s">
        <v>2941</v>
      </c>
      <c r="N66" s="38" t="s">
        <v>2942</v>
      </c>
      <c r="O66" s="6" t="s">
        <v>194</v>
      </c>
      <c r="P66" s="40"/>
      <c r="Q66" s="6"/>
      <c r="R66" s="6"/>
      <c r="S66" s="6"/>
      <c r="T66" s="6"/>
      <c r="U66" s="6"/>
      <c r="V66" s="6"/>
      <c r="W66" s="6"/>
    </row>
    <row r="67" ht="28" spans="1:23">
      <c r="A67" s="6" t="s">
        <v>142</v>
      </c>
      <c r="B67" s="7">
        <v>45884</v>
      </c>
      <c r="C67" s="6" t="str">
        <f t="shared" si="1"/>
        <v>2025年8月</v>
      </c>
      <c r="D67" s="6" t="s">
        <v>11</v>
      </c>
      <c r="E67" s="139" t="s">
        <v>1578</v>
      </c>
      <c r="F67" s="40" t="s">
        <v>39</v>
      </c>
      <c r="G67" s="140" t="s">
        <v>2943</v>
      </c>
      <c r="H67" s="6" t="s">
        <v>82</v>
      </c>
      <c r="I67" s="149">
        <v>82100</v>
      </c>
      <c r="J67" s="38" t="s">
        <v>173</v>
      </c>
      <c r="K67" s="41"/>
      <c r="L67" s="41" t="s">
        <v>2944</v>
      </c>
      <c r="M67" s="8" t="s">
        <v>2945</v>
      </c>
      <c r="N67" s="59" t="s">
        <v>2946</v>
      </c>
      <c r="O67" s="7" t="s">
        <v>146</v>
      </c>
      <c r="P67" s="40" t="s">
        <v>2947</v>
      </c>
      <c r="Q67" s="7">
        <v>45888</v>
      </c>
      <c r="R67" s="6" t="s">
        <v>2928</v>
      </c>
      <c r="S67" s="7"/>
      <c r="T67" s="6"/>
      <c r="U67" s="6"/>
      <c r="V67" s="6"/>
      <c r="W67" s="6"/>
    </row>
    <row r="68" ht="14" spans="1:23">
      <c r="A68" s="6" t="s">
        <v>207</v>
      </c>
      <c r="B68" s="7">
        <v>45888</v>
      </c>
      <c r="C68" s="6" t="str">
        <f t="shared" si="1"/>
        <v>2025年8月</v>
      </c>
      <c r="D68" s="6" t="s">
        <v>11</v>
      </c>
      <c r="E68" s="139" t="s">
        <v>2948</v>
      </c>
      <c r="F68" s="40" t="s">
        <v>40</v>
      </c>
      <c r="G68" s="140" t="s">
        <v>2949</v>
      </c>
      <c r="H68" s="6" t="s">
        <v>82</v>
      </c>
      <c r="I68" s="150">
        <v>196130.97</v>
      </c>
      <c r="J68" s="6" t="s">
        <v>149</v>
      </c>
      <c r="K68" s="6"/>
      <c r="L68" s="6"/>
      <c r="M68" s="8" t="s">
        <v>2913</v>
      </c>
      <c r="N68" s="59" t="s">
        <v>2914</v>
      </c>
      <c r="O68" s="6" t="s">
        <v>111</v>
      </c>
      <c r="P68" s="40"/>
      <c r="Q68" s="6"/>
      <c r="R68" s="6"/>
      <c r="S68" s="6"/>
      <c r="T68" s="6"/>
      <c r="U68" s="6"/>
      <c r="V68" s="6"/>
      <c r="W68" s="6"/>
    </row>
    <row r="69" ht="14" spans="1:23">
      <c r="A69" s="6" t="s">
        <v>142</v>
      </c>
      <c r="B69" s="7">
        <v>45890</v>
      </c>
      <c r="C69" s="6" t="str">
        <f t="shared" si="1"/>
        <v>2025年8月</v>
      </c>
      <c r="D69" s="6" t="s">
        <v>11</v>
      </c>
      <c r="E69" s="139"/>
      <c r="F69" s="40" t="s">
        <v>40</v>
      </c>
      <c r="G69" s="140" t="s">
        <v>2950</v>
      </c>
      <c r="H69" s="6" t="s">
        <v>82</v>
      </c>
      <c r="I69" s="140">
        <v>132983.87</v>
      </c>
      <c r="J69" s="6" t="s">
        <v>149</v>
      </c>
      <c r="K69" s="6"/>
      <c r="L69" s="6"/>
      <c r="M69" s="8" t="s">
        <v>2951</v>
      </c>
      <c r="N69" s="59" t="s">
        <v>2952</v>
      </c>
      <c r="O69" s="6" t="s">
        <v>111</v>
      </c>
      <c r="P69" s="40"/>
      <c r="Q69" s="6"/>
      <c r="R69" s="6"/>
      <c r="S69" s="6"/>
      <c r="T69" s="6"/>
      <c r="U69" s="6"/>
      <c r="V69" s="6"/>
      <c r="W69" s="6"/>
    </row>
    <row r="70" ht="28" spans="1:23">
      <c r="A70" s="6" t="s">
        <v>207</v>
      </c>
      <c r="B70" s="7">
        <v>45905</v>
      </c>
      <c r="C70" s="6" t="str">
        <f t="shared" si="1"/>
        <v>2025年9月</v>
      </c>
      <c r="D70" s="6" t="s">
        <v>11</v>
      </c>
      <c r="E70" s="139" t="s">
        <v>1234</v>
      </c>
      <c r="F70" s="40" t="s">
        <v>39</v>
      </c>
      <c r="G70" s="140" t="s">
        <v>2953</v>
      </c>
      <c r="H70" s="6" t="s">
        <v>82</v>
      </c>
      <c r="I70" s="151">
        <v>330.1</v>
      </c>
      <c r="J70" s="38" t="s">
        <v>173</v>
      </c>
      <c r="K70" s="6"/>
      <c r="L70" s="6" t="s">
        <v>2954</v>
      </c>
      <c r="M70" s="8" t="s">
        <v>2918</v>
      </c>
      <c r="N70" s="141" t="s">
        <v>2919</v>
      </c>
      <c r="O70" s="6" t="s">
        <v>2364</v>
      </c>
      <c r="P70" s="40"/>
      <c r="Q70" s="6"/>
      <c r="R70" s="6"/>
      <c r="S70" s="6"/>
      <c r="T70" s="6"/>
      <c r="U70" s="6"/>
      <c r="V70" s="6"/>
      <c r="W70" s="6"/>
    </row>
    <row r="71" ht="21" customHeight="1" spans="1:23">
      <c r="A71" s="6" t="s">
        <v>142</v>
      </c>
      <c r="B71" s="7">
        <v>45908</v>
      </c>
      <c r="C71" s="6" t="str">
        <f t="shared" si="1"/>
        <v>2025年9月</v>
      </c>
      <c r="D71" s="6" t="s">
        <v>11</v>
      </c>
      <c r="E71" s="139" t="s">
        <v>1204</v>
      </c>
      <c r="F71" s="40" t="s">
        <v>39</v>
      </c>
      <c r="G71" s="140" t="s">
        <v>2955</v>
      </c>
      <c r="H71" s="6" t="s">
        <v>82</v>
      </c>
      <c r="I71" s="141">
        <v>121490</v>
      </c>
      <c r="J71" s="6" t="s">
        <v>149</v>
      </c>
      <c r="K71" s="6"/>
      <c r="L71" s="6"/>
      <c r="M71" s="8" t="s">
        <v>2956</v>
      </c>
      <c r="N71" s="59" t="s">
        <v>2957</v>
      </c>
      <c r="O71" s="6"/>
      <c r="P71" s="40"/>
      <c r="Q71" s="7">
        <v>45922</v>
      </c>
      <c r="R71" s="6"/>
      <c r="S71" s="6"/>
      <c r="T71" s="6"/>
      <c r="U71" s="6"/>
      <c r="V71" s="6"/>
      <c r="W71" s="6"/>
    </row>
    <row r="72" ht="21" customHeight="1" spans="1:23">
      <c r="A72" s="6" t="s">
        <v>207</v>
      </c>
      <c r="B72" s="7">
        <v>45912</v>
      </c>
      <c r="C72" s="6" t="str">
        <f t="shared" si="1"/>
        <v>2025年9月</v>
      </c>
      <c r="D72" s="6" t="s">
        <v>11</v>
      </c>
      <c r="E72" s="139" t="s">
        <v>1056</v>
      </c>
      <c r="F72" s="40" t="s">
        <v>40</v>
      </c>
      <c r="G72" s="140" t="s">
        <v>2958</v>
      </c>
      <c r="H72" s="6" t="s">
        <v>82</v>
      </c>
      <c r="I72" s="141">
        <v>95481</v>
      </c>
      <c r="J72" s="6" t="s">
        <v>149</v>
      </c>
      <c r="K72" s="6"/>
      <c r="L72" s="6"/>
      <c r="M72" s="8" t="s">
        <v>2959</v>
      </c>
      <c r="N72" s="59" t="s">
        <v>2960</v>
      </c>
      <c r="O72" s="6" t="s">
        <v>685</v>
      </c>
      <c r="P72" s="40" t="s">
        <v>2961</v>
      </c>
      <c r="Q72" s="6"/>
      <c r="R72" s="6"/>
      <c r="S72" s="6"/>
      <c r="T72" s="6"/>
      <c r="U72" s="6"/>
      <c r="V72" s="6"/>
      <c r="W72" s="6"/>
    </row>
    <row r="73" ht="21" customHeight="1" spans="1:23">
      <c r="A73" s="6" t="s">
        <v>142</v>
      </c>
      <c r="B73" s="7">
        <v>45912</v>
      </c>
      <c r="C73" s="6" t="str">
        <f t="shared" si="1"/>
        <v>2025年9月</v>
      </c>
      <c r="D73" s="6" t="s">
        <v>11</v>
      </c>
      <c r="E73" s="139"/>
      <c r="F73" s="40" t="s">
        <v>40</v>
      </c>
      <c r="G73" s="140" t="s">
        <v>2962</v>
      </c>
      <c r="H73" s="6" t="s">
        <v>290</v>
      </c>
      <c r="I73" s="141">
        <v>168783.05</v>
      </c>
      <c r="J73" s="6" t="s">
        <v>149</v>
      </c>
      <c r="K73" s="6"/>
      <c r="L73" s="6"/>
      <c r="M73" s="8" t="s">
        <v>1939</v>
      </c>
      <c r="N73" s="59" t="s">
        <v>1941</v>
      </c>
      <c r="O73" s="6"/>
      <c r="P73" s="40"/>
      <c r="Q73" s="7"/>
      <c r="R73" s="6"/>
      <c r="S73" s="6"/>
      <c r="T73" s="6"/>
      <c r="U73" s="6"/>
      <c r="V73" s="6"/>
      <c r="W73" s="6"/>
    </row>
    <row r="74" ht="21" customHeight="1" spans="1:23">
      <c r="A74" s="6" t="s">
        <v>207</v>
      </c>
      <c r="B74" s="7">
        <v>45929</v>
      </c>
      <c r="C74" s="6" t="str">
        <f t="shared" si="1"/>
        <v>2025年9月</v>
      </c>
      <c r="D74" s="6" t="s">
        <v>11</v>
      </c>
      <c r="E74" s="139" t="s">
        <v>2963</v>
      </c>
      <c r="F74" s="40" t="s">
        <v>48</v>
      </c>
      <c r="G74" s="140" t="s">
        <v>2964</v>
      </c>
      <c r="H74" s="6" t="s">
        <v>82</v>
      </c>
      <c r="I74" s="149">
        <v>252915</v>
      </c>
      <c r="J74" s="6" t="s">
        <v>173</v>
      </c>
      <c r="K74" s="6"/>
      <c r="L74" s="6"/>
      <c r="M74" s="8" t="s">
        <v>2965</v>
      </c>
      <c r="N74" s="59" t="s">
        <v>2966</v>
      </c>
      <c r="O74" s="6" t="s">
        <v>2967</v>
      </c>
      <c r="P74" s="40"/>
      <c r="Q74" s="6"/>
      <c r="R74" s="6"/>
      <c r="S74" s="6"/>
      <c r="T74" s="6"/>
      <c r="U74" s="6"/>
      <c r="V74" s="6"/>
      <c r="W74" s="6"/>
    </row>
    <row r="75" ht="21" customHeight="1" spans="1:23">
      <c r="A75" s="6" t="s">
        <v>142</v>
      </c>
      <c r="B75" s="7">
        <v>45933</v>
      </c>
      <c r="C75" s="6" t="str">
        <f t="shared" si="1"/>
        <v>2025年10月</v>
      </c>
      <c r="D75" s="6" t="s">
        <v>12</v>
      </c>
      <c r="E75" s="139"/>
      <c r="F75" s="40" t="s">
        <v>39</v>
      </c>
      <c r="G75" s="152" t="s">
        <v>2968</v>
      </c>
      <c r="H75" s="6" t="s">
        <v>82</v>
      </c>
      <c r="I75" s="149">
        <v>8977851</v>
      </c>
      <c r="J75" s="6" t="s">
        <v>2969</v>
      </c>
      <c r="K75" s="6"/>
      <c r="L75" s="6"/>
      <c r="M75" s="8" t="s">
        <v>2970</v>
      </c>
      <c r="N75" s="70" t="s">
        <v>2971</v>
      </c>
      <c r="O75" s="6"/>
      <c r="P75" s="40"/>
      <c r="Q75" s="6"/>
      <c r="R75" s="6"/>
      <c r="S75" s="6"/>
      <c r="T75" s="6"/>
      <c r="U75" s="6"/>
      <c r="V75" s="6"/>
      <c r="W75" s="6"/>
    </row>
    <row r="76" ht="21" customHeight="1" spans="1:23">
      <c r="A76" s="6" t="s">
        <v>142</v>
      </c>
      <c r="B76" s="7">
        <v>45932</v>
      </c>
      <c r="C76" s="6" t="str">
        <f t="shared" si="1"/>
        <v>2025年10月</v>
      </c>
      <c r="D76" s="6" t="s">
        <v>11</v>
      </c>
      <c r="E76" s="139"/>
      <c r="F76" s="40" t="s">
        <v>40</v>
      </c>
      <c r="G76" s="140" t="s">
        <v>2972</v>
      </c>
      <c r="H76" s="6" t="s">
        <v>82</v>
      </c>
      <c r="I76" s="141">
        <v>78338</v>
      </c>
      <c r="J76" s="6" t="s">
        <v>149</v>
      </c>
      <c r="K76" s="6"/>
      <c r="L76" s="6"/>
      <c r="M76" s="8" t="s">
        <v>2973</v>
      </c>
      <c r="N76" s="59" t="s">
        <v>2974</v>
      </c>
      <c r="O76" s="6"/>
      <c r="P76" s="40"/>
      <c r="Q76" s="6"/>
      <c r="R76" s="6"/>
      <c r="S76" s="6"/>
      <c r="T76" s="6"/>
      <c r="U76" s="6"/>
      <c r="V76" s="6"/>
      <c r="W76" s="6"/>
    </row>
    <row r="77" ht="42" spans="1:23">
      <c r="A77" s="6" t="s">
        <v>207</v>
      </c>
      <c r="B77" s="7">
        <v>45944</v>
      </c>
      <c r="C77" s="6" t="str">
        <f t="shared" si="1"/>
        <v>2025年10月</v>
      </c>
      <c r="D77" s="6" t="s">
        <v>10</v>
      </c>
      <c r="E77" s="139" t="s">
        <v>2586</v>
      </c>
      <c r="F77" s="40" t="s">
        <v>40</v>
      </c>
      <c r="G77" s="153" t="s">
        <v>2975</v>
      </c>
      <c r="H77" s="6" t="s">
        <v>82</v>
      </c>
      <c r="I77" s="141">
        <v>65.6</v>
      </c>
      <c r="J77" s="6" t="s">
        <v>139</v>
      </c>
      <c r="K77" s="6"/>
      <c r="L77" s="6"/>
      <c r="M77" s="8" t="s">
        <v>1798</v>
      </c>
      <c r="N77" s="59" t="s">
        <v>2976</v>
      </c>
      <c r="O77" s="6" t="s">
        <v>179</v>
      </c>
      <c r="P77" s="40"/>
      <c r="Q77" s="6"/>
      <c r="R77" s="6"/>
      <c r="S77" s="6"/>
      <c r="T77" s="6"/>
      <c r="U77" s="6"/>
      <c r="V77" s="6"/>
      <c r="W77" s="6"/>
    </row>
    <row r="78" ht="93.75" customHeight="1" spans="1:23">
      <c r="A78" s="6" t="s">
        <v>2977</v>
      </c>
      <c r="B78" s="7">
        <v>45953</v>
      </c>
      <c r="C78" s="6" t="str">
        <f t="shared" si="1"/>
        <v>2025年10月</v>
      </c>
      <c r="D78" s="6" t="s">
        <v>10</v>
      </c>
      <c r="E78" s="139" t="s">
        <v>1400</v>
      </c>
      <c r="F78" s="40" t="s">
        <v>42</v>
      </c>
      <c r="G78" s="140" t="s">
        <v>2978</v>
      </c>
      <c r="H78" s="6" t="s">
        <v>290</v>
      </c>
      <c r="I78" s="141">
        <v>3240970945</v>
      </c>
      <c r="J78" s="6" t="s">
        <v>1172</v>
      </c>
      <c r="K78" s="41"/>
      <c r="L78" s="41" t="s">
        <v>2979</v>
      </c>
      <c r="M78" s="6"/>
      <c r="N78" s="59"/>
      <c r="O78" s="6"/>
      <c r="P78" s="40"/>
      <c r="Q78" s="6"/>
      <c r="R78" s="6"/>
      <c r="S78" s="6"/>
      <c r="T78" s="6"/>
      <c r="U78" s="6"/>
      <c r="V78" s="6"/>
      <c r="W78" s="6"/>
    </row>
    <row r="79" ht="21" customHeight="1" spans="1:23">
      <c r="A79" s="6" t="s">
        <v>78</v>
      </c>
      <c r="B79" s="7">
        <v>45953</v>
      </c>
      <c r="C79" s="6" t="str">
        <f t="shared" si="1"/>
        <v>2025年10月</v>
      </c>
      <c r="D79" s="6" t="s">
        <v>10</v>
      </c>
      <c r="E79" s="139" t="s">
        <v>1089</v>
      </c>
      <c r="F79" s="40" t="s">
        <v>52</v>
      </c>
      <c r="G79" s="140" t="s">
        <v>2980</v>
      </c>
      <c r="H79" s="6" t="s">
        <v>82</v>
      </c>
      <c r="I79" s="141" t="s">
        <v>2232</v>
      </c>
      <c r="J79" s="6" t="s">
        <v>2232</v>
      </c>
      <c r="K79" s="6"/>
      <c r="L79" s="6" t="s">
        <v>2981</v>
      </c>
      <c r="M79" s="8" t="s">
        <v>2982</v>
      </c>
      <c r="N79" s="59" t="s">
        <v>2983</v>
      </c>
      <c r="O79" s="6" t="s">
        <v>550</v>
      </c>
      <c r="P79" s="40"/>
      <c r="Q79" s="6"/>
      <c r="R79" s="6"/>
      <c r="S79" s="6"/>
      <c r="T79" s="6"/>
      <c r="U79" s="6"/>
      <c r="V79" s="6"/>
      <c r="W79" s="6"/>
    </row>
    <row r="80" ht="21" customHeight="1" spans="1:23">
      <c r="A80" s="6" t="s">
        <v>207</v>
      </c>
      <c r="B80" s="7">
        <v>45965</v>
      </c>
      <c r="C80" s="6" t="str">
        <f t="shared" si="1"/>
        <v>2025年11月</v>
      </c>
      <c r="D80" s="6" t="s">
        <v>10</v>
      </c>
      <c r="E80" s="139" t="s">
        <v>1089</v>
      </c>
      <c r="F80" s="40" t="s">
        <v>52</v>
      </c>
      <c r="G80" s="140" t="s">
        <v>2984</v>
      </c>
      <c r="H80" s="6" t="s">
        <v>82</v>
      </c>
      <c r="I80" s="141" t="s">
        <v>2232</v>
      </c>
      <c r="J80" s="6" t="s">
        <v>2232</v>
      </c>
      <c r="K80" s="8"/>
      <c r="L80" s="8" t="s">
        <v>2985</v>
      </c>
      <c r="M80" s="6"/>
      <c r="N80" s="59"/>
      <c r="O80" s="6"/>
      <c r="P80" s="40"/>
      <c r="Q80" s="6"/>
      <c r="R80" s="6"/>
      <c r="S80" s="6"/>
      <c r="T80" s="6"/>
      <c r="U80" s="6"/>
      <c r="V80" s="6"/>
      <c r="W80" s="6"/>
    </row>
    <row r="81" ht="24" customHeight="1" spans="1:23">
      <c r="A81" s="6" t="s">
        <v>78</v>
      </c>
      <c r="B81" s="7">
        <v>45969</v>
      </c>
      <c r="C81" s="6" t="str">
        <f t="shared" si="1"/>
        <v>2025年11月</v>
      </c>
      <c r="D81" s="6" t="s">
        <v>10</v>
      </c>
      <c r="E81" s="139"/>
      <c r="F81" s="40" t="s">
        <v>41</v>
      </c>
      <c r="G81" s="140" t="s">
        <v>2986</v>
      </c>
      <c r="H81" s="6" t="s">
        <v>82</v>
      </c>
      <c r="I81" s="141">
        <v>93439618129</v>
      </c>
      <c r="J81" s="6" t="s">
        <v>1037</v>
      </c>
      <c r="K81" s="8"/>
      <c r="L81" s="8" t="s">
        <v>2987</v>
      </c>
      <c r="M81" s="8" t="s">
        <v>1752</v>
      </c>
      <c r="N81" s="59" t="s">
        <v>1754</v>
      </c>
      <c r="O81" s="6" t="s">
        <v>111</v>
      </c>
      <c r="P81" s="40"/>
      <c r="Q81" s="6"/>
      <c r="R81" s="6"/>
      <c r="S81" s="6"/>
      <c r="T81" s="6"/>
      <c r="U81" s="6"/>
      <c r="V81" s="6"/>
      <c r="W81" s="6"/>
    </row>
    <row r="82" ht="21" customHeight="1" spans="1:23">
      <c r="A82" s="6" t="s">
        <v>207</v>
      </c>
      <c r="B82" s="7">
        <v>45969</v>
      </c>
      <c r="C82" s="6" t="str">
        <f t="shared" si="1"/>
        <v>2025年11月</v>
      </c>
      <c r="D82" s="6" t="s">
        <v>11</v>
      </c>
      <c r="E82" s="139" t="s">
        <v>1783</v>
      </c>
      <c r="F82" s="40" t="s">
        <v>41</v>
      </c>
      <c r="G82" s="140" t="s">
        <v>2988</v>
      </c>
      <c r="H82" s="6" t="s">
        <v>82</v>
      </c>
      <c r="I82" s="59" t="s">
        <v>2989</v>
      </c>
      <c r="J82" s="6" t="s">
        <v>1037</v>
      </c>
      <c r="K82" s="6"/>
      <c r="L82" s="6"/>
      <c r="M82" s="8" t="s">
        <v>1785</v>
      </c>
      <c r="N82" s="59" t="s">
        <v>1787</v>
      </c>
      <c r="O82" s="6" t="s">
        <v>1788</v>
      </c>
      <c r="P82" s="40"/>
      <c r="Q82" s="6"/>
      <c r="R82" s="6"/>
      <c r="S82" s="6"/>
      <c r="T82" s="6"/>
      <c r="U82" s="6"/>
      <c r="V82" s="6"/>
      <c r="W82" s="6"/>
    </row>
    <row r="83" ht="21" customHeight="1" spans="1:23">
      <c r="A83" s="6" t="s">
        <v>207</v>
      </c>
      <c r="B83" s="7">
        <v>45970</v>
      </c>
      <c r="C83" s="6" t="str">
        <f t="shared" si="1"/>
        <v>2025年11月</v>
      </c>
      <c r="D83" s="6" t="s">
        <v>11</v>
      </c>
      <c r="E83" s="139" t="s">
        <v>2990</v>
      </c>
      <c r="F83" s="40" t="s">
        <v>41</v>
      </c>
      <c r="G83" s="140" t="s">
        <v>2991</v>
      </c>
      <c r="H83" s="6" t="s">
        <v>82</v>
      </c>
      <c r="I83" s="59" t="s">
        <v>2992</v>
      </c>
      <c r="J83" s="6" t="s">
        <v>1037</v>
      </c>
      <c r="K83" s="8"/>
      <c r="L83" s="8" t="s">
        <v>2987</v>
      </c>
      <c r="M83" s="8" t="s">
        <v>2250</v>
      </c>
      <c r="N83" s="59" t="s">
        <v>2251</v>
      </c>
      <c r="O83" s="6" t="s">
        <v>2993</v>
      </c>
      <c r="P83" s="40"/>
      <c r="Q83" s="6"/>
      <c r="R83" s="6"/>
      <c r="S83" s="6"/>
      <c r="T83" s="6"/>
      <c r="U83" s="6"/>
      <c r="V83" s="6"/>
      <c r="W83" s="6"/>
    </row>
    <row r="84" ht="28" spans="1:23">
      <c r="A84" s="6" t="s">
        <v>142</v>
      </c>
      <c r="B84" s="7">
        <v>45970</v>
      </c>
      <c r="C84" s="6" t="str">
        <f t="shared" si="1"/>
        <v>2025年11月</v>
      </c>
      <c r="D84" s="6" t="s">
        <v>10</v>
      </c>
      <c r="E84" s="40"/>
      <c r="F84" s="40" t="s">
        <v>41</v>
      </c>
      <c r="G84" s="140" t="s">
        <v>2994</v>
      </c>
      <c r="H84" s="6" t="s">
        <v>82</v>
      </c>
      <c r="I84" s="59" t="s">
        <v>2995</v>
      </c>
      <c r="J84" s="6" t="s">
        <v>1037</v>
      </c>
      <c r="K84" s="8"/>
      <c r="L84" s="8" t="s">
        <v>2987</v>
      </c>
      <c r="M84" s="8" t="s">
        <v>2824</v>
      </c>
      <c r="N84" s="41" t="s">
        <v>2825</v>
      </c>
      <c r="O84" s="6"/>
      <c r="P84" s="40"/>
      <c r="Q84" s="6"/>
      <c r="R84" s="6"/>
      <c r="S84" s="6"/>
      <c r="T84" s="6"/>
      <c r="U84" s="6"/>
      <c r="V84" s="6"/>
      <c r="W84" s="6"/>
    </row>
    <row r="85" ht="28" spans="1:23">
      <c r="A85" s="6" t="s">
        <v>142</v>
      </c>
      <c r="B85" s="7">
        <v>45972</v>
      </c>
      <c r="C85" s="6" t="str">
        <f t="shared" si="1"/>
        <v>2025年11月</v>
      </c>
      <c r="D85" s="6" t="s">
        <v>11</v>
      </c>
      <c r="E85" s="40"/>
      <c r="F85" s="40" t="s">
        <v>39</v>
      </c>
      <c r="G85" s="140" t="s">
        <v>2996</v>
      </c>
      <c r="H85" s="6" t="s">
        <v>82</v>
      </c>
      <c r="I85" s="141">
        <v>4160</v>
      </c>
      <c r="J85" s="6" t="s">
        <v>173</v>
      </c>
      <c r="K85" s="8"/>
      <c r="L85" s="8" t="s">
        <v>2954</v>
      </c>
      <c r="M85" s="8" t="s">
        <v>2997</v>
      </c>
      <c r="N85" s="8" t="s">
        <v>2998</v>
      </c>
      <c r="O85" s="6" t="s">
        <v>800</v>
      </c>
      <c r="P85" s="40"/>
      <c r="Q85" s="6"/>
      <c r="R85" s="6"/>
      <c r="S85" s="6"/>
      <c r="T85" s="6"/>
      <c r="U85" s="6"/>
      <c r="V85" s="6"/>
      <c r="W85" s="6"/>
    </row>
    <row r="86" ht="14" spans="1:23">
      <c r="A86" s="6" t="s">
        <v>142</v>
      </c>
      <c r="B86" s="7">
        <v>45978</v>
      </c>
      <c r="C86" s="6" t="str">
        <f t="shared" si="1"/>
        <v>2025年11月</v>
      </c>
      <c r="D86" s="6" t="s">
        <v>10</v>
      </c>
      <c r="E86" s="40"/>
      <c r="F86" s="40" t="s">
        <v>44</v>
      </c>
      <c r="G86" s="140" t="s">
        <v>2999</v>
      </c>
      <c r="H86" s="6" t="s">
        <v>82</v>
      </c>
      <c r="I86" s="141">
        <v>2972.08</v>
      </c>
      <c r="J86" s="6" t="s">
        <v>173</v>
      </c>
      <c r="K86" s="8"/>
      <c r="L86" s="8"/>
      <c r="M86" s="8" t="s">
        <v>708</v>
      </c>
      <c r="N86" s="41" t="s">
        <v>709</v>
      </c>
      <c r="O86" s="6"/>
      <c r="P86" s="40"/>
      <c r="Q86" s="6"/>
      <c r="R86" s="6"/>
      <c r="S86" s="6"/>
      <c r="T86" s="6"/>
      <c r="U86" s="6"/>
      <c r="V86" s="6"/>
      <c r="W86" s="6"/>
    </row>
    <row r="87" ht="14" spans="1:23">
      <c r="A87" s="6" t="s">
        <v>207</v>
      </c>
      <c r="B87" s="7">
        <v>45978</v>
      </c>
      <c r="C87" s="6" t="str">
        <f t="shared" si="1"/>
        <v>2025年11月</v>
      </c>
      <c r="D87" s="6" t="s">
        <v>10</v>
      </c>
      <c r="E87" s="40"/>
      <c r="F87" s="40" t="s">
        <v>44</v>
      </c>
      <c r="G87" s="140" t="s">
        <v>2999</v>
      </c>
      <c r="H87" s="6" t="s">
        <v>82</v>
      </c>
      <c r="I87" s="141">
        <v>10723.96</v>
      </c>
      <c r="J87" s="6" t="s">
        <v>173</v>
      </c>
      <c r="K87" s="8"/>
      <c r="L87" s="8"/>
      <c r="M87" s="8" t="s">
        <v>3000</v>
      </c>
      <c r="N87" s="6" t="s">
        <v>3001</v>
      </c>
      <c r="O87" s="6" t="s">
        <v>710</v>
      </c>
      <c r="P87" s="40"/>
      <c r="Q87" s="6"/>
      <c r="R87" s="6"/>
      <c r="S87" s="6"/>
      <c r="T87" s="6"/>
      <c r="U87" s="6"/>
      <c r="V87" s="6"/>
      <c r="W87" s="6"/>
    </row>
    <row r="88" ht="21" customHeight="1" spans="1:23">
      <c r="A88" s="6" t="s">
        <v>78</v>
      </c>
      <c r="B88" s="7">
        <v>45978</v>
      </c>
      <c r="C88" s="6" t="str">
        <f t="shared" si="1"/>
        <v>2025年11月</v>
      </c>
      <c r="D88" s="6" t="s">
        <v>10</v>
      </c>
      <c r="E88" s="40"/>
      <c r="F88" s="40" t="s">
        <v>42</v>
      </c>
      <c r="G88" s="140" t="s">
        <v>3002</v>
      </c>
      <c r="H88" s="6" t="s">
        <v>82</v>
      </c>
      <c r="I88" s="141" t="s">
        <v>2232</v>
      </c>
      <c r="J88" s="6" t="s">
        <v>2232</v>
      </c>
      <c r="K88" s="8"/>
      <c r="L88" s="8"/>
      <c r="M88" s="8"/>
      <c r="N88" s="6"/>
      <c r="O88" s="6"/>
      <c r="P88" s="40" t="s">
        <v>3003</v>
      </c>
      <c r="Q88" s="6"/>
      <c r="R88" s="6"/>
      <c r="S88" s="6"/>
      <c r="T88" s="6"/>
      <c r="U88" s="6"/>
      <c r="V88" s="6"/>
      <c r="W88" s="6"/>
    </row>
    <row r="89" ht="36" customHeight="1" spans="1:23">
      <c r="A89" s="6" t="s">
        <v>207</v>
      </c>
      <c r="B89" s="7">
        <v>45978</v>
      </c>
      <c r="C89" s="6" t="str">
        <f t="shared" si="1"/>
        <v>2025年11月</v>
      </c>
      <c r="D89" s="6" t="s">
        <v>12</v>
      </c>
      <c r="E89" s="40"/>
      <c r="F89" s="40" t="s">
        <v>39</v>
      </c>
      <c r="G89" s="140" t="s">
        <v>3004</v>
      </c>
      <c r="H89" s="6" t="s">
        <v>82</v>
      </c>
      <c r="I89" s="141">
        <v>1015390</v>
      </c>
      <c r="J89" s="6" t="s">
        <v>1567</v>
      </c>
      <c r="K89" s="6"/>
      <c r="L89" s="6" t="s">
        <v>3005</v>
      </c>
      <c r="M89" s="8" t="s">
        <v>1666</v>
      </c>
      <c r="N89" s="59" t="s">
        <v>1667</v>
      </c>
      <c r="O89" s="6"/>
      <c r="P89" s="40"/>
      <c r="Q89" s="6"/>
      <c r="R89" s="6"/>
      <c r="S89" s="6"/>
      <c r="T89" s="6"/>
      <c r="U89" s="6"/>
      <c r="V89" s="6"/>
      <c r="W89" s="6"/>
    </row>
    <row r="90" ht="28" spans="1:23">
      <c r="C90" s="10"/>
      <c r="D90" s="6" t="s">
        <v>11</v>
      </c>
      <c r="E90" s="40"/>
      <c r="F90" s="40"/>
      <c r="G90" s="10"/>
      <c r="H90" s="10"/>
      <c r="I90" s="149">
        <v>510071.2</v>
      </c>
      <c r="J90" s="6" t="s">
        <v>1062</v>
      </c>
      <c r="K90" s="6"/>
      <c r="L90" s="6"/>
      <c r="M90" s="8" t="s">
        <v>1696</v>
      </c>
      <c r="N90" s="70" t="s">
        <v>3006</v>
      </c>
      <c r="O90" s="6"/>
      <c r="P90" s="40"/>
      <c r="Q90" s="6"/>
      <c r="R90" s="6"/>
      <c r="S90" s="6"/>
      <c r="T90" s="6"/>
      <c r="U90" s="6"/>
      <c r="V90" s="6"/>
      <c r="W90" s="6"/>
    </row>
    <row r="91" ht="14" spans="1:23">
      <c r="C91" s="10"/>
      <c r="D91" s="6" t="s">
        <v>12</v>
      </c>
      <c r="E91" s="40"/>
      <c r="F91" s="40"/>
      <c r="G91" s="10"/>
      <c r="H91" s="10"/>
      <c r="I91" s="141">
        <v>3150</v>
      </c>
      <c r="J91" s="6" t="s">
        <v>149</v>
      </c>
      <c r="K91" s="6"/>
      <c r="L91" s="6"/>
      <c r="M91" s="8" t="s">
        <v>906</v>
      </c>
      <c r="N91" s="59" t="s">
        <v>907</v>
      </c>
      <c r="O91" s="6"/>
      <c r="P91" s="40"/>
      <c r="Q91" s="6"/>
      <c r="R91" s="6"/>
      <c r="S91" s="6"/>
      <c r="T91" s="6"/>
      <c r="U91" s="6"/>
      <c r="V91" s="6"/>
      <c r="W91" s="6"/>
    </row>
    <row r="92" ht="21" customHeight="1" spans="1:23">
      <c r="A92" s="6" t="s">
        <v>142</v>
      </c>
      <c r="B92" s="7">
        <v>45979</v>
      </c>
      <c r="C92" s="6" t="str">
        <f t="shared" ref="C92:C107" si="2">YEAR(B92)&amp;"年"&amp;MONTH(B92)&amp;"月"</f>
        <v>2025年11月</v>
      </c>
      <c r="D92" s="6" t="s">
        <v>11</v>
      </c>
      <c r="E92" s="40"/>
      <c r="F92" s="40" t="s">
        <v>40</v>
      </c>
      <c r="G92" s="140" t="s">
        <v>3007</v>
      </c>
      <c r="H92" s="6" t="s">
        <v>82</v>
      </c>
      <c r="I92" s="141">
        <f>9850+41808</f>
        <v>51658</v>
      </c>
      <c r="J92" s="6" t="s">
        <v>149</v>
      </c>
      <c r="K92" s="6"/>
      <c r="L92" s="6"/>
      <c r="M92" s="8" t="s">
        <v>3008</v>
      </c>
      <c r="N92" s="59" t="s">
        <v>3009</v>
      </c>
      <c r="O92" s="6"/>
      <c r="P92" s="40"/>
      <c r="Q92" s="6"/>
      <c r="R92" s="6"/>
      <c r="S92" s="6"/>
      <c r="T92" s="6"/>
      <c r="U92" s="6"/>
      <c r="V92" s="6"/>
      <c r="W92" s="6"/>
    </row>
    <row r="93" ht="21" customHeight="1" spans="1:23">
      <c r="A93" s="6" t="s">
        <v>207</v>
      </c>
      <c r="B93" s="7">
        <v>45980</v>
      </c>
      <c r="C93" s="6" t="str">
        <f t="shared" si="2"/>
        <v>2025年11月</v>
      </c>
      <c r="D93" s="6" t="s">
        <v>12</v>
      </c>
      <c r="E93" s="40"/>
      <c r="F93" s="40" t="s">
        <v>48</v>
      </c>
      <c r="G93" s="140" t="s">
        <v>3010</v>
      </c>
      <c r="H93" s="6" t="s">
        <v>82</v>
      </c>
      <c r="I93" s="141">
        <v>10298000</v>
      </c>
      <c r="J93" s="6" t="s">
        <v>173</v>
      </c>
      <c r="K93" s="6"/>
      <c r="L93" s="6"/>
      <c r="M93" s="8" t="s">
        <v>3011</v>
      </c>
      <c r="N93" s="59" t="s">
        <v>3012</v>
      </c>
      <c r="O93" s="6" t="s">
        <v>2040</v>
      </c>
      <c r="P93" s="40"/>
      <c r="Q93" s="6"/>
      <c r="R93" s="6"/>
      <c r="S93" s="6"/>
      <c r="T93" s="6"/>
      <c r="U93" s="6"/>
      <c r="V93" s="6"/>
      <c r="W93" s="6"/>
    </row>
    <row r="94" ht="21" customHeight="1" spans="1:23">
      <c r="A94" s="6" t="s">
        <v>142</v>
      </c>
      <c r="B94" s="7">
        <v>45982</v>
      </c>
      <c r="C94" s="6" t="str">
        <f t="shared" si="2"/>
        <v>2025年11月</v>
      </c>
      <c r="D94" s="6" t="s">
        <v>12</v>
      </c>
      <c r="E94" s="40"/>
      <c r="F94" s="40" t="s">
        <v>48</v>
      </c>
      <c r="G94" s="140" t="s">
        <v>3013</v>
      </c>
      <c r="H94" s="6" t="s">
        <v>82</v>
      </c>
      <c r="I94" s="141">
        <v>9448206</v>
      </c>
      <c r="J94" s="6" t="s">
        <v>173</v>
      </c>
      <c r="K94" s="6"/>
      <c r="L94" s="6"/>
      <c r="M94" s="8" t="s">
        <v>2970</v>
      </c>
      <c r="N94" s="59" t="s">
        <v>2971</v>
      </c>
      <c r="O94" s="6"/>
      <c r="P94" s="40"/>
      <c r="Q94" s="6"/>
      <c r="R94" s="6"/>
      <c r="S94" s="6"/>
      <c r="T94" s="6"/>
      <c r="U94" s="6"/>
      <c r="V94" s="6"/>
      <c r="W94" s="6"/>
    </row>
    <row r="95" ht="21" customHeight="1" spans="1:23">
      <c r="A95" s="6" t="s">
        <v>142</v>
      </c>
      <c r="B95" s="7">
        <v>45985</v>
      </c>
      <c r="C95" s="6" t="str">
        <f t="shared" si="2"/>
        <v>2025年11月</v>
      </c>
      <c r="D95" s="6" t="s">
        <v>10</v>
      </c>
      <c r="E95" s="40" t="s">
        <v>1626</v>
      </c>
      <c r="F95" s="40" t="s">
        <v>51</v>
      </c>
      <c r="G95" s="140" t="s">
        <v>3014</v>
      </c>
      <c r="H95" s="6" t="s">
        <v>82</v>
      </c>
      <c r="I95" s="141">
        <v>110172.87</v>
      </c>
      <c r="J95" s="6" t="s">
        <v>173</v>
      </c>
      <c r="K95" s="6"/>
      <c r="L95" s="6"/>
      <c r="M95" s="8" t="s">
        <v>3015</v>
      </c>
      <c r="N95" s="70" t="s">
        <v>3016</v>
      </c>
      <c r="O95" s="6"/>
      <c r="P95" s="40"/>
      <c r="Q95" s="6"/>
      <c r="R95" s="6"/>
      <c r="S95" s="6"/>
      <c r="T95" s="6"/>
      <c r="U95" s="6"/>
      <c r="V95" s="6"/>
      <c r="W95" s="6"/>
    </row>
    <row r="96" ht="21" customHeight="1" spans="1:23">
      <c r="A96" s="6" t="s">
        <v>1960</v>
      </c>
      <c r="B96" s="7">
        <v>45988</v>
      </c>
      <c r="C96" s="6" t="str">
        <f t="shared" si="2"/>
        <v>2025年11月</v>
      </c>
      <c r="D96" s="6" t="s">
        <v>11</v>
      </c>
      <c r="E96" s="40" t="s">
        <v>1234</v>
      </c>
      <c r="F96" s="40" t="s">
        <v>48</v>
      </c>
      <c r="G96" s="140" t="s">
        <v>3017</v>
      </c>
      <c r="H96" s="6" t="s">
        <v>82</v>
      </c>
      <c r="I96" s="141" t="s">
        <v>2232</v>
      </c>
      <c r="J96" s="6" t="s">
        <v>2232</v>
      </c>
      <c r="K96" s="6"/>
      <c r="L96" s="6"/>
      <c r="M96" s="6"/>
      <c r="N96" s="59"/>
      <c r="O96" s="6"/>
      <c r="P96" s="40"/>
      <c r="Q96" s="6"/>
      <c r="R96" s="6"/>
      <c r="S96" s="6"/>
      <c r="T96" s="6"/>
      <c r="U96" s="6"/>
      <c r="V96" s="6"/>
      <c r="W96" s="6"/>
    </row>
    <row r="97" ht="21" customHeight="1" spans="1:23">
      <c r="A97" s="6" t="s">
        <v>207</v>
      </c>
      <c r="B97" s="7">
        <v>45992</v>
      </c>
      <c r="C97" s="6" t="str">
        <f t="shared" si="2"/>
        <v>2025年12月</v>
      </c>
      <c r="D97" s="6" t="s">
        <v>11</v>
      </c>
      <c r="E97" s="40"/>
      <c r="F97" s="40" t="s">
        <v>39</v>
      </c>
      <c r="G97" s="140" t="s">
        <v>3018</v>
      </c>
      <c r="H97" s="6" t="s">
        <v>82</v>
      </c>
      <c r="I97" s="141" t="s">
        <v>2232</v>
      </c>
      <c r="J97" s="6" t="s">
        <v>2232</v>
      </c>
      <c r="K97" s="6"/>
      <c r="L97" s="6" t="s">
        <v>3019</v>
      </c>
      <c r="M97" s="6"/>
      <c r="N97" s="59"/>
      <c r="O97" s="6"/>
      <c r="P97" s="40"/>
      <c r="Q97" s="6"/>
      <c r="R97" s="6"/>
      <c r="S97" s="6"/>
      <c r="T97" s="6"/>
      <c r="U97" s="6"/>
      <c r="V97" s="6"/>
      <c r="W97" s="6"/>
    </row>
    <row r="98" ht="14" spans="1:23">
      <c r="A98" s="6" t="s">
        <v>142</v>
      </c>
      <c r="B98" s="7">
        <v>45999</v>
      </c>
      <c r="C98" s="6" t="str">
        <f t="shared" si="2"/>
        <v>2025年12月</v>
      </c>
      <c r="D98" s="6" t="s">
        <v>12</v>
      </c>
      <c r="E98" s="40"/>
      <c r="F98" s="40" t="s">
        <v>39</v>
      </c>
      <c r="G98" s="140" t="s">
        <v>3020</v>
      </c>
      <c r="H98" s="6" t="s">
        <v>82</v>
      </c>
      <c r="I98" s="149">
        <v>286982.71</v>
      </c>
      <c r="J98" s="6" t="s">
        <v>1062</v>
      </c>
      <c r="K98" s="6"/>
      <c r="L98" s="6"/>
      <c r="M98" s="8" t="s">
        <v>3021</v>
      </c>
      <c r="N98" s="59" t="s">
        <v>3022</v>
      </c>
      <c r="O98" s="6"/>
      <c r="P98" s="40"/>
      <c r="Q98" s="6"/>
      <c r="R98" s="6"/>
      <c r="S98" s="6"/>
      <c r="T98" s="6"/>
      <c r="U98" s="6"/>
      <c r="V98" s="6"/>
      <c r="W98" s="6"/>
    </row>
    <row r="99" ht="21" customHeight="1" spans="1:23">
      <c r="A99" s="6" t="s">
        <v>142</v>
      </c>
      <c r="B99" s="7">
        <v>45999</v>
      </c>
      <c r="C99" s="6" t="str">
        <f t="shared" si="2"/>
        <v>2025年12月</v>
      </c>
      <c r="D99" s="6" t="s">
        <v>12</v>
      </c>
      <c r="E99" s="40"/>
      <c r="F99" s="40" t="s">
        <v>39</v>
      </c>
      <c r="G99" s="140" t="s">
        <v>3023</v>
      </c>
      <c r="H99" s="6" t="s">
        <v>82</v>
      </c>
      <c r="I99" s="141">
        <v>971737.81</v>
      </c>
      <c r="J99" s="6" t="s">
        <v>173</v>
      </c>
      <c r="K99" s="6"/>
      <c r="L99" s="6" t="s">
        <v>3024</v>
      </c>
      <c r="M99" s="8" t="s">
        <v>1692</v>
      </c>
      <c r="N99" s="59" t="s">
        <v>1726</v>
      </c>
      <c r="O99" s="6"/>
      <c r="P99" s="40"/>
      <c r="Q99" s="6"/>
      <c r="R99" s="6"/>
      <c r="S99" s="6"/>
      <c r="T99" s="6"/>
      <c r="U99" s="6"/>
      <c r="V99" s="6"/>
      <c r="W99" s="6"/>
    </row>
    <row r="100" ht="21" customHeight="1" spans="1:23">
      <c r="A100" s="6" t="s">
        <v>207</v>
      </c>
      <c r="B100" s="7">
        <v>46000</v>
      </c>
      <c r="C100" s="6" t="str">
        <f t="shared" si="2"/>
        <v>2025年12月</v>
      </c>
      <c r="D100" s="6" t="s">
        <v>11</v>
      </c>
      <c r="E100" s="40" t="s">
        <v>1321</v>
      </c>
      <c r="F100" s="40" t="s">
        <v>40</v>
      </c>
      <c r="G100" s="6" t="s">
        <v>3025</v>
      </c>
      <c r="H100" s="6" t="s">
        <v>82</v>
      </c>
      <c r="I100" s="141" t="s">
        <v>2232</v>
      </c>
      <c r="J100" s="6" t="s">
        <v>2232</v>
      </c>
      <c r="K100" s="6"/>
      <c r="L100" s="6"/>
      <c r="M100" s="8" t="s">
        <v>3026</v>
      </c>
      <c r="N100" s="6" t="s">
        <v>3027</v>
      </c>
      <c r="O100" s="6" t="s">
        <v>685</v>
      </c>
      <c r="P100" s="40"/>
      <c r="Q100" s="6"/>
      <c r="R100" s="6"/>
      <c r="S100" s="6"/>
      <c r="T100" s="6"/>
      <c r="U100" s="6"/>
      <c r="V100" s="6"/>
      <c r="W100" s="6"/>
    </row>
    <row r="101" ht="21" customHeight="1" spans="1:23">
      <c r="A101" s="6" t="s">
        <v>142</v>
      </c>
      <c r="B101" s="7">
        <v>46002</v>
      </c>
      <c r="C101" s="6" t="str">
        <f t="shared" si="2"/>
        <v>2025年12月</v>
      </c>
      <c r="D101" s="6" t="s">
        <v>11</v>
      </c>
      <c r="E101" s="40"/>
      <c r="F101" s="40" t="s">
        <v>40</v>
      </c>
      <c r="G101" s="140" t="s">
        <v>3028</v>
      </c>
      <c r="H101" s="6" t="s">
        <v>82</v>
      </c>
      <c r="I101" s="141">
        <v>128768</v>
      </c>
      <c r="J101" s="6" t="s">
        <v>149</v>
      </c>
      <c r="K101" s="6"/>
      <c r="L101" s="6"/>
      <c r="M101" s="8" t="s">
        <v>3029</v>
      </c>
      <c r="N101" s="59" t="s">
        <v>3030</v>
      </c>
      <c r="O101" s="6" t="s">
        <v>685</v>
      </c>
      <c r="P101" s="40"/>
      <c r="Q101" s="6"/>
      <c r="R101" s="6"/>
      <c r="S101" s="6"/>
      <c r="T101" s="6"/>
      <c r="U101" s="6"/>
      <c r="V101" s="6"/>
      <c r="W101" s="6"/>
    </row>
    <row r="102" ht="28" spans="1:23">
      <c r="A102" s="6" t="s">
        <v>207</v>
      </c>
      <c r="B102" s="7">
        <v>46004</v>
      </c>
      <c r="C102" s="6" t="str">
        <f t="shared" si="2"/>
        <v>2025年12月</v>
      </c>
      <c r="D102" s="6" t="s">
        <v>10</v>
      </c>
      <c r="E102" s="40" t="s">
        <v>3031</v>
      </c>
      <c r="F102" s="40" t="s">
        <v>39</v>
      </c>
      <c r="G102" s="140" t="s">
        <v>3032</v>
      </c>
      <c r="H102" s="6" t="s">
        <v>82</v>
      </c>
      <c r="I102" s="141">
        <v>16049.45</v>
      </c>
      <c r="J102" s="6" t="s">
        <v>173</v>
      </c>
      <c r="K102" s="6"/>
      <c r="L102" s="6"/>
      <c r="M102" s="8" t="s">
        <v>1920</v>
      </c>
      <c r="N102" s="6" t="s">
        <v>1922</v>
      </c>
      <c r="O102" s="6" t="s">
        <v>1923</v>
      </c>
      <c r="P102" s="40"/>
      <c r="Q102" s="6"/>
      <c r="R102" s="6"/>
      <c r="S102" s="6"/>
      <c r="T102" s="6"/>
      <c r="U102" s="6"/>
      <c r="V102" s="6"/>
      <c r="W102" s="6"/>
    </row>
    <row r="103" ht="21" customHeight="1" spans="1:23">
      <c r="A103" s="6" t="s">
        <v>207</v>
      </c>
      <c r="B103" s="7">
        <v>46006</v>
      </c>
      <c r="C103" s="6" t="str">
        <f t="shared" si="2"/>
        <v>2025年12月</v>
      </c>
      <c r="D103" s="6" t="s">
        <v>11</v>
      </c>
      <c r="E103" s="40" t="s">
        <v>1321</v>
      </c>
      <c r="F103" s="40" t="s">
        <v>40</v>
      </c>
      <c r="G103" s="140" t="s">
        <v>3033</v>
      </c>
      <c r="H103" s="6" t="s">
        <v>82</v>
      </c>
      <c r="I103" s="141">
        <v>186072</v>
      </c>
      <c r="J103" s="6" t="s">
        <v>149</v>
      </c>
      <c r="K103" s="6"/>
      <c r="L103" s="6"/>
      <c r="M103" s="8" t="s">
        <v>3026</v>
      </c>
      <c r="N103" s="6" t="s">
        <v>3027</v>
      </c>
      <c r="O103" s="6"/>
      <c r="P103" s="40"/>
      <c r="Q103" s="6"/>
      <c r="R103" s="6"/>
      <c r="S103" s="6"/>
      <c r="T103" s="6"/>
      <c r="U103" s="6"/>
      <c r="V103" s="6"/>
      <c r="W103" s="6"/>
    </row>
    <row r="104" ht="21" customHeight="1" spans="1:23">
      <c r="A104" s="6" t="s">
        <v>142</v>
      </c>
      <c r="B104" s="7">
        <v>46006</v>
      </c>
      <c r="C104" s="6" t="str">
        <f t="shared" si="2"/>
        <v>2025年12月</v>
      </c>
      <c r="D104" s="6" t="s">
        <v>11</v>
      </c>
      <c r="E104" s="40"/>
      <c r="F104" s="40" t="s">
        <v>40</v>
      </c>
      <c r="G104" s="140" t="s">
        <v>3034</v>
      </c>
      <c r="H104" s="6" t="s">
        <v>82</v>
      </c>
      <c r="I104" s="154">
        <v>163514</v>
      </c>
      <c r="J104" s="6" t="s">
        <v>149</v>
      </c>
      <c r="K104" s="6"/>
      <c r="L104" s="6"/>
      <c r="M104" s="8" t="s">
        <v>3035</v>
      </c>
      <c r="N104" s="6" t="s">
        <v>3036</v>
      </c>
      <c r="O104" s="6"/>
      <c r="P104" s="40"/>
      <c r="Q104" s="7">
        <v>46022</v>
      </c>
      <c r="R104" s="6"/>
      <c r="S104" s="6"/>
      <c r="T104" s="6"/>
      <c r="U104" s="6"/>
      <c r="V104" s="6"/>
      <c r="W104" s="6"/>
    </row>
    <row r="105" ht="21" customHeight="1" spans="1:23">
      <c r="A105" s="6" t="s">
        <v>207</v>
      </c>
      <c r="B105" s="7">
        <v>46009</v>
      </c>
      <c r="C105" s="6" t="str">
        <f t="shared" si="2"/>
        <v>2025年12月</v>
      </c>
      <c r="D105" s="6" t="s">
        <v>11</v>
      </c>
      <c r="E105" s="40" t="s">
        <v>1321</v>
      </c>
      <c r="F105" s="40" t="s">
        <v>40</v>
      </c>
      <c r="G105" s="140" t="s">
        <v>3037</v>
      </c>
      <c r="H105" s="6" t="s">
        <v>82</v>
      </c>
      <c r="I105" s="141">
        <v>256791.11</v>
      </c>
      <c r="J105" s="6" t="s">
        <v>149</v>
      </c>
      <c r="K105" s="6"/>
      <c r="L105" s="6"/>
      <c r="M105" s="8" t="s">
        <v>1570</v>
      </c>
      <c r="N105" s="6" t="s">
        <v>1572</v>
      </c>
      <c r="O105" s="6" t="s">
        <v>685</v>
      </c>
      <c r="P105" s="40"/>
      <c r="Q105" s="6"/>
      <c r="R105" s="6"/>
      <c r="S105" s="6"/>
      <c r="T105" s="6"/>
      <c r="U105" s="6"/>
      <c r="V105" s="6"/>
      <c r="W105" s="6"/>
    </row>
    <row r="106" ht="21" customHeight="1" spans="1:23">
      <c r="A106" s="6" t="s">
        <v>142</v>
      </c>
      <c r="B106" s="7">
        <v>46009</v>
      </c>
      <c r="C106" s="6" t="str">
        <f t="shared" si="2"/>
        <v>2025年12月</v>
      </c>
      <c r="D106" s="6" t="s">
        <v>11</v>
      </c>
      <c r="E106" s="40"/>
      <c r="F106" s="40" t="s">
        <v>40</v>
      </c>
      <c r="G106" s="140" t="s">
        <v>3038</v>
      </c>
      <c r="H106" s="6" t="s">
        <v>82</v>
      </c>
      <c r="I106" s="141">
        <v>127427</v>
      </c>
      <c r="J106" s="6" t="s">
        <v>149</v>
      </c>
      <c r="K106" s="6"/>
      <c r="L106" s="6"/>
      <c r="M106" s="8" t="s">
        <v>3039</v>
      </c>
      <c r="N106" s="6" t="s">
        <v>3040</v>
      </c>
      <c r="O106" s="6"/>
      <c r="P106" s="40"/>
      <c r="Q106" s="6"/>
      <c r="R106" s="6"/>
      <c r="S106" s="6"/>
      <c r="T106" s="6"/>
      <c r="U106" s="6"/>
      <c r="V106" s="6"/>
      <c r="W106" s="6"/>
    </row>
    <row r="107" ht="21" customHeight="1" spans="1:23">
      <c r="A107" s="6" t="s">
        <v>142</v>
      </c>
      <c r="B107" s="7">
        <v>46010</v>
      </c>
      <c r="C107" s="6" t="str">
        <f t="shared" si="2"/>
        <v>2025年12月</v>
      </c>
      <c r="D107" s="6" t="s">
        <v>10</v>
      </c>
      <c r="E107" s="40"/>
      <c r="F107" s="40" t="s">
        <v>2002</v>
      </c>
      <c r="G107" s="140" t="s">
        <v>3041</v>
      </c>
      <c r="H107" s="6" t="s">
        <v>82</v>
      </c>
      <c r="I107" s="141">
        <v>499.98</v>
      </c>
      <c r="J107" s="6" t="s">
        <v>173</v>
      </c>
      <c r="K107" s="6"/>
      <c r="L107" s="6"/>
      <c r="M107" s="8" t="s">
        <v>1550</v>
      </c>
      <c r="N107" s="6" t="s">
        <v>1553</v>
      </c>
      <c r="O107" s="6"/>
      <c r="P107" s="40"/>
      <c r="Q107" s="6"/>
      <c r="R107" s="6"/>
      <c r="S107" s="6"/>
      <c r="T107" s="6"/>
      <c r="U107" s="6"/>
      <c r="V107" s="6"/>
      <c r="W107" s="6"/>
    </row>
    <row r="108" ht="21" customHeight="1" spans="1:23">
      <c r="C108" s="10"/>
      <c r="E108" s="10"/>
      <c r="F108" s="40"/>
      <c r="G108" s="10"/>
      <c r="H108" s="10"/>
      <c r="I108" s="10"/>
      <c r="K108" s="6"/>
      <c r="M108" s="8" t="s">
        <v>3042</v>
      </c>
      <c r="N108" s="6" t="s">
        <v>3043</v>
      </c>
      <c r="O108" s="6"/>
      <c r="P108" s="40"/>
      <c r="Q108" s="6"/>
      <c r="R108" s="6"/>
      <c r="S108" s="6"/>
      <c r="T108" s="6"/>
      <c r="U108" s="6"/>
      <c r="V108" s="6"/>
      <c r="W108" s="6"/>
    </row>
    <row r="109" ht="21" customHeight="1" spans="1:23">
      <c r="C109" s="10"/>
      <c r="E109" s="10"/>
      <c r="F109" s="40"/>
      <c r="G109" s="10"/>
      <c r="H109" s="10"/>
      <c r="I109" s="10"/>
      <c r="K109" s="6"/>
      <c r="M109" s="8" t="s">
        <v>3044</v>
      </c>
      <c r="N109" s="6" t="s">
        <v>3045</v>
      </c>
      <c r="O109" s="6"/>
      <c r="P109" s="40"/>
      <c r="Q109" s="6"/>
      <c r="R109" s="6"/>
      <c r="S109" s="6"/>
      <c r="T109" s="6"/>
      <c r="U109" s="6"/>
      <c r="V109" s="6"/>
      <c r="W109" s="6"/>
    </row>
    <row r="110" ht="21" customHeight="1" spans="1:23">
      <c r="A110" s="6" t="s">
        <v>207</v>
      </c>
      <c r="B110" s="7">
        <v>46014</v>
      </c>
      <c r="C110" s="6" t="str">
        <f t="shared" ref="C110:C122" si="3">YEAR(B110)&amp;"年"&amp;MONTH(B110)&amp;"月"</f>
        <v>2025年12月</v>
      </c>
      <c r="D110" s="6" t="s">
        <v>11</v>
      </c>
      <c r="E110" s="40" t="s">
        <v>1321</v>
      </c>
      <c r="F110" s="40" t="s">
        <v>40</v>
      </c>
      <c r="G110" s="140" t="s">
        <v>3046</v>
      </c>
      <c r="H110" s="6" t="s">
        <v>82</v>
      </c>
      <c r="I110" s="141">
        <v>62753</v>
      </c>
      <c r="J110" s="6" t="s">
        <v>149</v>
      </c>
      <c r="K110" s="6"/>
      <c r="L110" s="6"/>
      <c r="M110" s="8" t="s">
        <v>3047</v>
      </c>
      <c r="N110" s="6" t="s">
        <v>3048</v>
      </c>
      <c r="O110" s="6" t="s">
        <v>685</v>
      </c>
      <c r="P110" s="40"/>
      <c r="Q110" s="6"/>
      <c r="R110" s="6"/>
      <c r="S110" s="6"/>
      <c r="T110" s="6"/>
      <c r="U110" s="6"/>
      <c r="V110" s="6"/>
      <c r="W110" s="6"/>
    </row>
    <row r="111" ht="21" customHeight="1" spans="1:23">
      <c r="A111" s="6" t="s">
        <v>207</v>
      </c>
      <c r="B111" s="7">
        <v>46014</v>
      </c>
      <c r="C111" s="6" t="str">
        <f t="shared" si="3"/>
        <v>2025年12月</v>
      </c>
      <c r="D111" s="6" t="s">
        <v>11</v>
      </c>
      <c r="E111" s="40" t="s">
        <v>1321</v>
      </c>
      <c r="F111" s="40" t="s">
        <v>40</v>
      </c>
      <c r="G111" s="140" t="s">
        <v>3049</v>
      </c>
      <c r="H111" s="6" t="s">
        <v>82</v>
      </c>
      <c r="I111" s="141">
        <v>94590</v>
      </c>
      <c r="J111" s="6" t="s">
        <v>149</v>
      </c>
      <c r="K111" s="6"/>
      <c r="L111" s="6"/>
      <c r="M111" s="8" t="s">
        <v>3050</v>
      </c>
      <c r="N111" s="6" t="s">
        <v>3051</v>
      </c>
      <c r="O111" s="6" t="s">
        <v>685</v>
      </c>
      <c r="P111" s="40"/>
      <c r="Q111" s="6"/>
      <c r="R111" s="6"/>
      <c r="S111" s="6"/>
      <c r="T111" s="6"/>
      <c r="U111" s="6"/>
      <c r="V111" s="6"/>
      <c r="W111" s="6"/>
    </row>
    <row r="112" ht="21" customHeight="1" spans="1:23">
      <c r="A112" s="6" t="s">
        <v>207</v>
      </c>
      <c r="B112" s="7">
        <v>46015</v>
      </c>
      <c r="C112" s="6" t="str">
        <f t="shared" si="3"/>
        <v>2025年12月</v>
      </c>
      <c r="D112" s="6" t="s">
        <v>11</v>
      </c>
      <c r="E112" s="40" t="s">
        <v>1321</v>
      </c>
      <c r="F112" s="40" t="s">
        <v>40</v>
      </c>
      <c r="G112" s="140" t="s">
        <v>3052</v>
      </c>
      <c r="H112" s="6" t="s">
        <v>82</v>
      </c>
      <c r="I112" s="141">
        <v>69466</v>
      </c>
      <c r="J112" s="6" t="s">
        <v>149</v>
      </c>
      <c r="K112" s="6"/>
      <c r="L112" s="6"/>
      <c r="M112" s="8" t="s">
        <v>3053</v>
      </c>
      <c r="N112" s="6" t="s">
        <v>3054</v>
      </c>
      <c r="O112" s="6" t="s">
        <v>685</v>
      </c>
      <c r="P112" s="40"/>
      <c r="Q112" s="6"/>
      <c r="R112" s="6"/>
      <c r="S112" s="6"/>
      <c r="T112" s="6"/>
      <c r="U112" s="6"/>
      <c r="V112" s="6"/>
      <c r="W112" s="6"/>
    </row>
    <row r="113" ht="21" customHeight="1" spans="1:23">
      <c r="A113" s="6" t="s">
        <v>142</v>
      </c>
      <c r="B113" s="7">
        <v>46015</v>
      </c>
      <c r="C113" s="6" t="str">
        <f t="shared" si="3"/>
        <v>2025年12月</v>
      </c>
      <c r="D113" s="6" t="s">
        <v>11</v>
      </c>
      <c r="E113" s="40" t="s">
        <v>1321</v>
      </c>
      <c r="F113" s="40" t="s">
        <v>40</v>
      </c>
      <c r="G113" s="140" t="s">
        <v>3055</v>
      </c>
      <c r="H113" s="6" t="s">
        <v>82</v>
      </c>
      <c r="I113" s="141">
        <v>163514</v>
      </c>
      <c r="J113" s="6" t="s">
        <v>149</v>
      </c>
      <c r="K113" s="6"/>
      <c r="L113" s="6"/>
      <c r="M113" s="8" t="s">
        <v>3056</v>
      </c>
      <c r="N113" s="6" t="s">
        <v>3057</v>
      </c>
      <c r="O113" s="6" t="s">
        <v>685</v>
      </c>
      <c r="P113" s="40"/>
      <c r="Q113" s="7">
        <v>46022</v>
      </c>
      <c r="R113" s="6"/>
      <c r="S113" s="6"/>
      <c r="T113" s="6"/>
      <c r="U113" s="6"/>
      <c r="V113" s="6"/>
      <c r="W113" s="6"/>
    </row>
    <row r="114" ht="21" customHeight="1" spans="1:23">
      <c r="A114" s="6" t="s">
        <v>207</v>
      </c>
      <c r="B114" s="7">
        <v>46018</v>
      </c>
      <c r="C114" s="6" t="str">
        <f t="shared" si="3"/>
        <v>2025年12月</v>
      </c>
      <c r="D114" s="6" t="s">
        <v>11</v>
      </c>
      <c r="E114" s="40" t="s">
        <v>1321</v>
      </c>
      <c r="F114" s="40" t="s">
        <v>40</v>
      </c>
      <c r="G114" s="140" t="s">
        <v>3058</v>
      </c>
      <c r="H114" s="6" t="s">
        <v>82</v>
      </c>
      <c r="I114" s="141">
        <v>177869.39</v>
      </c>
      <c r="J114" s="6" t="s">
        <v>149</v>
      </c>
      <c r="K114" s="6"/>
      <c r="L114" s="6"/>
      <c r="M114" s="8" t="s">
        <v>2262</v>
      </c>
      <c r="N114" s="6" t="s">
        <v>3059</v>
      </c>
      <c r="O114" s="6" t="s">
        <v>685</v>
      </c>
      <c r="P114" s="40"/>
      <c r="Q114" s="6"/>
      <c r="R114" s="6"/>
      <c r="S114" s="6"/>
      <c r="T114" s="6"/>
      <c r="U114" s="6"/>
      <c r="V114" s="6"/>
      <c r="W114" s="6"/>
    </row>
    <row r="115" ht="21" customHeight="1" spans="1:23">
      <c r="A115" s="6" t="s">
        <v>142</v>
      </c>
      <c r="B115" s="7">
        <v>46020</v>
      </c>
      <c r="C115" s="6" t="str">
        <f t="shared" si="3"/>
        <v>2025年12月</v>
      </c>
      <c r="D115" s="6" t="s">
        <v>11</v>
      </c>
      <c r="E115" s="40" t="s">
        <v>1321</v>
      </c>
      <c r="F115" s="40" t="s">
        <v>40</v>
      </c>
      <c r="G115" s="140" t="s">
        <v>3060</v>
      </c>
      <c r="H115" s="6" t="s">
        <v>82</v>
      </c>
      <c r="I115" s="141">
        <v>27500</v>
      </c>
      <c r="J115" s="6" t="s">
        <v>149</v>
      </c>
      <c r="K115" s="6"/>
      <c r="L115" s="6"/>
      <c r="M115" s="8" t="s">
        <v>3061</v>
      </c>
      <c r="N115" s="6" t="s">
        <v>3062</v>
      </c>
      <c r="O115" s="6" t="s">
        <v>685</v>
      </c>
      <c r="P115" s="40"/>
      <c r="Q115" s="6"/>
      <c r="R115" s="6"/>
      <c r="S115" s="6"/>
      <c r="T115" s="6"/>
      <c r="U115" s="6"/>
      <c r="V115" s="6"/>
      <c r="W115" s="6"/>
    </row>
    <row r="116" ht="21" customHeight="1" spans="1:23">
      <c r="A116" s="6" t="s">
        <v>142</v>
      </c>
      <c r="B116" s="7">
        <v>46020</v>
      </c>
      <c r="C116" s="6" t="str">
        <f t="shared" si="3"/>
        <v>2025年12月</v>
      </c>
      <c r="D116" s="6" t="s">
        <v>11</v>
      </c>
      <c r="E116" s="40" t="s">
        <v>1321</v>
      </c>
      <c r="F116" s="40" t="s">
        <v>40</v>
      </c>
      <c r="G116" s="140" t="s">
        <v>3063</v>
      </c>
      <c r="H116" s="6" t="s">
        <v>82</v>
      </c>
      <c r="I116" s="149">
        <v>127427</v>
      </c>
      <c r="J116" s="6" t="s">
        <v>149</v>
      </c>
      <c r="K116" s="6"/>
      <c r="L116" s="6"/>
      <c r="M116" s="8" t="s">
        <v>3039</v>
      </c>
      <c r="N116" s="6" t="s">
        <v>3040</v>
      </c>
      <c r="O116" s="6" t="s">
        <v>685</v>
      </c>
      <c r="P116" s="40"/>
      <c r="Q116" s="6"/>
      <c r="R116" s="6"/>
      <c r="S116" s="6"/>
      <c r="T116" s="6"/>
      <c r="U116" s="6"/>
      <c r="V116" s="6"/>
      <c r="W116" s="6"/>
    </row>
    <row r="117" ht="14" spans="1:23">
      <c r="A117" s="6" t="s">
        <v>207</v>
      </c>
      <c r="B117" s="7">
        <v>46021</v>
      </c>
      <c r="C117" s="6" t="str">
        <f t="shared" si="3"/>
        <v>2025年12月</v>
      </c>
      <c r="D117" s="6" t="s">
        <v>11</v>
      </c>
      <c r="E117" s="40" t="s">
        <v>1321</v>
      </c>
      <c r="F117" s="40" t="s">
        <v>52</v>
      </c>
      <c r="G117" s="155" t="s">
        <v>3064</v>
      </c>
      <c r="H117" s="6" t="s">
        <v>82</v>
      </c>
      <c r="I117" s="141" t="s">
        <v>2232</v>
      </c>
      <c r="J117" s="6" t="s">
        <v>2232</v>
      </c>
      <c r="K117" s="6"/>
      <c r="L117" s="6"/>
      <c r="M117" s="8" t="s">
        <v>1703</v>
      </c>
      <c r="N117" s="109" t="s">
        <v>1705</v>
      </c>
      <c r="O117" s="6" t="s">
        <v>685</v>
      </c>
      <c r="P117" s="40"/>
      <c r="Q117" s="6"/>
      <c r="R117" s="6"/>
      <c r="S117" s="6"/>
      <c r="T117" s="6"/>
      <c r="U117" s="6"/>
      <c r="V117" s="6"/>
      <c r="W117" s="6"/>
    </row>
    <row r="118" ht="28" spans="1:23">
      <c r="A118" s="6" t="s">
        <v>207</v>
      </c>
      <c r="B118" s="7">
        <v>46022</v>
      </c>
      <c r="C118" s="6" t="str">
        <f t="shared" si="3"/>
        <v>2025年12月</v>
      </c>
      <c r="D118" s="6" t="s">
        <v>10</v>
      </c>
      <c r="E118" s="40"/>
      <c r="F118" s="40" t="s">
        <v>39</v>
      </c>
      <c r="G118" s="140" t="s">
        <v>3065</v>
      </c>
      <c r="H118" s="6" t="s">
        <v>82</v>
      </c>
      <c r="I118" s="141">
        <v>671</v>
      </c>
      <c r="J118" s="6" t="s">
        <v>173</v>
      </c>
      <c r="K118" s="6"/>
      <c r="L118" s="6"/>
      <c r="M118" s="8" t="s">
        <v>3066</v>
      </c>
      <c r="N118" s="6" t="s">
        <v>3067</v>
      </c>
      <c r="O118" s="6" t="s">
        <v>1923</v>
      </c>
      <c r="P118" s="40"/>
      <c r="Q118" s="6"/>
      <c r="R118" s="6"/>
      <c r="S118" s="6"/>
      <c r="T118" s="6"/>
      <c r="U118" s="6"/>
      <c r="V118" s="6"/>
      <c r="W118" s="6"/>
    </row>
    <row r="119" ht="28" spans="1:23">
      <c r="A119" s="6" t="s">
        <v>207</v>
      </c>
      <c r="B119" s="7">
        <v>46022</v>
      </c>
      <c r="C119" s="6" t="str">
        <f t="shared" si="3"/>
        <v>2025年12月</v>
      </c>
      <c r="D119" s="6" t="s">
        <v>10</v>
      </c>
      <c r="E119" s="40" t="s">
        <v>3068</v>
      </c>
      <c r="F119" s="40" t="s">
        <v>39</v>
      </c>
      <c r="G119" s="140" t="s">
        <v>3069</v>
      </c>
      <c r="H119" s="6" t="s">
        <v>82</v>
      </c>
      <c r="I119" s="141">
        <v>544.34</v>
      </c>
      <c r="J119" s="6" t="s">
        <v>139</v>
      </c>
      <c r="K119" s="6"/>
      <c r="L119" s="6"/>
      <c r="M119" s="8" t="s">
        <v>1920</v>
      </c>
      <c r="N119" s="6" t="s">
        <v>1922</v>
      </c>
      <c r="O119" s="6" t="s">
        <v>1923</v>
      </c>
      <c r="P119" s="40"/>
      <c r="Q119" s="6"/>
      <c r="R119" s="6"/>
      <c r="S119" s="6"/>
      <c r="T119" s="6"/>
      <c r="U119" s="6"/>
      <c r="V119" s="6"/>
      <c r="W119" s="6"/>
    </row>
    <row r="120" ht="14" spans="1:23">
      <c r="A120" s="6" t="s">
        <v>142</v>
      </c>
      <c r="B120" s="7">
        <v>46029</v>
      </c>
      <c r="C120" s="6" t="str">
        <f t="shared" si="3"/>
        <v>2026年1月</v>
      </c>
      <c r="D120" s="6" t="s">
        <v>11</v>
      </c>
      <c r="E120" s="40"/>
      <c r="F120" s="40" t="s">
        <v>40</v>
      </c>
      <c r="G120" s="140" t="s">
        <v>3070</v>
      </c>
      <c r="H120" s="6" t="s">
        <v>82</v>
      </c>
      <c r="I120" s="154">
        <v>229674</v>
      </c>
      <c r="J120" s="6" t="s">
        <v>149</v>
      </c>
      <c r="K120" s="6"/>
      <c r="L120" s="6"/>
      <c r="M120" s="8" t="s">
        <v>3071</v>
      </c>
      <c r="N120" s="6" t="s">
        <v>3072</v>
      </c>
      <c r="O120" s="6"/>
      <c r="P120" s="40"/>
      <c r="Q120" s="7">
        <v>46038</v>
      </c>
      <c r="R120" s="6" t="s">
        <v>2237</v>
      </c>
      <c r="S120" s="6"/>
      <c r="T120" s="6"/>
      <c r="U120" s="6"/>
      <c r="V120" s="6"/>
      <c r="W120" s="6"/>
    </row>
    <row r="121" ht="21" customHeight="1" spans="1:23">
      <c r="A121" s="6" t="s">
        <v>207</v>
      </c>
      <c r="B121" s="7">
        <v>46029</v>
      </c>
      <c r="C121" s="6" t="str">
        <f t="shared" si="3"/>
        <v>2026年1月</v>
      </c>
      <c r="D121" s="6" t="s">
        <v>11</v>
      </c>
      <c r="E121" s="40" t="s">
        <v>1321</v>
      </c>
      <c r="F121" s="40" t="s">
        <v>40</v>
      </c>
      <c r="G121" s="140" t="s">
        <v>3073</v>
      </c>
      <c r="H121" s="6" t="s">
        <v>82</v>
      </c>
      <c r="I121" s="136">
        <v>161113.3</v>
      </c>
      <c r="J121" s="6" t="s">
        <v>149</v>
      </c>
      <c r="K121" s="6"/>
      <c r="L121" s="6"/>
      <c r="M121" s="8" t="s">
        <v>3074</v>
      </c>
      <c r="N121" s="6" t="s">
        <v>3075</v>
      </c>
      <c r="O121" s="6" t="s">
        <v>685</v>
      </c>
      <c r="P121" s="40"/>
      <c r="Q121" s="6"/>
      <c r="R121" s="6"/>
      <c r="S121" s="6"/>
      <c r="T121" s="6"/>
      <c r="U121" s="6"/>
      <c r="V121" s="6"/>
      <c r="W121" s="6"/>
    </row>
    <row r="122" ht="21" customHeight="1" spans="1:23">
      <c r="A122" s="6" t="s">
        <v>142</v>
      </c>
      <c r="B122" s="156">
        <v>46031</v>
      </c>
      <c r="C122" s="6" t="str">
        <f t="shared" si="3"/>
        <v>2026年1月</v>
      </c>
      <c r="D122" s="6" t="s">
        <v>11</v>
      </c>
      <c r="E122" s="40"/>
      <c r="F122" s="40" t="s">
        <v>39</v>
      </c>
      <c r="G122" s="140" t="s">
        <v>3076</v>
      </c>
      <c r="H122" s="6" t="s">
        <v>82</v>
      </c>
      <c r="I122" s="154">
        <v>762685</v>
      </c>
      <c r="J122" s="6" t="s">
        <v>173</v>
      </c>
      <c r="K122" s="6"/>
      <c r="L122" s="6"/>
      <c r="M122" s="8" t="s">
        <v>2227</v>
      </c>
      <c r="N122" s="6"/>
      <c r="O122" s="6"/>
      <c r="P122" s="40"/>
      <c r="Q122" s="6"/>
      <c r="R122" s="6"/>
      <c r="S122" s="6"/>
      <c r="T122" s="6"/>
      <c r="U122" s="6"/>
      <c r="V122" s="6"/>
      <c r="W122" s="6"/>
    </row>
    <row r="123" ht="21" customHeight="1" spans="1:23">
      <c r="C123" s="10"/>
      <c r="E123" s="40"/>
      <c r="F123" s="40"/>
      <c r="G123" s="10"/>
      <c r="H123" s="10"/>
      <c r="I123" s="10"/>
      <c r="K123" s="6"/>
      <c r="L123" s="6"/>
      <c r="M123" s="6"/>
      <c r="N123" s="6"/>
      <c r="O123" s="6"/>
      <c r="P123" s="40"/>
      <c r="Q123" s="6"/>
      <c r="R123" s="6"/>
      <c r="S123" s="6"/>
      <c r="T123" s="6"/>
      <c r="U123" s="6"/>
      <c r="V123" s="6"/>
      <c r="W123" s="6"/>
    </row>
    <row r="124" ht="21" customHeight="1" spans="1:23">
      <c r="A124" s="6" t="s">
        <v>207</v>
      </c>
      <c r="B124" s="7">
        <v>46034</v>
      </c>
      <c r="C124" s="6" t="str">
        <f t="shared" ref="C124:C142" si="4">YEAR(B124)&amp;"年"&amp;MONTH(B124)&amp;"月"</f>
        <v>2026年1月</v>
      </c>
      <c r="D124" s="6" t="s">
        <v>10</v>
      </c>
      <c r="E124" s="40"/>
      <c r="F124" s="40" t="s">
        <v>3077</v>
      </c>
      <c r="G124" s="140" t="s">
        <v>3078</v>
      </c>
      <c r="H124" s="6" t="s">
        <v>82</v>
      </c>
      <c r="I124" s="141" t="s">
        <v>2232</v>
      </c>
      <c r="J124" s="6" t="s">
        <v>2232</v>
      </c>
      <c r="K124" s="6"/>
      <c r="L124" s="6"/>
      <c r="M124" s="8" t="s">
        <v>3079</v>
      </c>
      <c r="N124" s="6" t="s">
        <v>3080</v>
      </c>
      <c r="O124" s="6" t="s">
        <v>833</v>
      </c>
      <c r="P124" s="40"/>
      <c r="Q124" s="7">
        <v>46043</v>
      </c>
      <c r="R124" s="7">
        <v>46044</v>
      </c>
      <c r="S124" s="6"/>
      <c r="T124" s="6"/>
      <c r="U124" s="6"/>
      <c r="V124" s="6"/>
      <c r="W124" s="6"/>
    </row>
    <row r="125" ht="28" spans="1:23">
      <c r="A125" s="6" t="s">
        <v>142</v>
      </c>
      <c r="B125" s="7">
        <v>46034</v>
      </c>
      <c r="C125" s="6" t="str">
        <f t="shared" si="4"/>
        <v>2026年1月</v>
      </c>
      <c r="D125" s="6" t="s">
        <v>12</v>
      </c>
      <c r="E125" s="40"/>
      <c r="F125" s="40" t="s">
        <v>48</v>
      </c>
      <c r="G125" s="140" t="s">
        <v>3081</v>
      </c>
      <c r="H125" s="6" t="s">
        <v>82</v>
      </c>
      <c r="I125" s="154">
        <v>479000</v>
      </c>
      <c r="J125" s="6" t="s">
        <v>173</v>
      </c>
      <c r="K125" s="6"/>
      <c r="L125" s="6" t="s">
        <v>1693</v>
      </c>
      <c r="M125" s="8" t="s">
        <v>1071</v>
      </c>
      <c r="N125" s="6" t="s">
        <v>1072</v>
      </c>
      <c r="O125" s="6"/>
      <c r="P125" s="40"/>
      <c r="Q125" s="6"/>
      <c r="R125" s="6"/>
      <c r="S125" s="6"/>
      <c r="T125" s="6"/>
      <c r="U125" s="6"/>
      <c r="V125" s="6"/>
      <c r="W125" s="6"/>
    </row>
    <row r="126" ht="21" customHeight="1" spans="1:23">
      <c r="A126" s="6" t="s">
        <v>207</v>
      </c>
      <c r="B126" s="7">
        <v>46034</v>
      </c>
      <c r="C126" s="6" t="str">
        <f t="shared" si="4"/>
        <v>2026年1月</v>
      </c>
      <c r="D126" s="6" t="s">
        <v>11</v>
      </c>
      <c r="E126" s="40"/>
      <c r="F126" s="40" t="s">
        <v>40</v>
      </c>
      <c r="G126" s="140" t="s">
        <v>3082</v>
      </c>
      <c r="H126" s="6" t="s">
        <v>82</v>
      </c>
      <c r="I126" s="141" t="s">
        <v>2232</v>
      </c>
      <c r="J126" s="6" t="s">
        <v>2232</v>
      </c>
      <c r="K126" s="6"/>
      <c r="L126" s="6"/>
      <c r="M126" s="8" t="s">
        <v>3083</v>
      </c>
      <c r="N126" s="6" t="s">
        <v>3084</v>
      </c>
      <c r="O126" s="6" t="s">
        <v>685</v>
      </c>
      <c r="P126" s="40"/>
      <c r="Q126" s="6"/>
      <c r="R126" s="6"/>
      <c r="S126" s="6"/>
      <c r="T126" s="6"/>
      <c r="U126" s="6"/>
      <c r="V126" s="6"/>
      <c r="W126" s="6"/>
    </row>
    <row r="127" ht="21" customHeight="1" spans="1:23">
      <c r="A127" s="6" t="s">
        <v>142</v>
      </c>
      <c r="B127" s="7">
        <v>46035</v>
      </c>
      <c r="C127" s="6" t="str">
        <f t="shared" si="4"/>
        <v>2026年1月</v>
      </c>
      <c r="D127" s="6" t="s">
        <v>10</v>
      </c>
      <c r="E127" s="40"/>
      <c r="F127" s="40" t="s">
        <v>46</v>
      </c>
      <c r="G127" s="140" t="s">
        <v>3085</v>
      </c>
      <c r="H127" s="6" t="s">
        <v>82</v>
      </c>
      <c r="I127" s="141" t="s">
        <v>2232</v>
      </c>
      <c r="J127" s="6" t="s">
        <v>2232</v>
      </c>
      <c r="K127" s="6"/>
      <c r="L127" s="6"/>
      <c r="M127" s="6"/>
      <c r="N127" s="6"/>
      <c r="O127" s="6"/>
      <c r="P127" s="40"/>
      <c r="Q127" s="6"/>
      <c r="R127" s="6"/>
      <c r="S127" s="6"/>
      <c r="T127" s="6"/>
      <c r="U127" s="6"/>
      <c r="V127" s="6"/>
      <c r="W127" s="6"/>
    </row>
    <row r="128" ht="21" customHeight="1" spans="1:23">
      <c r="A128" s="6" t="s">
        <v>207</v>
      </c>
      <c r="B128" s="7">
        <v>46037</v>
      </c>
      <c r="C128" s="6" t="str">
        <f t="shared" si="4"/>
        <v>2026年1月</v>
      </c>
      <c r="D128" s="6" t="s">
        <v>11</v>
      </c>
      <c r="E128" s="40"/>
      <c r="F128" s="40" t="s">
        <v>48</v>
      </c>
      <c r="G128" s="140" t="s">
        <v>3086</v>
      </c>
      <c r="H128" s="6" t="s">
        <v>82</v>
      </c>
      <c r="I128" s="141">
        <v>858794.17</v>
      </c>
      <c r="J128" s="6" t="s">
        <v>173</v>
      </c>
      <c r="K128" s="6"/>
      <c r="L128" s="6"/>
      <c r="M128" s="8" t="s">
        <v>3087</v>
      </c>
      <c r="N128" s="6" t="s">
        <v>3088</v>
      </c>
      <c r="O128" s="6" t="s">
        <v>1914</v>
      </c>
      <c r="P128" s="40"/>
      <c r="Q128" s="6"/>
      <c r="R128" s="6"/>
      <c r="S128" s="6"/>
      <c r="T128" s="6"/>
      <c r="U128" s="6"/>
      <c r="V128" s="6"/>
      <c r="W128" s="6"/>
    </row>
    <row r="129" ht="21" customHeight="1" spans="1:23">
      <c r="A129" s="6" t="s">
        <v>142</v>
      </c>
      <c r="B129" s="7">
        <v>46037</v>
      </c>
      <c r="C129" s="6" t="str">
        <f t="shared" si="4"/>
        <v>2026年1月</v>
      </c>
      <c r="D129" s="6" t="s">
        <v>11</v>
      </c>
      <c r="E129" s="40"/>
      <c r="F129" s="40" t="s">
        <v>40</v>
      </c>
      <c r="G129" s="140" t="s">
        <v>3089</v>
      </c>
      <c r="H129" s="6" t="s">
        <v>82</v>
      </c>
      <c r="I129" s="141">
        <v>95000</v>
      </c>
      <c r="J129" s="6" t="s">
        <v>149</v>
      </c>
      <c r="K129" s="6"/>
      <c r="L129" s="6"/>
      <c r="M129" s="8" t="s">
        <v>3090</v>
      </c>
      <c r="N129" s="6" t="s">
        <v>3091</v>
      </c>
      <c r="O129" s="6" t="s">
        <v>85</v>
      </c>
      <c r="P129" s="40"/>
      <c r="Q129" s="7">
        <v>46044</v>
      </c>
      <c r="R129" s="6" t="s">
        <v>3092</v>
      </c>
      <c r="S129" s="6"/>
      <c r="T129" s="6"/>
      <c r="U129" s="6"/>
      <c r="V129" s="6"/>
      <c r="W129" s="6"/>
    </row>
    <row r="130" ht="21" customHeight="1" spans="1:23">
      <c r="A130" s="6" t="s">
        <v>207</v>
      </c>
      <c r="B130" s="7">
        <v>46042</v>
      </c>
      <c r="C130" s="6" t="str">
        <f t="shared" si="4"/>
        <v>2026年1月</v>
      </c>
      <c r="D130" s="6" t="s">
        <v>12</v>
      </c>
      <c r="E130" s="40"/>
      <c r="F130" s="40" t="s">
        <v>48</v>
      </c>
      <c r="G130" s="140" t="s">
        <v>3093</v>
      </c>
      <c r="H130" s="6" t="s">
        <v>82</v>
      </c>
      <c r="I130" s="141">
        <v>1768729.79</v>
      </c>
      <c r="J130" s="6" t="s">
        <v>173</v>
      </c>
      <c r="K130" s="6"/>
      <c r="L130" s="6"/>
      <c r="M130" s="8" t="s">
        <v>3094</v>
      </c>
      <c r="N130" s="6" t="s">
        <v>2291</v>
      </c>
      <c r="O130" s="6" t="s">
        <v>2040</v>
      </c>
      <c r="P130" s="40"/>
      <c r="Q130" s="6"/>
      <c r="R130" s="6"/>
      <c r="S130" s="6"/>
      <c r="T130" s="6"/>
      <c r="U130" s="6"/>
      <c r="V130" s="6"/>
      <c r="W130" s="6"/>
    </row>
    <row r="131" ht="21" customHeight="1" spans="1:23">
      <c r="A131" s="6" t="s">
        <v>207</v>
      </c>
      <c r="B131" s="7">
        <v>46044</v>
      </c>
      <c r="C131" s="6" t="str">
        <f t="shared" si="4"/>
        <v>2026年1月</v>
      </c>
      <c r="D131" s="6" t="s">
        <v>10</v>
      </c>
      <c r="E131" s="40"/>
      <c r="F131" s="40" t="s">
        <v>52</v>
      </c>
      <c r="G131" s="140" t="s">
        <v>3095</v>
      </c>
      <c r="H131" s="6" t="s">
        <v>82</v>
      </c>
      <c r="I131" s="141">
        <v>75</v>
      </c>
      <c r="J131" s="6" t="s">
        <v>149</v>
      </c>
      <c r="K131" s="6"/>
      <c r="L131" s="6" t="s">
        <v>3096</v>
      </c>
      <c r="M131" s="8" t="s">
        <v>3097</v>
      </c>
      <c r="N131" s="6" t="s">
        <v>3098</v>
      </c>
      <c r="O131" s="6" t="s">
        <v>1509</v>
      </c>
      <c r="P131" s="40"/>
      <c r="Q131" s="6"/>
      <c r="R131" s="6"/>
      <c r="S131" s="6"/>
      <c r="T131" s="6"/>
      <c r="U131" s="6"/>
      <c r="V131" s="6"/>
      <c r="W131" s="6"/>
    </row>
    <row r="132" ht="21" customHeight="1" spans="1:23">
      <c r="A132" s="6" t="s">
        <v>142</v>
      </c>
      <c r="B132" s="7">
        <v>46055</v>
      </c>
      <c r="C132" s="6" t="str">
        <f t="shared" si="4"/>
        <v>2026年2月</v>
      </c>
      <c r="D132" s="6" t="s">
        <v>11</v>
      </c>
      <c r="E132" s="40"/>
      <c r="F132" s="40" t="s">
        <v>3099</v>
      </c>
      <c r="G132" s="140" t="s">
        <v>3100</v>
      </c>
      <c r="H132" s="6" t="s">
        <v>82</v>
      </c>
      <c r="I132" s="141">
        <v>99000000</v>
      </c>
      <c r="J132" s="6" t="s">
        <v>3101</v>
      </c>
      <c r="K132" s="6"/>
      <c r="L132" s="6"/>
      <c r="M132" s="8" t="s">
        <v>3102</v>
      </c>
      <c r="N132" s="6" t="s">
        <v>3103</v>
      </c>
      <c r="O132" s="6"/>
      <c r="P132" s="40"/>
      <c r="Q132" s="6"/>
      <c r="R132" s="6"/>
      <c r="S132" s="6"/>
      <c r="T132" s="6"/>
      <c r="U132" s="6"/>
      <c r="V132" s="6"/>
      <c r="W132" s="6"/>
    </row>
    <row r="133" ht="21" customHeight="1" spans="1:23">
      <c r="A133" s="6" t="s">
        <v>207</v>
      </c>
      <c r="B133" s="7">
        <v>46064</v>
      </c>
      <c r="C133" s="6" t="str">
        <f t="shared" si="4"/>
        <v>2026年2月</v>
      </c>
      <c r="D133" s="6" t="s">
        <v>10</v>
      </c>
      <c r="E133" s="40"/>
      <c r="F133" s="40" t="s">
        <v>52</v>
      </c>
      <c r="G133" s="140" t="s">
        <v>3104</v>
      </c>
      <c r="H133" s="6" t="s">
        <v>82</v>
      </c>
      <c r="I133" s="141" t="s">
        <v>2232</v>
      </c>
      <c r="J133" s="141" t="s">
        <v>2232</v>
      </c>
      <c r="K133" s="6"/>
      <c r="L133" s="6" t="s">
        <v>3096</v>
      </c>
      <c r="M133" s="8" t="s">
        <v>3105</v>
      </c>
      <c r="N133" s="6" t="s">
        <v>3106</v>
      </c>
      <c r="O133" s="6" t="s">
        <v>774</v>
      </c>
      <c r="P133" s="40"/>
      <c r="Q133" s="6"/>
      <c r="R133" s="6"/>
      <c r="S133" s="6"/>
      <c r="T133" s="6"/>
      <c r="U133" s="6"/>
      <c r="V133" s="6"/>
      <c r="W133" s="6"/>
    </row>
    <row r="134" ht="21" customHeight="1" spans="1:23">
      <c r="A134" s="6" t="s">
        <v>142</v>
      </c>
      <c r="B134" s="7">
        <v>46064</v>
      </c>
      <c r="C134" s="6" t="str">
        <f t="shared" si="4"/>
        <v>2026年2月</v>
      </c>
      <c r="D134" s="6" t="s">
        <v>11</v>
      </c>
      <c r="E134" s="40"/>
      <c r="F134" s="40" t="s">
        <v>48</v>
      </c>
      <c r="G134" s="140" t="s">
        <v>3107</v>
      </c>
      <c r="H134" s="6" t="s">
        <v>82</v>
      </c>
      <c r="I134" s="149">
        <v>174933.02</v>
      </c>
      <c r="J134" s="6" t="s">
        <v>173</v>
      </c>
      <c r="K134" s="6"/>
      <c r="L134" s="6"/>
      <c r="M134" s="8" t="s">
        <v>3108</v>
      </c>
      <c r="N134" s="6" t="s">
        <v>3109</v>
      </c>
      <c r="O134" s="6"/>
      <c r="P134" s="40"/>
      <c r="Q134" s="6"/>
      <c r="R134" s="6"/>
      <c r="S134" s="6"/>
      <c r="T134" s="6"/>
      <c r="U134" s="6"/>
      <c r="V134" s="6"/>
      <c r="W134" s="6"/>
    </row>
    <row r="135" ht="21" customHeight="1" spans="1:23">
      <c r="A135" s="6" t="s">
        <v>142</v>
      </c>
      <c r="B135" s="7">
        <v>46065</v>
      </c>
      <c r="C135" s="6" t="str">
        <f t="shared" si="4"/>
        <v>2026年2月</v>
      </c>
      <c r="D135" s="6" t="s">
        <v>12</v>
      </c>
      <c r="E135" s="40"/>
      <c r="F135" s="40" t="s">
        <v>39</v>
      </c>
      <c r="G135" s="140" t="s">
        <v>3110</v>
      </c>
      <c r="H135" s="6" t="s">
        <v>82</v>
      </c>
      <c r="I135" s="141">
        <v>81358.9</v>
      </c>
      <c r="J135" s="6" t="s">
        <v>173</v>
      </c>
      <c r="K135" s="6"/>
      <c r="L135" s="6"/>
      <c r="M135" s="6"/>
      <c r="N135" s="6"/>
      <c r="O135" s="6"/>
      <c r="P135" s="40"/>
      <c r="Q135" s="7">
        <v>46077</v>
      </c>
      <c r="R135" s="6" t="s">
        <v>3111</v>
      </c>
      <c r="S135" s="6"/>
      <c r="T135" s="6"/>
      <c r="U135" s="6"/>
      <c r="V135" s="6"/>
      <c r="W135" s="6"/>
    </row>
    <row r="136" ht="21" customHeight="1" spans="1:23">
      <c r="A136" s="6" t="s">
        <v>142</v>
      </c>
      <c r="B136" s="7">
        <v>46065</v>
      </c>
      <c r="C136" s="6" t="str">
        <f t="shared" si="4"/>
        <v>2026年2月</v>
      </c>
      <c r="D136" s="6" t="s">
        <v>12</v>
      </c>
      <c r="E136" s="40"/>
      <c r="F136" s="40" t="s">
        <v>48</v>
      </c>
      <c r="G136" s="157" t="s">
        <v>3112</v>
      </c>
      <c r="H136" s="6" t="s">
        <v>82</v>
      </c>
      <c r="I136" s="141">
        <v>3959955</v>
      </c>
      <c r="J136" s="6" t="s">
        <v>173</v>
      </c>
      <c r="K136" s="6"/>
      <c r="L136" s="6"/>
      <c r="M136" s="71" t="s">
        <v>3113</v>
      </c>
      <c r="N136" s="6" t="s">
        <v>3114</v>
      </c>
      <c r="O136" s="6"/>
      <c r="P136" s="40"/>
      <c r="Q136" s="6"/>
      <c r="R136" s="6"/>
      <c r="S136" s="6"/>
      <c r="T136" s="6"/>
      <c r="U136" s="6"/>
      <c r="V136" s="6"/>
      <c r="W136" s="6"/>
    </row>
    <row r="137" ht="70" spans="1:23">
      <c r="A137" s="6" t="s">
        <v>142</v>
      </c>
      <c r="B137" s="7">
        <v>46069</v>
      </c>
      <c r="C137" s="6" t="str">
        <f t="shared" si="4"/>
        <v>2026年2月</v>
      </c>
      <c r="D137" s="6" t="s">
        <v>12</v>
      </c>
      <c r="E137" s="40"/>
      <c r="F137" s="40" t="s">
        <v>48</v>
      </c>
      <c r="G137" s="140" t="s">
        <v>3115</v>
      </c>
      <c r="H137" s="6" t="s">
        <v>82</v>
      </c>
      <c r="I137" s="149">
        <v>907938.53</v>
      </c>
      <c r="J137" s="6" t="s">
        <v>173</v>
      </c>
      <c r="K137" s="6"/>
      <c r="L137" s="6"/>
      <c r="M137" s="8" t="s">
        <v>3116</v>
      </c>
      <c r="N137" s="6" t="s">
        <v>3117</v>
      </c>
      <c r="O137" s="6"/>
      <c r="P137" s="40"/>
      <c r="Q137" s="6"/>
      <c r="R137" s="6"/>
      <c r="S137" s="6"/>
      <c r="T137" s="6"/>
      <c r="U137" s="6"/>
      <c r="V137" s="6"/>
      <c r="W137" s="6"/>
    </row>
    <row r="138" ht="21" customHeight="1" spans="1:23">
      <c r="A138" s="6" t="s">
        <v>142</v>
      </c>
      <c r="B138" s="7">
        <v>46078</v>
      </c>
      <c r="C138" s="6" t="str">
        <f t="shared" si="4"/>
        <v>2026年2月</v>
      </c>
      <c r="D138" s="6" t="s">
        <v>12</v>
      </c>
      <c r="E138" s="40"/>
      <c r="F138" s="40" t="s">
        <v>48</v>
      </c>
      <c r="G138" s="140" t="s">
        <v>3118</v>
      </c>
      <c r="H138" s="6" t="s">
        <v>82</v>
      </c>
      <c r="I138" s="141">
        <v>160000</v>
      </c>
      <c r="J138" s="6" t="s">
        <v>173</v>
      </c>
      <c r="K138" s="6"/>
      <c r="L138" s="6"/>
      <c r="M138" s="8" t="s">
        <v>1641</v>
      </c>
      <c r="N138" s="6" t="s">
        <v>1642</v>
      </c>
      <c r="O138" s="6"/>
      <c r="P138" s="40"/>
      <c r="Q138" s="6"/>
      <c r="R138" s="6"/>
      <c r="S138" s="6"/>
      <c r="T138" s="6"/>
      <c r="U138" s="6"/>
      <c r="V138" s="6"/>
      <c r="W138" s="6"/>
    </row>
    <row r="139" ht="21" customHeight="1" spans="1:23">
      <c r="A139" s="6" t="s">
        <v>3119</v>
      </c>
      <c r="B139" s="7">
        <v>46084</v>
      </c>
      <c r="C139" s="6" t="str">
        <f t="shared" si="4"/>
        <v>2026年3月</v>
      </c>
      <c r="D139" s="6" t="s">
        <v>12</v>
      </c>
      <c r="E139" s="40"/>
      <c r="F139" s="40" t="s">
        <v>46</v>
      </c>
      <c r="G139" s="140" t="s">
        <v>3120</v>
      </c>
      <c r="H139" s="6" t="s">
        <v>82</v>
      </c>
      <c r="I139" s="149" t="s">
        <v>2232</v>
      </c>
      <c r="J139" s="6" t="s">
        <v>2232</v>
      </c>
      <c r="K139" s="6"/>
      <c r="L139" s="6"/>
      <c r="M139" s="8"/>
      <c r="N139" s="6"/>
      <c r="O139" s="6"/>
      <c r="P139" s="40"/>
      <c r="Q139" s="7">
        <v>46094</v>
      </c>
      <c r="R139" s="7">
        <v>46097</v>
      </c>
      <c r="S139" s="6"/>
      <c r="T139" s="6"/>
      <c r="U139" s="6"/>
      <c r="V139" s="6"/>
      <c r="W139" s="6"/>
    </row>
    <row r="140" ht="28" spans="1:23">
      <c r="A140" s="6" t="s">
        <v>142</v>
      </c>
      <c r="B140" s="7">
        <v>46085</v>
      </c>
      <c r="C140" s="6" t="str">
        <f t="shared" si="4"/>
        <v>2026年3月</v>
      </c>
      <c r="D140" s="6" t="s">
        <v>10</v>
      </c>
      <c r="E140" s="40"/>
      <c r="F140" s="40" t="s">
        <v>40</v>
      </c>
      <c r="G140" s="140" t="s">
        <v>3121</v>
      </c>
      <c r="H140" s="6" t="s">
        <v>82</v>
      </c>
      <c r="I140" s="154">
        <v>50500</v>
      </c>
      <c r="J140" s="6" t="s">
        <v>149</v>
      </c>
      <c r="K140" s="6"/>
      <c r="L140" s="6"/>
      <c r="M140" s="8" t="s">
        <v>2109</v>
      </c>
      <c r="N140" s="6" t="s">
        <v>3122</v>
      </c>
      <c r="O140" s="6"/>
      <c r="P140" s="40"/>
      <c r="Q140" s="6"/>
      <c r="R140" s="6"/>
      <c r="S140" s="6"/>
      <c r="T140" s="6"/>
      <c r="U140" s="6"/>
      <c r="V140" s="6"/>
      <c r="W140" s="6"/>
    </row>
    <row r="141" ht="21" customHeight="1" spans="1:23">
      <c r="A141" s="6" t="s">
        <v>142</v>
      </c>
      <c r="B141" s="7">
        <v>46086</v>
      </c>
      <c r="C141" s="6" t="str">
        <f t="shared" si="4"/>
        <v>2026年3月</v>
      </c>
      <c r="D141" s="6" t="s">
        <v>11</v>
      </c>
      <c r="E141" s="40"/>
      <c r="F141" s="40" t="s">
        <v>49</v>
      </c>
      <c r="G141" s="140" t="s">
        <v>3123</v>
      </c>
      <c r="H141" s="6" t="s">
        <v>82</v>
      </c>
      <c r="I141" s="141">
        <v>844500000</v>
      </c>
      <c r="J141" s="6" t="s">
        <v>1037</v>
      </c>
      <c r="K141" s="6"/>
      <c r="L141" s="6"/>
      <c r="M141" s="8" t="s">
        <v>2250</v>
      </c>
      <c r="N141" s="6" t="s">
        <v>2251</v>
      </c>
      <c r="O141" s="6"/>
      <c r="P141" s="40"/>
      <c r="Q141" s="6"/>
      <c r="R141" s="6"/>
      <c r="S141" s="6"/>
      <c r="T141" s="6"/>
      <c r="U141" s="6"/>
      <c r="V141" s="6"/>
      <c r="W141" s="6"/>
    </row>
    <row r="142" ht="21" customHeight="1" spans="1:23">
      <c r="A142" s="6" t="s">
        <v>3124</v>
      </c>
      <c r="B142" s="7">
        <v>46087</v>
      </c>
      <c r="C142" s="6" t="str">
        <f t="shared" si="4"/>
        <v>2026年3月</v>
      </c>
      <c r="D142" s="6" t="s">
        <v>11</v>
      </c>
      <c r="E142" s="40" t="s">
        <v>3125</v>
      </c>
      <c r="F142" s="40" t="s">
        <v>3077</v>
      </c>
      <c r="G142" s="140" t="s">
        <v>3126</v>
      </c>
      <c r="H142" s="6" t="s">
        <v>82</v>
      </c>
      <c r="I142" s="141">
        <v>12643795640</v>
      </c>
      <c r="J142" s="6" t="s">
        <v>1037</v>
      </c>
      <c r="K142" s="6"/>
      <c r="L142" s="6"/>
      <c r="M142" s="8" t="s">
        <v>3127</v>
      </c>
      <c r="N142" s="6" t="s">
        <v>3128</v>
      </c>
      <c r="O142" s="6" t="s">
        <v>111</v>
      </c>
      <c r="P142" s="40"/>
      <c r="Q142" s="6"/>
      <c r="R142" s="6"/>
      <c r="S142" s="6"/>
      <c r="T142" s="6"/>
      <c r="U142" s="6"/>
      <c r="V142" s="6"/>
      <c r="W142" s="6"/>
    </row>
    <row r="143" ht="21" customHeight="1" spans="1:23">
      <c r="C143" s="10"/>
      <c r="E143" s="10"/>
      <c r="F143" s="10"/>
      <c r="G143" s="10"/>
      <c r="H143" s="6" t="s">
        <v>82</v>
      </c>
      <c r="I143" s="10"/>
      <c r="K143" s="6"/>
      <c r="L143" s="6"/>
      <c r="M143" s="8" t="s">
        <v>3129</v>
      </c>
      <c r="N143" s="6" t="s">
        <v>3130</v>
      </c>
      <c r="O143" s="6" t="s">
        <v>2664</v>
      </c>
      <c r="P143" s="40"/>
      <c r="Q143" s="6"/>
      <c r="R143" s="6"/>
      <c r="S143" s="6"/>
      <c r="T143" s="6"/>
      <c r="U143" s="6"/>
      <c r="V143" s="6"/>
      <c r="W143" s="6"/>
    </row>
    <row r="144" ht="21" customHeight="1" spans="1:23">
      <c r="C144" s="10"/>
      <c r="E144" s="10"/>
      <c r="F144" s="10"/>
      <c r="G144" s="10"/>
      <c r="H144" s="6" t="s">
        <v>82</v>
      </c>
      <c r="I144" s="10"/>
      <c r="K144" s="6"/>
      <c r="L144" s="6"/>
      <c r="M144" s="8" t="s">
        <v>3131</v>
      </c>
      <c r="N144" s="6" t="s">
        <v>3132</v>
      </c>
      <c r="O144" s="6" t="s">
        <v>3133</v>
      </c>
      <c r="P144" s="40"/>
      <c r="Q144" s="6"/>
      <c r="R144" s="6"/>
      <c r="S144" s="6"/>
      <c r="T144" s="6"/>
      <c r="U144" s="6"/>
      <c r="V144" s="6"/>
      <c r="W144" s="6"/>
    </row>
    <row r="145" ht="21" customHeight="1" spans="1:31">
      <c r="C145" s="10"/>
      <c r="E145" s="10"/>
      <c r="F145" s="10"/>
      <c r="G145" s="10"/>
      <c r="H145" s="6" t="s">
        <v>82</v>
      </c>
      <c r="I145" s="10"/>
      <c r="K145" s="6"/>
      <c r="L145" s="6"/>
      <c r="M145" s="8" t="s">
        <v>3134</v>
      </c>
      <c r="N145" s="6" t="s">
        <v>3135</v>
      </c>
      <c r="O145" s="6" t="s">
        <v>111</v>
      </c>
      <c r="P145" s="40"/>
      <c r="Q145" s="6"/>
      <c r="R145" s="6"/>
      <c r="S145" s="6"/>
      <c r="T145" s="6"/>
      <c r="U145" s="6"/>
      <c r="V145" s="6"/>
      <c r="W145" s="6"/>
    </row>
    <row r="146" ht="21" customHeight="1" spans="1:31">
      <c r="C146" s="10"/>
      <c r="E146" s="10"/>
      <c r="F146" s="10"/>
      <c r="G146" s="10"/>
      <c r="H146" s="6" t="s">
        <v>82</v>
      </c>
      <c r="I146" s="10"/>
      <c r="K146" s="6"/>
      <c r="L146" s="6"/>
      <c r="M146" s="8" t="s">
        <v>2250</v>
      </c>
      <c r="N146" s="6" t="s">
        <v>2251</v>
      </c>
      <c r="O146" s="6" t="s">
        <v>550</v>
      </c>
      <c r="P146" s="40"/>
      <c r="Q146" s="6"/>
      <c r="R146" s="6"/>
      <c r="S146" s="6"/>
      <c r="T146" s="6"/>
      <c r="U146" s="6"/>
      <c r="V146" s="6"/>
      <c r="W146" s="6"/>
    </row>
    <row r="147" ht="21" customHeight="1" spans="1:31">
      <c r="A147" s="6" t="s">
        <v>207</v>
      </c>
      <c r="B147" s="7">
        <v>46090</v>
      </c>
      <c r="C147" s="6" t="str">
        <f t="shared" ref="C147:C154" si="5">YEAR(B147)&amp;"年"&amp;MONTH(B147)&amp;"月"</f>
        <v>2026年3月</v>
      </c>
      <c r="D147" s="6" t="s">
        <v>11</v>
      </c>
      <c r="E147" s="40"/>
      <c r="F147" s="40" t="s">
        <v>52</v>
      </c>
      <c r="G147" s="140" t="s">
        <v>3136</v>
      </c>
      <c r="H147" s="6" t="s">
        <v>82</v>
      </c>
      <c r="I147" s="149" t="s">
        <v>2232</v>
      </c>
      <c r="J147" s="6" t="s">
        <v>2232</v>
      </c>
      <c r="K147" s="6"/>
      <c r="L147" s="6"/>
      <c r="M147" s="8" t="s">
        <v>1943</v>
      </c>
      <c r="N147" s="6" t="s">
        <v>1945</v>
      </c>
      <c r="O147" s="6" t="s">
        <v>685</v>
      </c>
      <c r="P147" s="40"/>
      <c r="Q147" s="6"/>
      <c r="R147" s="6"/>
      <c r="S147" s="6"/>
      <c r="T147" s="6"/>
      <c r="U147" s="6"/>
      <c r="V147" s="6"/>
      <c r="W147" s="6"/>
    </row>
    <row r="148" ht="21" customHeight="1" spans="1:31">
      <c r="A148" s="6" t="s">
        <v>207</v>
      </c>
      <c r="B148" s="7">
        <v>46093</v>
      </c>
      <c r="C148" s="6" t="str">
        <f t="shared" si="5"/>
        <v>2026年3月</v>
      </c>
      <c r="D148" s="6" t="s">
        <v>11</v>
      </c>
      <c r="E148" s="40"/>
      <c r="F148" s="40" t="s">
        <v>52</v>
      </c>
      <c r="G148" s="140" t="s">
        <v>3137</v>
      </c>
      <c r="H148" s="6" t="s">
        <v>82</v>
      </c>
      <c r="I148" s="149" t="s">
        <v>2232</v>
      </c>
      <c r="J148" s="6" t="s">
        <v>2232</v>
      </c>
      <c r="K148" s="6"/>
      <c r="L148" s="6"/>
      <c r="M148" s="8" t="s">
        <v>1943</v>
      </c>
      <c r="N148" s="6" t="s">
        <v>1945</v>
      </c>
      <c r="O148" s="6" t="s">
        <v>685</v>
      </c>
      <c r="P148" s="40"/>
      <c r="Q148" s="6"/>
      <c r="R148" s="6"/>
      <c r="S148" s="6"/>
      <c r="T148" s="6"/>
      <c r="U148" s="6"/>
      <c r="V148" s="6"/>
      <c r="W148" s="6"/>
    </row>
    <row r="149" ht="21" customHeight="1" spans="1:31">
      <c r="A149" s="6" t="s">
        <v>2977</v>
      </c>
      <c r="B149" s="7">
        <v>46097</v>
      </c>
      <c r="C149" s="6" t="str">
        <f t="shared" si="5"/>
        <v>2026年3月</v>
      </c>
      <c r="D149" s="6" t="s">
        <v>10</v>
      </c>
      <c r="E149" s="40"/>
      <c r="F149" s="40" t="s">
        <v>46</v>
      </c>
      <c r="G149" s="140" t="s">
        <v>3120</v>
      </c>
      <c r="H149" s="6" t="s">
        <v>82</v>
      </c>
      <c r="I149" s="149" t="s">
        <v>2232</v>
      </c>
      <c r="J149" s="6" t="s">
        <v>2232</v>
      </c>
      <c r="K149" s="6"/>
      <c r="L149" s="6"/>
      <c r="M149" s="6"/>
      <c r="N149" s="6"/>
      <c r="O149" s="6"/>
      <c r="P149" s="40"/>
      <c r="Q149" s="6"/>
      <c r="R149" s="6"/>
      <c r="S149" s="6"/>
      <c r="T149" s="6"/>
      <c r="U149" s="6"/>
      <c r="V149" s="6"/>
      <c r="W149" s="6"/>
    </row>
    <row r="150" ht="21" customHeight="1" spans="1:31">
      <c r="A150" s="6" t="s">
        <v>142</v>
      </c>
      <c r="B150" s="7">
        <v>46097</v>
      </c>
      <c r="C150" s="6" t="str">
        <f t="shared" si="5"/>
        <v>2026年3月</v>
      </c>
      <c r="D150" s="6" t="s">
        <v>11</v>
      </c>
      <c r="E150" s="40"/>
      <c r="F150" s="40" t="s">
        <v>39</v>
      </c>
      <c r="G150" s="6" t="s">
        <v>3138</v>
      </c>
      <c r="H150" s="6" t="s">
        <v>82</v>
      </c>
      <c r="I150" s="141">
        <v>8755</v>
      </c>
      <c r="J150" s="6" t="s">
        <v>173</v>
      </c>
      <c r="K150" s="6"/>
      <c r="L150" s="6"/>
      <c r="M150" s="8" t="s">
        <v>3139</v>
      </c>
      <c r="N150" s="6" t="s">
        <v>3140</v>
      </c>
      <c r="O150" s="6"/>
      <c r="P150" s="40"/>
      <c r="Q150" s="6"/>
      <c r="R150" s="6"/>
      <c r="S150" s="6"/>
      <c r="T150" s="6"/>
      <c r="U150" s="6"/>
      <c r="V150" s="6"/>
      <c r="W150" s="6"/>
    </row>
    <row r="151" ht="28" spans="1:31">
      <c r="A151" s="6" t="s">
        <v>142</v>
      </c>
      <c r="B151" s="7">
        <v>46107</v>
      </c>
      <c r="C151" s="6" t="str">
        <f t="shared" si="5"/>
        <v>2026年3月</v>
      </c>
      <c r="D151" s="6" t="s">
        <v>12</v>
      </c>
      <c r="E151" s="40"/>
      <c r="F151" s="40" t="s">
        <v>48</v>
      </c>
      <c r="G151" s="140" t="s">
        <v>3141</v>
      </c>
      <c r="H151" s="6" t="s">
        <v>82</v>
      </c>
      <c r="I151" s="154">
        <v>4998915</v>
      </c>
      <c r="J151" s="6" t="s">
        <v>173</v>
      </c>
      <c r="K151" s="6"/>
      <c r="L151" s="6" t="s">
        <v>3142</v>
      </c>
      <c r="M151" s="8" t="s">
        <v>3143</v>
      </c>
      <c r="N151" s="6" t="s">
        <v>3144</v>
      </c>
      <c r="O151" s="6"/>
      <c r="P151" s="40"/>
      <c r="Q151" s="6"/>
      <c r="R151" s="6"/>
      <c r="S151" s="6"/>
      <c r="T151" s="6"/>
      <c r="U151" s="6"/>
      <c r="V151" s="6"/>
      <c r="W151" s="6"/>
    </row>
    <row r="152" ht="63.75" customHeight="1" spans="1:31">
      <c r="A152" s="6" t="s">
        <v>872</v>
      </c>
      <c r="B152" s="7">
        <v>46107</v>
      </c>
      <c r="C152" s="6" t="str">
        <f t="shared" si="5"/>
        <v>2026年3月</v>
      </c>
      <c r="D152" s="6" t="s">
        <v>11</v>
      </c>
      <c r="E152" s="40"/>
      <c r="F152" s="40" t="s">
        <v>48</v>
      </c>
      <c r="G152" s="140" t="s">
        <v>3145</v>
      </c>
      <c r="H152" s="6" t="s">
        <v>82</v>
      </c>
      <c r="I152" s="154">
        <v>1688358</v>
      </c>
      <c r="J152" s="6" t="s">
        <v>2969</v>
      </c>
      <c r="K152" s="6"/>
      <c r="L152" s="6"/>
      <c r="M152" s="8" t="s">
        <v>3108</v>
      </c>
      <c r="N152" s="6" t="s">
        <v>3109</v>
      </c>
      <c r="O152" s="6" t="s">
        <v>2364</v>
      </c>
      <c r="P152" s="40"/>
      <c r="Q152" s="6"/>
      <c r="R152" s="6"/>
      <c r="S152" s="6"/>
      <c r="T152" s="6"/>
      <c r="U152" s="6"/>
      <c r="V152" s="6"/>
      <c r="W152" s="6"/>
    </row>
    <row r="153" ht="28" spans="1:31">
      <c r="A153" s="6" t="s">
        <v>142</v>
      </c>
      <c r="B153" s="7">
        <v>46111</v>
      </c>
      <c r="C153" s="6" t="str">
        <f t="shared" si="5"/>
        <v>2026年3月</v>
      </c>
      <c r="D153" s="6" t="s">
        <v>12</v>
      </c>
      <c r="E153" s="40"/>
      <c r="F153" s="40" t="s">
        <v>48</v>
      </c>
      <c r="G153" s="140" t="s">
        <v>3146</v>
      </c>
      <c r="H153" s="6" t="s">
        <v>82</v>
      </c>
      <c r="I153" s="154">
        <v>3026000</v>
      </c>
      <c r="J153" s="6" t="s">
        <v>173</v>
      </c>
      <c r="K153" s="6"/>
      <c r="L153" s="6"/>
      <c r="M153" s="8" t="s">
        <v>3147</v>
      </c>
      <c r="N153" s="41" t="s">
        <v>3148</v>
      </c>
      <c r="O153" s="6"/>
      <c r="P153" s="40"/>
      <c r="Q153" s="6"/>
      <c r="R153" s="6"/>
      <c r="S153" s="6"/>
      <c r="T153" s="6"/>
      <c r="U153" s="6"/>
      <c r="V153" s="6"/>
      <c r="W153" s="6"/>
    </row>
    <row r="154" ht="21" customHeight="1" spans="1:31">
      <c r="A154" s="6" t="s">
        <v>3149</v>
      </c>
      <c r="B154" s="7">
        <v>46113</v>
      </c>
      <c r="C154" s="6" t="str">
        <f t="shared" si="5"/>
        <v>2026年4月</v>
      </c>
      <c r="D154" s="6" t="s">
        <v>11</v>
      </c>
      <c r="E154" s="40" t="s">
        <v>3150</v>
      </c>
      <c r="F154" s="40" t="s">
        <v>3077</v>
      </c>
      <c r="G154" s="140" t="s">
        <v>3151</v>
      </c>
      <c r="H154" s="6" t="s">
        <v>82</v>
      </c>
      <c r="I154" s="154">
        <v>3866447001</v>
      </c>
      <c r="J154" s="6" t="s">
        <v>1037</v>
      </c>
      <c r="K154" s="6"/>
      <c r="L154" s="6"/>
      <c r="M154" s="8" t="s">
        <v>3152</v>
      </c>
      <c r="N154" s="6" t="s">
        <v>3153</v>
      </c>
      <c r="O154" s="6"/>
      <c r="P154" s="40"/>
      <c r="Q154" s="6"/>
      <c r="R154" s="6"/>
      <c r="S154" s="6"/>
      <c r="T154" s="6"/>
      <c r="U154" s="6"/>
      <c r="V154" s="6"/>
      <c r="W154" s="6"/>
    </row>
    <row r="155" ht="21" customHeight="1" spans="1:31">
      <c r="C155" s="10"/>
      <c r="E155" s="10"/>
      <c r="F155" s="10"/>
      <c r="G155" s="10"/>
      <c r="H155" s="6" t="s">
        <v>82</v>
      </c>
      <c r="I155" s="10"/>
      <c r="K155" s="6"/>
      <c r="L155" s="6"/>
      <c r="M155" s="8" t="s">
        <v>3129</v>
      </c>
      <c r="N155" s="41" t="s">
        <v>3130</v>
      </c>
      <c r="O155" s="6"/>
      <c r="P155" s="40"/>
      <c r="Q155" s="6"/>
      <c r="R155" s="6"/>
      <c r="S155" s="6"/>
      <c r="T155" s="6"/>
      <c r="U155" s="6"/>
      <c r="V155" s="6"/>
      <c r="W155" s="6"/>
    </row>
    <row r="156" ht="21" customHeight="1" spans="1:31">
      <c r="C156" s="10"/>
      <c r="E156" s="10"/>
      <c r="F156" s="10"/>
      <c r="G156" s="10"/>
      <c r="H156" s="6" t="s">
        <v>82</v>
      </c>
      <c r="I156" s="10"/>
      <c r="K156" s="6"/>
      <c r="L156" s="6"/>
      <c r="M156" s="8" t="s">
        <v>3127</v>
      </c>
      <c r="N156" s="41" t="s">
        <v>3128</v>
      </c>
      <c r="O156" s="6"/>
      <c r="P156" s="40"/>
      <c r="Q156" s="6"/>
      <c r="R156" s="6"/>
      <c r="S156" s="6"/>
      <c r="T156" s="6"/>
      <c r="U156" s="6"/>
      <c r="V156" s="6"/>
      <c r="W156" s="6"/>
    </row>
    <row r="157" ht="42" spans="1:31">
      <c r="A157" s="6" t="s">
        <v>142</v>
      </c>
      <c r="B157" s="7">
        <v>46115</v>
      </c>
      <c r="C157" s="6" t="str">
        <f>YEAR(B157)&amp;"年"&amp;MONTH(B157)&amp;"月"</f>
        <v>2026年4月</v>
      </c>
      <c r="D157" s="6" t="s">
        <v>12</v>
      </c>
      <c r="E157" s="40"/>
      <c r="F157" s="40" t="s">
        <v>44</v>
      </c>
      <c r="G157" s="140" t="s">
        <v>2999</v>
      </c>
      <c r="H157" s="6" t="s">
        <v>82</v>
      </c>
      <c r="I157" s="141">
        <v>301826.88</v>
      </c>
      <c r="J157" s="6" t="s">
        <v>1186</v>
      </c>
      <c r="K157" s="6"/>
      <c r="L157" s="6"/>
      <c r="M157" s="8" t="s">
        <v>3154</v>
      </c>
      <c r="N157" s="6" t="s">
        <v>3155</v>
      </c>
      <c r="O157" s="41" t="s">
        <v>3156</v>
      </c>
      <c r="P157" s="40"/>
      <c r="Q157" s="6"/>
      <c r="R157" s="6"/>
      <c r="S157" s="6"/>
      <c r="T157" s="6"/>
      <c r="U157" s="6"/>
      <c r="V157" s="6"/>
      <c r="W157" s="6"/>
    </row>
    <row r="158" ht="44.25" customHeight="1" spans="1:31">
      <c r="A158" s="6" t="s">
        <v>872</v>
      </c>
      <c r="B158" s="7">
        <v>46122</v>
      </c>
      <c r="C158" s="6" t="str">
        <f>YEAR(B158)&amp;"年"&amp;MONTH(B158)&amp;"月"</f>
        <v>2026年4月</v>
      </c>
      <c r="D158" s="6" t="s">
        <v>12</v>
      </c>
      <c r="E158" s="40"/>
      <c r="F158" s="40" t="s">
        <v>48</v>
      </c>
      <c r="G158" s="140" t="s">
        <v>3157</v>
      </c>
      <c r="H158" s="6" t="s">
        <v>82</v>
      </c>
      <c r="I158" s="149">
        <v>19015957</v>
      </c>
      <c r="J158" s="6" t="s">
        <v>2969</v>
      </c>
      <c r="K158" s="6"/>
      <c r="L158" s="6" t="s">
        <v>3158</v>
      </c>
      <c r="M158" s="8" t="s">
        <v>3159</v>
      </c>
      <c r="N158" s="6" t="s">
        <v>3160</v>
      </c>
      <c r="O158" s="6" t="s">
        <v>2040</v>
      </c>
      <c r="P158" s="40"/>
      <c r="Q158" s="6"/>
      <c r="R158" s="6"/>
      <c r="S158" s="6"/>
      <c r="T158" s="6"/>
      <c r="U158" s="6"/>
      <c r="V158" s="6"/>
      <c r="W158" s="6"/>
    </row>
    <row r="159" ht="42.75" customHeight="1" spans="1:31">
      <c r="A159" s="6" t="s">
        <v>872</v>
      </c>
      <c r="B159" s="7">
        <v>46125</v>
      </c>
      <c r="C159" s="6" t="str">
        <f>YEAR(B159)&amp;"年"&amp;MONTH(B159)&amp;"月"</f>
        <v>2026年4月</v>
      </c>
      <c r="D159" s="6" t="s">
        <v>12</v>
      </c>
      <c r="E159" s="40"/>
      <c r="F159" s="40" t="s">
        <v>48</v>
      </c>
      <c r="G159" s="140" t="s">
        <v>3161</v>
      </c>
      <c r="H159" s="6" t="s">
        <v>82</v>
      </c>
      <c r="I159" s="149">
        <v>647454.1</v>
      </c>
      <c r="J159" s="6" t="s">
        <v>173</v>
      </c>
      <c r="K159" s="6"/>
      <c r="L159" s="6"/>
      <c r="M159" s="8" t="s">
        <v>1966</v>
      </c>
      <c r="N159" s="6" t="s">
        <v>1967</v>
      </c>
      <c r="O159" s="6" t="s">
        <v>3162</v>
      </c>
      <c r="P159" s="40"/>
      <c r="Q159" s="6"/>
      <c r="R159" s="6"/>
      <c r="S159" s="6"/>
      <c r="T159" s="6"/>
      <c r="U159" s="6"/>
      <c r="V159" s="6"/>
      <c r="W159" s="6"/>
    </row>
    <row r="160" s="10" customFormat="1" ht="21" customHeight="1" spans="1:31">
      <c r="A160" s="6" t="s">
        <v>872</v>
      </c>
      <c r="B160" s="158">
        <v>46122</v>
      </c>
      <c r="C160" s="104" t="str">
        <f>YEAR(B160)&amp;"年"&amp;MONTH(B160)&amp;"月"</f>
        <v>2026年4月</v>
      </c>
      <c r="D160" s="104" t="s">
        <v>10</v>
      </c>
      <c r="E160" s="159" t="s">
        <v>3163</v>
      </c>
      <c r="F160" s="40" t="s">
        <v>51</v>
      </c>
      <c r="G160" s="140" t="s">
        <v>3164</v>
      </c>
      <c r="H160" s="109" t="s">
        <v>82</v>
      </c>
      <c r="I160" s="10">
        <f>SUM(K160:K166)</f>
        <v>24113.75</v>
      </c>
      <c r="J160" s="160" t="s">
        <v>173</v>
      </c>
      <c r="K160" s="149">
        <v>4296.75</v>
      </c>
      <c r="L160" s="160"/>
      <c r="M160" s="161" t="s">
        <v>3165</v>
      </c>
      <c r="N160" s="162" t="s">
        <v>3166</v>
      </c>
      <c r="O160" s="162" t="s">
        <v>800</v>
      </c>
      <c r="P160" s="10" t="s">
        <v>3167</v>
      </c>
      <c r="Q160" s="10"/>
      <c r="R160" s="104"/>
      <c r="S160" s="10"/>
      <c r="T160" s="162"/>
      <c r="U160" s="160"/>
      <c r="V160" s="160"/>
      <c r="W160" s="160"/>
      <c r="X160" s="160"/>
      <c r="Y160" s="160"/>
      <c r="Z160" s="160"/>
      <c r="AA160" s="160"/>
      <c r="AB160" s="160"/>
      <c r="AC160" s="160"/>
      <c r="AD160" s="160"/>
      <c r="AE160" s="160"/>
    </row>
    <row r="161" s="10" customFormat="1" ht="21" customHeight="1" spans="1:31">
      <c r="A161" s="109"/>
      <c r="B161" s="109"/>
      <c r="C161" s="109"/>
      <c r="D161" s="109"/>
      <c r="E161" s="10"/>
      <c r="F161" s="109"/>
      <c r="G161" s="10"/>
      <c r="H161" s="10"/>
      <c r="I161" s="10"/>
      <c r="J161" s="160" t="s">
        <v>173</v>
      </c>
      <c r="K161" s="149">
        <v>2509</v>
      </c>
      <c r="L161" s="160"/>
      <c r="M161" s="161" t="s">
        <v>3168</v>
      </c>
      <c r="N161" s="160" t="s">
        <v>3169</v>
      </c>
      <c r="O161" s="109"/>
      <c r="P161" s="10" t="s">
        <v>3170</v>
      </c>
      <c r="Q161" s="10"/>
      <c r="R161" s="104"/>
      <c r="S161" s="10"/>
      <c r="T161" s="162"/>
      <c r="U161" s="160"/>
      <c r="V161" s="160"/>
      <c r="W161" s="160"/>
      <c r="X161" s="160"/>
      <c r="Y161" s="160"/>
      <c r="Z161" s="160"/>
      <c r="AA161" s="160"/>
      <c r="AB161" s="160"/>
      <c r="AC161" s="160"/>
      <c r="AD161" s="160"/>
      <c r="AE161" s="160"/>
    </row>
    <row r="162" s="10" customFormat="1" ht="21" customHeight="1" spans="1:31">
      <c r="A162" s="109"/>
      <c r="B162" s="109"/>
      <c r="C162" s="109"/>
      <c r="D162" s="109"/>
      <c r="E162" s="10"/>
      <c r="F162" s="109"/>
      <c r="G162" s="10"/>
      <c r="H162" s="10"/>
      <c r="I162" s="10"/>
      <c r="J162" s="160" t="s">
        <v>173</v>
      </c>
      <c r="K162" s="149">
        <v>3333</v>
      </c>
      <c r="L162" s="160"/>
      <c r="M162" s="161" t="s">
        <v>3171</v>
      </c>
      <c r="N162" s="160" t="s">
        <v>3172</v>
      </c>
      <c r="O162" s="109"/>
      <c r="P162" s="9" t="s">
        <v>3173</v>
      </c>
      <c r="Q162" s="10"/>
      <c r="R162" s="104"/>
      <c r="S162" s="10"/>
      <c r="T162" s="162"/>
      <c r="U162" s="160"/>
      <c r="V162" s="160"/>
      <c r="W162" s="160"/>
      <c r="X162" s="160"/>
      <c r="Y162" s="160"/>
      <c r="Z162" s="160"/>
      <c r="AA162" s="160"/>
      <c r="AB162" s="160"/>
      <c r="AC162" s="160"/>
      <c r="AD162" s="160"/>
      <c r="AE162" s="160"/>
    </row>
    <row r="163" s="10" customFormat="1" ht="21" customHeight="1" spans="1:31">
      <c r="A163" s="109"/>
      <c r="B163" s="109"/>
      <c r="C163" s="109"/>
      <c r="D163" s="109"/>
      <c r="E163" s="10"/>
      <c r="F163" s="109"/>
      <c r="G163" s="10"/>
      <c r="H163" s="10"/>
      <c r="I163" s="10"/>
      <c r="J163" s="160" t="s">
        <v>173</v>
      </c>
      <c r="K163" s="149">
        <v>3426</v>
      </c>
      <c r="L163" s="160"/>
      <c r="M163" s="161" t="s">
        <v>3174</v>
      </c>
      <c r="N163" s="160" t="s">
        <v>3175</v>
      </c>
      <c r="O163" s="109"/>
      <c r="P163" s="10" t="s">
        <v>3176</v>
      </c>
      <c r="Q163" s="10"/>
      <c r="R163" s="104"/>
      <c r="S163" s="10"/>
      <c r="T163" s="162"/>
      <c r="U163" s="160"/>
      <c r="V163" s="160"/>
      <c r="W163" s="160"/>
      <c r="X163" s="160"/>
      <c r="Y163" s="160"/>
      <c r="Z163" s="160"/>
      <c r="AA163" s="160"/>
      <c r="AB163" s="160"/>
      <c r="AC163" s="160"/>
      <c r="AD163" s="160"/>
      <c r="AE163" s="160"/>
    </row>
    <row r="164" s="10" customFormat="1" ht="25.5" customHeight="1" spans="1:31">
      <c r="A164" s="109"/>
      <c r="B164" s="109"/>
      <c r="C164" s="109"/>
      <c r="D164" s="109"/>
      <c r="E164" s="10"/>
      <c r="F164" s="109"/>
      <c r="G164" s="10"/>
      <c r="H164" s="10"/>
      <c r="I164" s="10"/>
      <c r="J164" s="160" t="s">
        <v>173</v>
      </c>
      <c r="K164" s="149">
        <v>3471</v>
      </c>
      <c r="L164" s="160"/>
      <c r="M164" s="161" t="s">
        <v>3177</v>
      </c>
      <c r="N164" s="162" t="s">
        <v>3178</v>
      </c>
      <c r="O164" s="109"/>
      <c r="P164" s="10" t="s">
        <v>3179</v>
      </c>
      <c r="Q164" s="10"/>
      <c r="R164" s="104"/>
      <c r="S164" s="10"/>
      <c r="T164" s="162"/>
      <c r="U164" s="160"/>
      <c r="V164" s="160"/>
      <c r="W164" s="160"/>
      <c r="X164" s="160"/>
      <c r="Y164" s="160"/>
      <c r="Z164" s="160"/>
      <c r="AA164" s="160"/>
      <c r="AB164" s="160"/>
      <c r="AC164" s="160"/>
      <c r="AD164" s="160"/>
      <c r="AE164" s="160"/>
    </row>
    <row r="165" s="10" customFormat="1" ht="21" customHeight="1" spans="1:31">
      <c r="A165" s="109"/>
      <c r="B165" s="109"/>
      <c r="C165" s="109"/>
      <c r="D165" s="109"/>
      <c r="E165" s="10"/>
      <c r="F165" s="109"/>
      <c r="G165" s="10"/>
      <c r="H165" s="10"/>
      <c r="I165" s="10"/>
      <c r="J165" s="160" t="s">
        <v>173</v>
      </c>
      <c r="K165" s="149">
        <v>3630</v>
      </c>
      <c r="L165" s="160"/>
      <c r="M165" s="161" t="s">
        <v>3180</v>
      </c>
      <c r="N165" s="160" t="s">
        <v>3181</v>
      </c>
      <c r="O165" s="109"/>
      <c r="P165" s="10" t="s">
        <v>3182</v>
      </c>
      <c r="Q165" s="10"/>
      <c r="R165" s="104"/>
      <c r="S165" s="10"/>
      <c r="T165" s="162"/>
      <c r="U165" s="160"/>
      <c r="V165" s="160"/>
      <c r="W165" s="160"/>
      <c r="X165" s="160"/>
      <c r="Y165" s="160"/>
      <c r="Z165" s="160"/>
      <c r="AA165" s="160"/>
      <c r="AB165" s="160"/>
      <c r="AC165" s="160"/>
      <c r="AD165" s="160"/>
      <c r="AE165" s="160"/>
    </row>
    <row r="166" s="10" customFormat="1" ht="21" customHeight="1" spans="1:31">
      <c r="A166" s="109"/>
      <c r="B166" s="109"/>
      <c r="C166" s="109"/>
      <c r="D166" s="109"/>
      <c r="E166" s="10"/>
      <c r="F166" s="109"/>
      <c r="G166" s="10"/>
      <c r="H166" s="10"/>
      <c r="I166" s="10"/>
      <c r="J166" s="160" t="s">
        <v>173</v>
      </c>
      <c r="K166" s="149">
        <v>3448</v>
      </c>
      <c r="L166" s="160"/>
      <c r="M166" s="161" t="s">
        <v>3183</v>
      </c>
      <c r="N166" s="160" t="s">
        <v>3184</v>
      </c>
      <c r="O166" s="109"/>
      <c r="P166" s="10" t="s">
        <v>3185</v>
      </c>
      <c r="Q166" s="10"/>
      <c r="R166" s="104"/>
      <c r="S166" s="10"/>
      <c r="T166" s="162"/>
      <c r="U166" s="160"/>
      <c r="V166" s="160"/>
      <c r="W166" s="160"/>
      <c r="X166" s="160"/>
      <c r="Y166" s="160"/>
      <c r="Z166" s="160"/>
      <c r="AA166" s="160"/>
      <c r="AB166" s="160"/>
      <c r="AC166" s="160"/>
      <c r="AD166" s="160"/>
      <c r="AE166" s="160"/>
    </row>
    <row r="167" s="10" customFormat="1" ht="21" customHeight="1" spans="1:31">
      <c r="A167" s="6" t="s">
        <v>872</v>
      </c>
      <c r="B167" s="158">
        <v>46122</v>
      </c>
      <c r="C167" s="104" t="str">
        <f>YEAR(B167)&amp;"年"&amp;MONTH(B167)&amp;"月"</f>
        <v>2026年4月</v>
      </c>
      <c r="D167" s="104" t="s">
        <v>10</v>
      </c>
      <c r="E167" s="159" t="s">
        <v>3163</v>
      </c>
      <c r="F167" s="40" t="s">
        <v>51</v>
      </c>
      <c r="G167" s="140" t="s">
        <v>3186</v>
      </c>
      <c r="H167" s="109" t="s">
        <v>82</v>
      </c>
      <c r="I167" s="10">
        <f>SUM(K167:K173)</f>
        <v>41082</v>
      </c>
      <c r="J167" s="160" t="s">
        <v>173</v>
      </c>
      <c r="K167" s="149">
        <v>6646</v>
      </c>
      <c r="L167" s="9" t="s">
        <v>3187</v>
      </c>
      <c r="M167" s="161" t="s">
        <v>3188</v>
      </c>
      <c r="N167" s="160" t="s">
        <v>3189</v>
      </c>
      <c r="O167" s="162" t="s">
        <v>1904</v>
      </c>
      <c r="P167" s="10"/>
      <c r="Q167" s="10"/>
      <c r="R167" s="104"/>
      <c r="S167" s="10"/>
      <c r="T167" s="162"/>
      <c r="U167" s="160"/>
      <c r="V167" s="160"/>
      <c r="W167" s="160"/>
      <c r="X167" s="160"/>
      <c r="Y167" s="160"/>
      <c r="Z167" s="160"/>
      <c r="AA167" s="160"/>
      <c r="AB167" s="160"/>
      <c r="AC167" s="160"/>
      <c r="AD167" s="160"/>
      <c r="AE167" s="160"/>
    </row>
    <row r="168" s="10" customFormat="1" ht="21" customHeight="1" spans="1:31">
      <c r="A168" s="109"/>
      <c r="B168" s="109"/>
      <c r="C168" s="109"/>
      <c r="D168" s="109"/>
      <c r="E168" s="10"/>
      <c r="F168" s="109"/>
      <c r="G168" s="10"/>
      <c r="H168" s="10"/>
      <c r="I168" s="10"/>
      <c r="J168" s="160" t="s">
        <v>173</v>
      </c>
      <c r="K168" s="149">
        <v>9188</v>
      </c>
      <c r="L168" s="9" t="s">
        <v>3190</v>
      </c>
      <c r="M168" s="161" t="s">
        <v>3191</v>
      </c>
      <c r="N168" s="160" t="s">
        <v>3192</v>
      </c>
      <c r="O168" s="162" t="s">
        <v>1904</v>
      </c>
      <c r="P168" s="10"/>
      <c r="Q168" s="10"/>
      <c r="R168" s="104"/>
      <c r="S168" s="10"/>
      <c r="T168" s="162"/>
      <c r="U168" s="160"/>
      <c r="V168" s="160"/>
      <c r="W168" s="160"/>
      <c r="X168" s="160"/>
      <c r="Y168" s="160"/>
      <c r="Z168" s="160"/>
      <c r="AA168" s="160"/>
      <c r="AB168" s="160"/>
      <c r="AC168" s="160"/>
      <c r="AD168" s="160"/>
      <c r="AE168" s="160"/>
    </row>
    <row r="169" s="10" customFormat="1" ht="21" customHeight="1" spans="1:31">
      <c r="A169" s="109"/>
      <c r="B169" s="109"/>
      <c r="C169" s="109"/>
      <c r="D169" s="109"/>
      <c r="E169" s="10"/>
      <c r="F169" s="109"/>
      <c r="G169" s="10"/>
      <c r="H169" s="10"/>
      <c r="I169" s="10"/>
      <c r="J169" s="160" t="s">
        <v>173</v>
      </c>
      <c r="K169" s="149">
        <v>2780</v>
      </c>
      <c r="L169" s="9" t="s">
        <v>3193</v>
      </c>
      <c r="M169" s="161" t="s">
        <v>3194</v>
      </c>
      <c r="N169" s="160" t="s">
        <v>3195</v>
      </c>
      <c r="O169" s="162" t="s">
        <v>1904</v>
      </c>
      <c r="P169" s="10"/>
      <c r="Q169" s="10"/>
      <c r="R169" s="104"/>
      <c r="S169" s="10"/>
      <c r="T169" s="162"/>
      <c r="U169" s="160"/>
      <c r="V169" s="160"/>
      <c r="W169" s="160"/>
      <c r="X169" s="160"/>
      <c r="Y169" s="160"/>
      <c r="Z169" s="160"/>
      <c r="AA169" s="160"/>
      <c r="AB169" s="160"/>
      <c r="AC169" s="160"/>
      <c r="AD169" s="160"/>
      <c r="AE169" s="160"/>
    </row>
    <row r="170" s="10" customFormat="1" ht="21" customHeight="1" spans="1:31">
      <c r="A170" s="109"/>
      <c r="B170" s="109"/>
      <c r="C170" s="109"/>
      <c r="D170" s="109"/>
      <c r="E170" s="10"/>
      <c r="F170" s="109"/>
      <c r="G170" s="10"/>
      <c r="H170" s="10"/>
      <c r="I170" s="10"/>
      <c r="J170" s="160" t="s">
        <v>173</v>
      </c>
      <c r="K170" s="149">
        <v>5603</v>
      </c>
      <c r="L170" s="9" t="s">
        <v>3196</v>
      </c>
      <c r="M170" s="161" t="s">
        <v>3197</v>
      </c>
      <c r="N170" s="160" t="s">
        <v>3198</v>
      </c>
      <c r="O170" s="162" t="s">
        <v>822</v>
      </c>
      <c r="P170" s="10"/>
      <c r="Q170" s="10"/>
      <c r="R170" s="104"/>
      <c r="S170" s="10"/>
      <c r="T170" s="162"/>
      <c r="U170" s="160"/>
      <c r="V170" s="160"/>
      <c r="W170" s="160"/>
      <c r="X170" s="160"/>
      <c r="Y170" s="160"/>
      <c r="Z170" s="160"/>
      <c r="AA170" s="160"/>
      <c r="AB170" s="160"/>
      <c r="AC170" s="160"/>
      <c r="AD170" s="160"/>
      <c r="AE170" s="160"/>
    </row>
    <row r="171" s="10" customFormat="1" ht="21" customHeight="1" spans="1:31">
      <c r="A171" s="109"/>
      <c r="B171" s="109"/>
      <c r="C171" s="109"/>
      <c r="D171" s="109"/>
      <c r="E171" s="10"/>
      <c r="F171" s="109"/>
      <c r="G171" s="10"/>
      <c r="H171" s="10"/>
      <c r="I171" s="10"/>
      <c r="J171" s="160" t="s">
        <v>173</v>
      </c>
      <c r="K171" s="149">
        <v>1101</v>
      </c>
      <c r="L171" s="9" t="s">
        <v>3199</v>
      </c>
      <c r="M171" s="161" t="s">
        <v>3200</v>
      </c>
      <c r="N171" s="160" t="s">
        <v>3201</v>
      </c>
      <c r="O171" s="162" t="s">
        <v>1904</v>
      </c>
      <c r="P171" s="10"/>
      <c r="Q171" s="10"/>
      <c r="R171" s="104"/>
      <c r="S171" s="10"/>
      <c r="T171" s="162"/>
      <c r="U171" s="160"/>
      <c r="V171" s="160"/>
      <c r="W171" s="160"/>
      <c r="X171" s="160"/>
      <c r="Y171" s="160"/>
      <c r="Z171" s="160"/>
      <c r="AA171" s="160"/>
      <c r="AB171" s="160"/>
      <c r="AC171" s="160"/>
      <c r="AD171" s="160"/>
      <c r="AE171" s="160"/>
    </row>
    <row r="172" s="10" customFormat="1" ht="21" customHeight="1" spans="1:31">
      <c r="A172" s="109"/>
      <c r="B172" s="109"/>
      <c r="C172" s="109"/>
      <c r="D172" s="109"/>
      <c r="E172" s="10"/>
      <c r="F172" s="109"/>
      <c r="G172" s="10"/>
      <c r="H172" s="10"/>
      <c r="I172" s="10"/>
      <c r="J172" s="160" t="s">
        <v>173</v>
      </c>
      <c r="K172" s="149">
        <v>12011</v>
      </c>
      <c r="L172" s="9" t="s">
        <v>3202</v>
      </c>
      <c r="M172" s="161" t="s">
        <v>3203</v>
      </c>
      <c r="N172" s="160" t="s">
        <v>3204</v>
      </c>
      <c r="O172" s="162" t="s">
        <v>1904</v>
      </c>
      <c r="P172" s="10"/>
      <c r="Q172" s="10"/>
      <c r="R172" s="104"/>
      <c r="S172" s="10"/>
      <c r="T172" s="162"/>
      <c r="U172" s="160"/>
      <c r="V172" s="160"/>
      <c r="W172" s="160"/>
      <c r="X172" s="160"/>
      <c r="Y172" s="160"/>
      <c r="Z172" s="160"/>
      <c r="AA172" s="160"/>
      <c r="AB172" s="160"/>
      <c r="AC172" s="160"/>
      <c r="AD172" s="160"/>
      <c r="AE172" s="160"/>
    </row>
    <row r="173" s="10" customFormat="1" ht="21" customHeight="1" spans="1:31">
      <c r="A173" s="109"/>
      <c r="B173" s="109"/>
      <c r="C173" s="109"/>
      <c r="D173" s="109"/>
      <c r="E173" s="10"/>
      <c r="F173" s="109"/>
      <c r="G173" s="10"/>
      <c r="H173" s="10"/>
      <c r="I173" s="10"/>
      <c r="J173" s="160" t="s">
        <v>173</v>
      </c>
      <c r="K173" s="149">
        <v>3753</v>
      </c>
      <c r="L173" s="9" t="s">
        <v>3205</v>
      </c>
      <c r="M173" s="161" t="s">
        <v>3206</v>
      </c>
      <c r="N173" s="160" t="s">
        <v>3207</v>
      </c>
      <c r="O173" s="162" t="s">
        <v>1904</v>
      </c>
      <c r="P173" s="10"/>
      <c r="Q173" s="10"/>
      <c r="R173" s="104"/>
      <c r="S173" s="10"/>
      <c r="T173" s="162"/>
      <c r="U173" s="160"/>
      <c r="V173" s="160"/>
      <c r="W173" s="160"/>
      <c r="X173" s="160"/>
      <c r="Y173" s="160"/>
      <c r="Z173" s="160"/>
      <c r="AA173" s="160"/>
      <c r="AB173" s="160"/>
      <c r="AC173" s="160"/>
      <c r="AD173" s="160"/>
      <c r="AE173" s="160"/>
    </row>
    <row r="174" ht="21" customHeight="1" spans="1:31">
      <c r="A174" s="6" t="s">
        <v>872</v>
      </c>
      <c r="B174" s="87">
        <v>46128</v>
      </c>
      <c r="C174" s="6" t="str">
        <f>YEAR(B174)&amp;"年"&amp;MONTH(B174)&amp;"月"</f>
        <v>2026年4月</v>
      </c>
      <c r="D174" s="6" t="s">
        <v>12</v>
      </c>
      <c r="E174" s="40"/>
      <c r="F174" s="40" t="s">
        <v>48</v>
      </c>
      <c r="G174" s="140" t="s">
        <v>3208</v>
      </c>
      <c r="H174" s="6" t="s">
        <v>82</v>
      </c>
      <c r="I174" s="149">
        <v>29345</v>
      </c>
      <c r="J174" s="6" t="s">
        <v>2969</v>
      </c>
      <c r="K174" s="6"/>
      <c r="L174" s="6" t="s">
        <v>2365</v>
      </c>
      <c r="M174" s="8" t="s">
        <v>3209</v>
      </c>
      <c r="N174" s="6" t="s">
        <v>3210</v>
      </c>
      <c r="O174" s="6" t="s">
        <v>670</v>
      </c>
      <c r="P174" s="90" t="s">
        <v>3211</v>
      </c>
      <c r="Q174" s="6"/>
      <c r="R174" s="6"/>
      <c r="S174" s="6"/>
      <c r="T174" s="6"/>
      <c r="U174" s="6"/>
      <c r="V174" s="6"/>
      <c r="W174" s="6"/>
    </row>
    <row r="175" ht="21" customHeight="1" spans="1:31">
      <c r="A175" s="6" t="s">
        <v>142</v>
      </c>
      <c r="B175" s="87">
        <v>46132</v>
      </c>
      <c r="C175" s="6" t="str">
        <f>YEAR(B175)&amp;"年"&amp;MONTH(B175)&amp;"月"</f>
        <v>2026年4月</v>
      </c>
      <c r="D175" s="6" t="s">
        <v>12</v>
      </c>
      <c r="E175" s="40"/>
      <c r="F175" s="40" t="s">
        <v>48</v>
      </c>
      <c r="G175" s="140" t="s">
        <v>3212</v>
      </c>
      <c r="H175" s="6" t="s">
        <v>82</v>
      </c>
      <c r="I175" s="149">
        <v>123618</v>
      </c>
      <c r="J175" s="6" t="s">
        <v>173</v>
      </c>
      <c r="L175" s="6"/>
      <c r="M175" s="8" t="s">
        <v>3213</v>
      </c>
      <c r="N175" s="6" t="s">
        <v>3214</v>
      </c>
      <c r="O175" s="6" t="s">
        <v>2040</v>
      </c>
      <c r="P175" s="40"/>
      <c r="Q175" s="6"/>
      <c r="R175" s="6"/>
      <c r="S175" s="6"/>
      <c r="T175" s="6"/>
      <c r="U175" s="6"/>
      <c r="V175" s="6"/>
      <c r="W175" s="6"/>
    </row>
    <row r="176" ht="21" customHeight="1" spans="1:31">
      <c r="A176" s="6" t="s">
        <v>142</v>
      </c>
      <c r="B176" s="87">
        <v>46132</v>
      </c>
      <c r="C176" s="6" t="str">
        <f>YEAR(B176)&amp;"年"&amp;MONTH(B176)&amp;"月"</f>
        <v>2026年4月</v>
      </c>
      <c r="D176" s="6" t="s">
        <v>11</v>
      </c>
      <c r="E176" s="40"/>
      <c r="F176" s="40" t="s">
        <v>48</v>
      </c>
      <c r="G176" s="140" t="s">
        <v>3215</v>
      </c>
      <c r="H176" s="6" t="s">
        <v>82</v>
      </c>
      <c r="I176" s="149">
        <v>1071151.4</v>
      </c>
      <c r="J176" s="6" t="s">
        <v>173</v>
      </c>
      <c r="K176" s="163"/>
      <c r="L176" s="6" t="s">
        <v>2365</v>
      </c>
      <c r="M176" s="8" t="s">
        <v>1911</v>
      </c>
      <c r="N176" s="6" t="s">
        <v>1912</v>
      </c>
      <c r="O176" s="6" t="s">
        <v>1914</v>
      </c>
      <c r="P176" s="40"/>
      <c r="Q176" s="6"/>
      <c r="R176" s="6"/>
      <c r="S176" s="6"/>
      <c r="T176" s="6"/>
      <c r="U176" s="6"/>
      <c r="V176" s="6"/>
      <c r="W176" s="6"/>
    </row>
    <row r="177" ht="36.75" customHeight="1" spans="1:23">
      <c r="A177" s="6" t="s">
        <v>2727</v>
      </c>
      <c r="B177" s="87">
        <v>46132</v>
      </c>
      <c r="C177" s="6" t="str">
        <f>YEAR(B177)&amp;"年"&amp;MONTH(B177)&amp;"月"</f>
        <v>2026年4月</v>
      </c>
      <c r="D177" s="6" t="s">
        <v>12</v>
      </c>
      <c r="E177" s="40" t="s">
        <v>3216</v>
      </c>
      <c r="F177" s="40" t="s">
        <v>48</v>
      </c>
      <c r="G177" s="140" t="s">
        <v>3217</v>
      </c>
      <c r="H177" s="6" t="s">
        <v>82</v>
      </c>
      <c r="I177" s="149">
        <f>SUM(K177:K183)</f>
        <v>1030221.75</v>
      </c>
      <c r="J177" s="6" t="s">
        <v>173</v>
      </c>
      <c r="K177" s="149">
        <v>10010</v>
      </c>
      <c r="L177" s="8"/>
      <c r="M177" s="6" t="s">
        <v>2232</v>
      </c>
      <c r="N177" s="6" t="s">
        <v>3218</v>
      </c>
      <c r="O177" s="6"/>
      <c r="P177" s="164" t="s">
        <v>3219</v>
      </c>
      <c r="Q177" s="6"/>
      <c r="R177" s="6"/>
      <c r="S177" s="6"/>
      <c r="T177" s="6"/>
      <c r="U177" s="6"/>
      <c r="V177" s="6"/>
      <c r="W177" s="6"/>
    </row>
    <row r="178" ht="21" customHeight="1" spans="1:23">
      <c r="C178" s="10"/>
      <c r="E178" s="10"/>
      <c r="F178" s="10"/>
      <c r="G178" s="10"/>
      <c r="H178" s="10"/>
      <c r="I178" s="10"/>
      <c r="K178" s="149">
        <v>31460.79</v>
      </c>
      <c r="L178" s="8" t="s">
        <v>3220</v>
      </c>
      <c r="M178" s="8" t="s">
        <v>3221</v>
      </c>
      <c r="N178" s="6" t="s">
        <v>3222</v>
      </c>
      <c r="O178" s="6" t="s">
        <v>3223</v>
      </c>
      <c r="P178" s="165" t="s">
        <v>3224</v>
      </c>
      <c r="Q178" s="6"/>
      <c r="R178" s="6"/>
      <c r="S178" s="6"/>
      <c r="T178" s="6"/>
      <c r="U178" s="6"/>
      <c r="V178" s="6"/>
      <c r="W178" s="6"/>
    </row>
    <row r="179" ht="21" customHeight="1" spans="1:23">
      <c r="C179" s="10"/>
      <c r="E179" s="10"/>
      <c r="F179" s="10"/>
      <c r="G179" s="10"/>
      <c r="H179" s="10"/>
      <c r="I179" s="10"/>
      <c r="K179" s="149">
        <v>467094.04</v>
      </c>
      <c r="L179" s="8" t="s">
        <v>3225</v>
      </c>
      <c r="M179" s="8" t="s">
        <v>3226</v>
      </c>
      <c r="N179" s="6" t="s">
        <v>3227</v>
      </c>
      <c r="O179" s="41" t="s">
        <v>146</v>
      </c>
      <c r="P179" s="164" t="s">
        <v>3228</v>
      </c>
      <c r="Q179" s="6"/>
      <c r="R179" s="6"/>
      <c r="S179" s="6"/>
      <c r="T179" s="6"/>
      <c r="U179" s="6"/>
      <c r="V179" s="6"/>
      <c r="W179" s="6"/>
    </row>
    <row r="180" ht="30" customHeight="1" spans="1:23">
      <c r="C180" s="10"/>
      <c r="E180" s="10"/>
      <c r="F180" s="10"/>
      <c r="G180" s="10"/>
      <c r="H180" s="10"/>
      <c r="I180" s="10"/>
      <c r="K180" s="149">
        <v>45700</v>
      </c>
      <c r="L180" s="8" t="s">
        <v>3229</v>
      </c>
      <c r="M180" s="8" t="s">
        <v>1618</v>
      </c>
      <c r="N180" s="6" t="s">
        <v>1619</v>
      </c>
      <c r="O180" s="41" t="s">
        <v>3230</v>
      </c>
      <c r="P180" s="164" t="s">
        <v>3231</v>
      </c>
      <c r="Q180" s="6"/>
      <c r="R180" s="6"/>
      <c r="S180" s="6"/>
      <c r="T180" s="6"/>
      <c r="U180" s="6"/>
      <c r="V180" s="6"/>
      <c r="W180" s="6"/>
    </row>
    <row r="181" ht="45" customHeight="1" spans="1:23">
      <c r="C181" s="10"/>
      <c r="E181" s="10"/>
      <c r="F181" s="10"/>
      <c r="G181" s="10"/>
      <c r="H181" s="10"/>
      <c r="I181" s="10"/>
      <c r="K181" s="149">
        <v>349975</v>
      </c>
      <c r="L181" s="71" t="s">
        <v>3232</v>
      </c>
      <c r="M181" s="8" t="s">
        <v>3233</v>
      </c>
      <c r="N181" s="6" t="s">
        <v>3234</v>
      </c>
      <c r="O181" s="6" t="s">
        <v>146</v>
      </c>
      <c r="P181" s="164" t="s">
        <v>3235</v>
      </c>
      <c r="Q181" s="6"/>
      <c r="R181" s="6"/>
      <c r="S181" s="6"/>
      <c r="T181" s="6"/>
      <c r="U181" s="6"/>
      <c r="V181" s="6"/>
      <c r="W181" s="6"/>
    </row>
    <row r="182" ht="45" customHeight="1" spans="1:23">
      <c r="C182" s="10"/>
      <c r="E182" s="10"/>
      <c r="F182" s="10"/>
      <c r="G182" s="10"/>
      <c r="H182" s="10"/>
      <c r="I182" s="10"/>
      <c r="K182" s="149">
        <v>61431.92</v>
      </c>
      <c r="L182" s="71" t="s">
        <v>3236</v>
      </c>
      <c r="M182" s="8" t="s">
        <v>3226</v>
      </c>
      <c r="N182" s="6" t="s">
        <v>3227</v>
      </c>
      <c r="O182" s="6" t="s">
        <v>146</v>
      </c>
      <c r="P182" s="164" t="s">
        <v>3237</v>
      </c>
      <c r="Q182" s="6"/>
      <c r="R182" s="6"/>
      <c r="S182" s="6"/>
      <c r="T182" s="6"/>
      <c r="U182" s="6"/>
      <c r="V182" s="6"/>
      <c r="W182" s="6"/>
    </row>
    <row r="183" ht="45" customHeight="1" spans="1:23">
      <c r="C183" s="10"/>
      <c r="E183" s="10"/>
      <c r="F183" s="10"/>
      <c r="G183" s="10"/>
      <c r="H183" s="10"/>
      <c r="I183" s="10"/>
      <c r="K183" s="149">
        <v>64550</v>
      </c>
      <c r="L183" s="41" t="s">
        <v>3238</v>
      </c>
      <c r="M183" s="8" t="s">
        <v>3239</v>
      </c>
      <c r="N183" s="6" t="s">
        <v>3240</v>
      </c>
      <c r="O183" s="6" t="s">
        <v>2664</v>
      </c>
      <c r="P183" s="164" t="s">
        <v>3241</v>
      </c>
      <c r="Q183" s="6"/>
      <c r="R183" s="6"/>
      <c r="S183" s="6"/>
      <c r="T183" s="6"/>
      <c r="U183" s="6"/>
      <c r="V183" s="6"/>
      <c r="W183" s="6"/>
    </row>
    <row r="184" ht="21" customHeight="1" spans="1:23">
      <c r="A184" s="6" t="s">
        <v>872</v>
      </c>
      <c r="B184" s="87">
        <v>46135</v>
      </c>
      <c r="C184" s="6" t="str">
        <f>YEAR(B184)&amp;"年"&amp;MONTH(B184)&amp;"月"</f>
        <v>2026年4月</v>
      </c>
      <c r="D184" s="6" t="s">
        <v>12</v>
      </c>
      <c r="E184" s="40"/>
      <c r="F184" s="40" t="s">
        <v>44</v>
      </c>
      <c r="G184" s="140" t="s">
        <v>2360</v>
      </c>
      <c r="H184" s="6" t="s">
        <v>82</v>
      </c>
      <c r="I184" s="149">
        <f>SUM(K184:K185)</f>
        <v>290926.15</v>
      </c>
      <c r="J184" s="6" t="s">
        <v>1062</v>
      </c>
      <c r="K184" s="149">
        <v>171870.29</v>
      </c>
      <c r="L184" s="8" t="s">
        <v>3242</v>
      </c>
      <c r="M184" s="8" t="s">
        <v>3154</v>
      </c>
      <c r="N184" s="6" t="s">
        <v>3155</v>
      </c>
      <c r="O184" s="6" t="s">
        <v>1914</v>
      </c>
      <c r="P184" s="40"/>
      <c r="Q184" s="6"/>
      <c r="R184" s="6"/>
      <c r="S184" s="6"/>
      <c r="T184" s="6"/>
      <c r="U184" s="6"/>
      <c r="V184" s="6"/>
      <c r="W184" s="6"/>
    </row>
    <row r="185" ht="21" customHeight="1" spans="1:23">
      <c r="C185" s="10"/>
      <c r="E185" s="40"/>
      <c r="F185" s="10"/>
      <c r="G185" s="10"/>
      <c r="H185" s="10"/>
      <c r="I185" s="10"/>
      <c r="K185" s="149">
        <v>119055.86</v>
      </c>
      <c r="L185" s="8" t="s">
        <v>3243</v>
      </c>
      <c r="O185" s="6" t="s">
        <v>1914</v>
      </c>
      <c r="P185" s="40"/>
      <c r="Q185" s="6"/>
      <c r="R185" s="6"/>
      <c r="S185" s="6"/>
      <c r="T185" s="6"/>
      <c r="U185" s="6"/>
      <c r="V185" s="6"/>
      <c r="W185" s="6"/>
    </row>
    <row r="186" ht="20.25" customHeight="1" spans="1:23">
      <c r="A186" s="6" t="s">
        <v>872</v>
      </c>
      <c r="B186" s="87">
        <v>46139</v>
      </c>
      <c r="C186" s="6" t="str">
        <f>YEAR(B186)&amp;"年"&amp;MONTH(B186)&amp;"月"</f>
        <v>2026年4月</v>
      </c>
      <c r="D186" s="6" t="s">
        <v>12</v>
      </c>
      <c r="E186" s="40"/>
      <c r="F186" s="40" t="s">
        <v>44</v>
      </c>
      <c r="G186" s="140" t="s">
        <v>2360</v>
      </c>
      <c r="H186" s="6" t="s">
        <v>82</v>
      </c>
      <c r="I186" s="149">
        <v>1310898731</v>
      </c>
      <c r="J186" s="6" t="s">
        <v>1349</v>
      </c>
      <c r="K186" s="149">
        <v>113825147</v>
      </c>
      <c r="L186" s="8" t="s">
        <v>3244</v>
      </c>
      <c r="M186" s="8" t="s">
        <v>3245</v>
      </c>
      <c r="N186" s="6" t="s">
        <v>3246</v>
      </c>
      <c r="O186" s="6" t="s">
        <v>2173</v>
      </c>
      <c r="P186" s="40"/>
      <c r="Q186" s="6"/>
      <c r="R186" s="6"/>
      <c r="S186" s="6"/>
      <c r="T186" s="6"/>
      <c r="U186" s="6"/>
      <c r="V186" s="6"/>
      <c r="W186" s="6"/>
    </row>
    <row r="187" ht="21" customHeight="1" spans="1:23">
      <c r="C187" s="10"/>
      <c r="E187" s="40"/>
      <c r="F187" s="10"/>
      <c r="G187" s="10"/>
      <c r="H187" s="10"/>
      <c r="I187" s="10"/>
      <c r="K187" s="149">
        <v>1197073584</v>
      </c>
      <c r="L187" s="8" t="s">
        <v>3247</v>
      </c>
      <c r="P187" s="40"/>
    </row>
    <row r="188" ht="14" spans="1:23">
      <c r="A188" s="6" t="s">
        <v>872</v>
      </c>
      <c r="B188" s="166">
        <v>46142</v>
      </c>
      <c r="C188" s="6" t="str">
        <f>YEAR(B188)&amp;"年"&amp;MONTH(B188)&amp;"月"</f>
        <v>2026年4月</v>
      </c>
      <c r="D188" s="6" t="s">
        <v>10</v>
      </c>
      <c r="E188" s="40" t="s">
        <v>2365</v>
      </c>
      <c r="F188" s="40" t="s">
        <v>44</v>
      </c>
      <c r="G188" s="157" t="s">
        <v>3248</v>
      </c>
      <c r="H188" s="6" t="s">
        <v>82</v>
      </c>
      <c r="I188" s="167">
        <f>SUM(K188:K194)</f>
        <v>57540238</v>
      </c>
      <c r="J188" s="10" t="s">
        <v>1172</v>
      </c>
      <c r="K188" s="149">
        <v>4000000</v>
      </c>
      <c r="L188" s="8" t="s">
        <v>3249</v>
      </c>
      <c r="M188" s="9" t="s">
        <v>708</v>
      </c>
      <c r="N188" s="6" t="s">
        <v>709</v>
      </c>
      <c r="O188" s="10" t="s">
        <v>3250</v>
      </c>
      <c r="P188" s="40"/>
    </row>
    <row r="189" ht="14" spans="1:23">
      <c r="C189" s="10"/>
      <c r="E189" s="10"/>
      <c r="F189" s="10"/>
      <c r="G189" s="10"/>
      <c r="H189" s="10"/>
      <c r="I189" s="10"/>
      <c r="K189" s="149">
        <v>7799281</v>
      </c>
      <c r="L189" s="8" t="s">
        <v>3251</v>
      </c>
      <c r="P189" s="40"/>
    </row>
    <row r="190" ht="14" spans="1:23">
      <c r="C190" s="10"/>
      <c r="E190" s="10"/>
      <c r="F190" s="10"/>
      <c r="G190" s="10"/>
      <c r="H190" s="10"/>
      <c r="I190" s="10"/>
      <c r="K190" s="149">
        <v>5000000</v>
      </c>
      <c r="L190" s="8" t="s">
        <v>3252</v>
      </c>
      <c r="P190" s="40"/>
    </row>
    <row r="191" ht="14" spans="1:23">
      <c r="C191" s="10"/>
      <c r="E191" s="10"/>
      <c r="F191" s="10"/>
      <c r="G191" s="10"/>
      <c r="H191" s="10"/>
      <c r="I191" s="10"/>
      <c r="K191" s="149">
        <v>6823152</v>
      </c>
      <c r="L191" s="8" t="s">
        <v>3253</v>
      </c>
      <c r="P191" s="40"/>
    </row>
    <row r="192" ht="14" spans="1:23">
      <c r="C192" s="10"/>
      <c r="E192" s="10"/>
      <c r="F192" s="10"/>
      <c r="G192" s="10"/>
      <c r="H192" s="10"/>
      <c r="I192" s="10"/>
      <c r="K192" s="149">
        <v>7604250</v>
      </c>
      <c r="L192" s="8" t="s">
        <v>3254</v>
      </c>
      <c r="P192" s="40"/>
    </row>
    <row r="193" ht="14" spans="1:18">
      <c r="C193" s="10"/>
      <c r="E193" s="10"/>
      <c r="F193" s="10"/>
      <c r="G193" s="10"/>
      <c r="H193" s="10"/>
      <c r="I193" s="10"/>
      <c r="K193" s="149">
        <v>12646772</v>
      </c>
      <c r="L193" s="8" t="s">
        <v>3255</v>
      </c>
      <c r="P193" s="40"/>
    </row>
    <row r="194" ht="14" spans="1:18">
      <c r="C194" s="10"/>
      <c r="E194" s="10"/>
      <c r="F194" s="10"/>
      <c r="G194" s="10"/>
      <c r="H194" s="10"/>
      <c r="I194" s="10"/>
      <c r="K194" s="149">
        <v>13666783</v>
      </c>
      <c r="L194" s="8" t="s">
        <v>3256</v>
      </c>
      <c r="P194" s="40"/>
    </row>
    <row r="195" ht="14" spans="1:18">
      <c r="A195" s="6" t="s">
        <v>872</v>
      </c>
      <c r="B195" s="87">
        <v>46148</v>
      </c>
      <c r="C195" s="6" t="str">
        <f>YEAR(B195)&amp;"年"&amp;MONTH(B195)&amp;"月"</f>
        <v>2026年5月</v>
      </c>
      <c r="D195" s="6" t="s">
        <v>12</v>
      </c>
      <c r="E195" s="40"/>
      <c r="F195" s="40" t="s">
        <v>48</v>
      </c>
      <c r="G195" s="107" t="s">
        <v>3257</v>
      </c>
      <c r="H195" s="6" t="s">
        <v>82</v>
      </c>
      <c r="I195" s="168">
        <v>300370</v>
      </c>
      <c r="J195" s="10" t="s">
        <v>173</v>
      </c>
      <c r="K195" s="149">
        <v>1300</v>
      </c>
      <c r="L195" s="8" t="s">
        <v>3258</v>
      </c>
      <c r="M195" s="9" t="s">
        <v>2601</v>
      </c>
      <c r="N195" s="6" t="s">
        <v>2602</v>
      </c>
      <c r="O195" s="10" t="s">
        <v>2436</v>
      </c>
      <c r="P195" s="40"/>
    </row>
    <row r="196" ht="14" spans="1:18">
      <c r="C196" s="10"/>
      <c r="D196" s="109"/>
      <c r="E196" s="40"/>
      <c r="F196" s="10"/>
      <c r="G196" s="10"/>
      <c r="H196" s="10"/>
      <c r="I196" s="10"/>
      <c r="J196" s="10" t="s">
        <v>173</v>
      </c>
      <c r="K196" s="149">
        <v>299070</v>
      </c>
      <c r="L196" s="8" t="s">
        <v>3259</v>
      </c>
      <c r="M196" s="9" t="s">
        <v>1618</v>
      </c>
      <c r="N196" s="6" t="s">
        <v>1619</v>
      </c>
      <c r="O196" s="10" t="s">
        <v>1843</v>
      </c>
      <c r="P196" s="40"/>
    </row>
    <row r="197" ht="25.5" customHeight="1" spans="1:18">
      <c r="A197" s="6" t="s">
        <v>872</v>
      </c>
      <c r="B197" s="87">
        <v>46149</v>
      </c>
      <c r="C197" s="6" t="str">
        <f>YEAR(B197)&amp;"年"&amp;MONTH(B197)&amp;"月"</f>
        <v>2026年5月</v>
      </c>
      <c r="D197" s="6" t="s">
        <v>10</v>
      </c>
      <c r="E197" s="40" t="s">
        <v>3260</v>
      </c>
      <c r="F197" s="40" t="s">
        <v>52</v>
      </c>
      <c r="G197" s="169" t="s">
        <v>3261</v>
      </c>
      <c r="H197" s="6" t="s">
        <v>290</v>
      </c>
      <c r="I197" s="136" t="s">
        <v>2232</v>
      </c>
      <c r="J197" s="10" t="s">
        <v>2232</v>
      </c>
      <c r="K197" s="149"/>
      <c r="L197" s="8"/>
      <c r="M197" s="9" t="s">
        <v>3262</v>
      </c>
      <c r="N197" s="6" t="s">
        <v>3263</v>
      </c>
      <c r="O197" s="10" t="s">
        <v>689</v>
      </c>
      <c r="P197" s="40"/>
    </row>
    <row r="198" ht="25.5" customHeight="1" spans="1:18">
      <c r="A198" s="6" t="s">
        <v>142</v>
      </c>
      <c r="B198" s="87">
        <v>46149</v>
      </c>
      <c r="C198" s="6" t="str">
        <f>YEAR(B198)&amp;"年"&amp;MONTH(B198)&amp;"月"</f>
        <v>2026年5月</v>
      </c>
      <c r="D198" s="6" t="s">
        <v>12</v>
      </c>
      <c r="E198" s="40"/>
      <c r="F198" s="40" t="s">
        <v>48</v>
      </c>
      <c r="G198" s="170" t="s">
        <v>3264</v>
      </c>
      <c r="H198" s="6" t="s">
        <v>290</v>
      </c>
      <c r="I198" s="136">
        <f>SUM(K198:K199)</f>
        <v>19577041.04</v>
      </c>
      <c r="J198" s="10" t="s">
        <v>173</v>
      </c>
      <c r="K198" s="149">
        <v>12867187</v>
      </c>
      <c r="L198" s="8"/>
      <c r="M198" s="9" t="s">
        <v>3147</v>
      </c>
      <c r="N198" s="6" t="s">
        <v>3148</v>
      </c>
      <c r="O198" s="10" t="s">
        <v>2040</v>
      </c>
      <c r="P198" s="40"/>
    </row>
    <row r="199" ht="14" spans="1:18">
      <c r="C199" s="10"/>
      <c r="E199" s="40"/>
      <c r="F199" s="10"/>
      <c r="G199" s="10"/>
      <c r="H199" s="6" t="s">
        <v>290</v>
      </c>
      <c r="I199" s="10"/>
      <c r="J199" s="10" t="s">
        <v>173</v>
      </c>
      <c r="K199" s="149">
        <v>6709854.04</v>
      </c>
      <c r="L199" s="8"/>
      <c r="M199" s="171" t="s">
        <v>3265</v>
      </c>
      <c r="N199" s="6" t="s">
        <v>2039</v>
      </c>
      <c r="P199" s="40"/>
    </row>
    <row r="200" ht="14" spans="1:18">
      <c r="A200" s="6" t="s">
        <v>872</v>
      </c>
      <c r="B200" s="87">
        <v>46151</v>
      </c>
      <c r="C200" s="6" t="str">
        <f>YEAR(B200)&amp;"年"&amp;MONTH(B200)&amp;"月"</f>
        <v>2026年5月</v>
      </c>
      <c r="D200" s="6" t="s">
        <v>11</v>
      </c>
      <c r="E200" s="40"/>
      <c r="F200" s="40" t="s">
        <v>48</v>
      </c>
      <c r="G200" s="169" t="s">
        <v>3266</v>
      </c>
      <c r="H200" s="6" t="s">
        <v>82</v>
      </c>
      <c r="I200" s="136">
        <v>160470.38</v>
      </c>
      <c r="J200" s="10" t="s">
        <v>173</v>
      </c>
      <c r="K200" s="149"/>
      <c r="L200" s="8" t="s">
        <v>3267</v>
      </c>
      <c r="M200" s="9" t="s">
        <v>3268</v>
      </c>
      <c r="N200" s="6" t="s">
        <v>3269</v>
      </c>
      <c r="O200" s="10" t="s">
        <v>550</v>
      </c>
      <c r="P200" s="40"/>
    </row>
    <row r="201" ht="14" spans="1:18">
      <c r="A201" s="6" t="s">
        <v>142</v>
      </c>
      <c r="B201" s="87">
        <v>46154</v>
      </c>
      <c r="C201" s="6" t="str">
        <f>YEAR(B201)&amp;"年"&amp;MONTH(B201)&amp;"月"</f>
        <v>2026年5月</v>
      </c>
      <c r="D201" s="6" t="s">
        <v>10</v>
      </c>
      <c r="E201" s="40" t="s">
        <v>3260</v>
      </c>
      <c r="F201" s="40" t="s">
        <v>52</v>
      </c>
      <c r="G201" s="107" t="s">
        <v>3270</v>
      </c>
      <c r="H201" s="6" t="s">
        <v>290</v>
      </c>
      <c r="I201" s="136" t="s">
        <v>2232</v>
      </c>
      <c r="J201" s="10" t="s">
        <v>2232</v>
      </c>
      <c r="K201" s="149"/>
      <c r="L201" s="8" t="s">
        <v>3271</v>
      </c>
      <c r="M201" s="9" t="s">
        <v>3262</v>
      </c>
      <c r="N201" s="6" t="s">
        <v>3263</v>
      </c>
      <c r="O201" s="10" t="s">
        <v>689</v>
      </c>
      <c r="P201" s="40"/>
    </row>
    <row r="202" ht="26" spans="1:18">
      <c r="A202" s="6" t="s">
        <v>142</v>
      </c>
      <c r="B202" s="87">
        <v>46153</v>
      </c>
      <c r="C202" s="6" t="str">
        <f>YEAR(B202)&amp;"年"&amp;MONTH(B202)&amp;"月"</f>
        <v>2026年5月</v>
      </c>
      <c r="D202" s="6" t="s">
        <v>12</v>
      </c>
      <c r="E202" s="40"/>
      <c r="F202" s="40" t="s">
        <v>39</v>
      </c>
      <c r="G202" s="107" t="s">
        <v>3272</v>
      </c>
      <c r="H202" s="6" t="s">
        <v>82</v>
      </c>
      <c r="I202" s="136">
        <v>3380000</v>
      </c>
      <c r="J202" s="10" t="s">
        <v>173</v>
      </c>
      <c r="K202" s="149"/>
      <c r="L202" s="8"/>
      <c r="M202" s="9" t="s">
        <v>3273</v>
      </c>
      <c r="N202" s="6" t="s">
        <v>3274</v>
      </c>
      <c r="P202" s="40"/>
    </row>
    <row r="203" ht="14" spans="1:18">
      <c r="A203" s="6" t="s">
        <v>872</v>
      </c>
      <c r="B203" s="87">
        <v>46155</v>
      </c>
      <c r="C203" s="6" t="str">
        <f>YEAR(B203)&amp;"年"&amp;MONTH(B203)&amp;"月"</f>
        <v>2026年5月</v>
      </c>
      <c r="D203" s="6" t="s">
        <v>10</v>
      </c>
      <c r="E203" s="40" t="s">
        <v>3260</v>
      </c>
      <c r="F203" s="40" t="s">
        <v>52</v>
      </c>
      <c r="G203" s="169" t="s">
        <v>3275</v>
      </c>
      <c r="H203" s="6" t="s">
        <v>290</v>
      </c>
      <c r="I203" s="136" t="s">
        <v>2232</v>
      </c>
      <c r="J203" s="10" t="s">
        <v>2232</v>
      </c>
      <c r="K203" s="10" t="s">
        <v>2232</v>
      </c>
      <c r="L203" s="8"/>
      <c r="M203" s="9" t="s">
        <v>3262</v>
      </c>
      <c r="N203" s="6" t="s">
        <v>3263</v>
      </c>
      <c r="O203" s="10" t="s">
        <v>689</v>
      </c>
      <c r="P203" s="40"/>
    </row>
    <row r="204" ht="14" spans="1:18">
      <c r="A204" s="6" t="s">
        <v>2727</v>
      </c>
      <c r="B204" s="87">
        <v>46156</v>
      </c>
      <c r="C204" s="6" t="str">
        <f>YEAR(B204)&amp;"年"&amp;MONTH(B204)&amp;"月"</f>
        <v>2026年5月</v>
      </c>
      <c r="D204" s="6" t="s">
        <v>10</v>
      </c>
      <c r="E204" s="40"/>
      <c r="F204" s="40" t="s">
        <v>2035</v>
      </c>
      <c r="G204" s="107" t="s">
        <v>3276</v>
      </c>
      <c r="H204" s="6" t="s">
        <v>82</v>
      </c>
      <c r="I204" s="136">
        <f>SUM(K204:K212)</f>
        <v>5206100406.07</v>
      </c>
      <c r="J204" s="10" t="s">
        <v>1349</v>
      </c>
      <c r="K204" s="167">
        <v>158275878</v>
      </c>
      <c r="L204" s="8" t="s">
        <v>3277</v>
      </c>
      <c r="M204" s="9" t="s">
        <v>3278</v>
      </c>
      <c r="N204" s="6" t="s">
        <v>3279</v>
      </c>
      <c r="O204" s="10" t="s">
        <v>674</v>
      </c>
      <c r="P204" s="40"/>
      <c r="Q204" s="166">
        <v>46189</v>
      </c>
      <c r="R204" s="166">
        <v>46197</v>
      </c>
    </row>
    <row r="205" ht="14" spans="1:18">
      <c r="B205" s="87"/>
      <c r="C205" s="6"/>
      <c r="E205" s="40"/>
      <c r="F205" s="40"/>
      <c r="H205" s="10"/>
      <c r="K205" s="167">
        <v>1052131553</v>
      </c>
      <c r="L205" s="8" t="s">
        <v>3280</v>
      </c>
      <c r="P205" s="40"/>
      <c r="Q205" s="166">
        <v>46189</v>
      </c>
    </row>
    <row r="206" ht="14" spans="1:18">
      <c r="B206" s="87"/>
      <c r="C206" s="6"/>
      <c r="E206" s="40"/>
      <c r="F206" s="40"/>
      <c r="H206" s="6" t="s">
        <v>82</v>
      </c>
      <c r="K206" s="167">
        <v>50000000</v>
      </c>
      <c r="L206" s="8" t="s">
        <v>3281</v>
      </c>
      <c r="M206" s="9" t="s">
        <v>3282</v>
      </c>
      <c r="N206" s="92" t="s">
        <v>3283</v>
      </c>
      <c r="O206" s="10" t="s">
        <v>3284</v>
      </c>
      <c r="P206" s="40"/>
    </row>
    <row r="207" ht="14" spans="1:18">
      <c r="B207" s="87"/>
      <c r="C207" s="6"/>
      <c r="E207" s="40"/>
      <c r="F207" s="40"/>
      <c r="H207" s="6" t="s">
        <v>82</v>
      </c>
      <c r="K207" s="167">
        <v>639685.07</v>
      </c>
      <c r="L207" s="8" t="s">
        <v>3285</v>
      </c>
      <c r="M207" s="9" t="s">
        <v>3286</v>
      </c>
      <c r="N207" s="92" t="s">
        <v>3287</v>
      </c>
      <c r="O207" s="10" t="s">
        <v>689</v>
      </c>
      <c r="P207" s="40"/>
    </row>
    <row r="208" ht="14" spans="1:18">
      <c r="B208" s="87"/>
      <c r="C208" s="6"/>
      <c r="E208" s="40"/>
      <c r="F208" s="40"/>
      <c r="H208" s="6" t="s">
        <v>82</v>
      </c>
      <c r="K208" s="167">
        <v>802701588</v>
      </c>
      <c r="L208" s="8" t="s">
        <v>3288</v>
      </c>
      <c r="M208" s="9" t="s">
        <v>3289</v>
      </c>
      <c r="N208" s="92" t="s">
        <v>3290</v>
      </c>
      <c r="O208" s="10" t="s">
        <v>1914</v>
      </c>
      <c r="P208" s="40"/>
    </row>
    <row r="209" ht="14" spans="1:20">
      <c r="B209" s="87"/>
      <c r="C209" s="6"/>
      <c r="E209" s="40"/>
      <c r="F209" s="40"/>
      <c r="H209" s="10"/>
      <c r="K209" s="167">
        <v>392351702</v>
      </c>
      <c r="L209" s="8" t="s">
        <v>3291</v>
      </c>
      <c r="P209" s="40"/>
    </row>
    <row r="210" ht="14" spans="1:20">
      <c r="C210" s="10"/>
      <c r="E210" s="40"/>
      <c r="F210" s="10"/>
      <c r="G210" s="10"/>
      <c r="H210" s="10"/>
      <c r="I210" s="10"/>
      <c r="K210" s="167">
        <v>1000000000</v>
      </c>
      <c r="L210" s="8" t="s">
        <v>3292</v>
      </c>
      <c r="P210" s="40"/>
    </row>
    <row r="211" ht="14" spans="1:20">
      <c r="C211" s="10"/>
      <c r="E211" s="40"/>
      <c r="F211" s="10"/>
      <c r="G211" s="10"/>
      <c r="H211" s="6" t="s">
        <v>82</v>
      </c>
      <c r="I211" s="10"/>
      <c r="K211" s="167">
        <v>850000000</v>
      </c>
      <c r="L211" s="8" t="s">
        <v>3293</v>
      </c>
      <c r="M211" s="9" t="s">
        <v>2037</v>
      </c>
      <c r="N211" s="92" t="s">
        <v>2039</v>
      </c>
      <c r="O211" s="10" t="s">
        <v>2040</v>
      </c>
      <c r="P211" s="40"/>
    </row>
    <row r="212" ht="14" spans="1:20">
      <c r="C212" s="10"/>
      <c r="E212" s="40"/>
      <c r="F212" s="10"/>
      <c r="G212" s="10"/>
      <c r="H212" s="6" t="s">
        <v>82</v>
      </c>
      <c r="I212" s="10"/>
      <c r="K212" s="167">
        <v>900000000</v>
      </c>
      <c r="L212" s="8" t="s">
        <v>3294</v>
      </c>
      <c r="P212" s="40"/>
    </row>
    <row r="213" ht="14" spans="1:20">
      <c r="A213" s="6" t="s">
        <v>142</v>
      </c>
      <c r="B213" s="87">
        <v>46157</v>
      </c>
      <c r="C213" s="6" t="str">
        <f>YEAR(B213)&amp;"年"&amp;MONTH(B213)&amp;"月"</f>
        <v>2026年5月</v>
      </c>
      <c r="D213" s="6" t="s">
        <v>11</v>
      </c>
      <c r="E213" s="40"/>
      <c r="F213" s="40" t="s">
        <v>48</v>
      </c>
      <c r="G213" s="107" t="s">
        <v>3295</v>
      </c>
      <c r="H213" s="6" t="s">
        <v>82</v>
      </c>
      <c r="I213" s="172">
        <v>202748</v>
      </c>
      <c r="J213" s="10" t="s">
        <v>173</v>
      </c>
      <c r="L213" s="8"/>
      <c r="M213" s="9" t="s">
        <v>3296</v>
      </c>
      <c r="N213" s="6" t="s">
        <v>3297</v>
      </c>
      <c r="P213" s="40"/>
    </row>
    <row r="214" ht="14" spans="1:20">
      <c r="A214" s="41" t="s">
        <v>872</v>
      </c>
      <c r="B214" s="87">
        <v>46157</v>
      </c>
      <c r="C214" s="6" t="str">
        <f>YEAR(B214)&amp;"年"&amp;MONTH(B214)&amp;"月"</f>
        <v>2026年5月</v>
      </c>
      <c r="D214" s="6" t="s">
        <v>12</v>
      </c>
      <c r="E214" s="40"/>
      <c r="F214" s="40" t="s">
        <v>48</v>
      </c>
      <c r="G214" s="107" t="s">
        <v>3298</v>
      </c>
      <c r="H214" s="6" t="s">
        <v>82</v>
      </c>
      <c r="I214" s="168">
        <f>SUM(K214:K218)</f>
        <v>2035580</v>
      </c>
      <c r="J214" s="10" t="s">
        <v>173</v>
      </c>
      <c r="K214" s="167">
        <v>482090</v>
      </c>
      <c r="L214" s="8" t="s">
        <v>3299</v>
      </c>
      <c r="M214" s="9" t="s">
        <v>3300</v>
      </c>
      <c r="N214" s="6" t="s">
        <v>3301</v>
      </c>
      <c r="O214" s="10" t="s">
        <v>2701</v>
      </c>
      <c r="P214" s="40"/>
    </row>
    <row r="215" ht="14" spans="1:20">
      <c r="C215" s="10"/>
      <c r="E215" s="40"/>
      <c r="F215" s="10"/>
      <c r="G215" s="10"/>
      <c r="H215" s="10"/>
      <c r="I215" s="10"/>
      <c r="K215" s="167">
        <v>462640</v>
      </c>
      <c r="L215" s="8" t="s">
        <v>3302</v>
      </c>
      <c r="P215" s="40"/>
    </row>
    <row r="216" ht="14" spans="1:20">
      <c r="C216" s="10"/>
      <c r="E216" s="40"/>
      <c r="F216" s="10"/>
      <c r="G216" s="10"/>
      <c r="H216" s="10"/>
      <c r="I216" s="10"/>
      <c r="K216" s="167">
        <v>472380</v>
      </c>
      <c r="L216" s="8" t="s">
        <v>3303</v>
      </c>
      <c r="P216" s="40"/>
    </row>
    <row r="217" ht="14" spans="1:20">
      <c r="C217" s="10"/>
      <c r="E217" s="40"/>
      <c r="F217" s="10"/>
      <c r="G217" s="10"/>
      <c r="H217" s="10"/>
      <c r="I217" s="10"/>
      <c r="K217" s="167">
        <v>311670</v>
      </c>
      <c r="L217" s="8" t="s">
        <v>3304</v>
      </c>
      <c r="P217" s="40"/>
    </row>
    <row r="218" ht="14" spans="1:20">
      <c r="C218" s="10"/>
      <c r="E218" s="40"/>
      <c r="F218" s="10"/>
      <c r="G218" s="10"/>
      <c r="H218" s="10"/>
      <c r="I218" s="10"/>
      <c r="K218" s="167">
        <v>306800</v>
      </c>
      <c r="L218" s="8" t="s">
        <v>3305</v>
      </c>
      <c r="P218" s="40"/>
    </row>
    <row r="219" ht="14" spans="1:20">
      <c r="A219" s="6" t="s">
        <v>872</v>
      </c>
      <c r="B219" s="87">
        <v>46158</v>
      </c>
      <c r="C219" s="6" t="str">
        <f t="shared" ref="C219:C233" si="6">YEAR(B219)&amp;"年"&amp;MONTH(B219)&amp;"月"</f>
        <v>2026年5月</v>
      </c>
      <c r="D219" s="6" t="s">
        <v>10</v>
      </c>
      <c r="E219" s="40"/>
      <c r="F219" s="40" t="s">
        <v>3306</v>
      </c>
      <c r="G219" s="107" t="s">
        <v>3307</v>
      </c>
      <c r="H219" s="6" t="s">
        <v>82</v>
      </c>
      <c r="I219" s="136" t="s">
        <v>2232</v>
      </c>
      <c r="J219" s="10" t="s">
        <v>2232</v>
      </c>
      <c r="K219" s="10" t="s">
        <v>2232</v>
      </c>
      <c r="L219" s="8" t="s">
        <v>3308</v>
      </c>
      <c r="M219" s="9" t="s">
        <v>2275</v>
      </c>
      <c r="N219" s="6" t="s">
        <v>2277</v>
      </c>
      <c r="O219" s="10" t="s">
        <v>2436</v>
      </c>
      <c r="P219" s="40"/>
    </row>
    <row r="220" ht="14" spans="1:20">
      <c r="A220" s="6" t="s">
        <v>872</v>
      </c>
      <c r="B220" s="87">
        <v>46160</v>
      </c>
      <c r="C220" s="6" t="str">
        <f t="shared" si="6"/>
        <v>2026年5月</v>
      </c>
      <c r="D220" s="6" t="s">
        <v>10</v>
      </c>
      <c r="E220" s="40" t="s">
        <v>3260</v>
      </c>
      <c r="F220" s="40" t="s">
        <v>52</v>
      </c>
      <c r="G220" s="169" t="s">
        <v>3309</v>
      </c>
      <c r="H220" s="6" t="s">
        <v>82</v>
      </c>
      <c r="I220" s="136" t="s">
        <v>2232</v>
      </c>
      <c r="J220" s="10" t="s">
        <v>2232</v>
      </c>
      <c r="K220" s="10" t="s">
        <v>2232</v>
      </c>
      <c r="L220" s="8" t="s">
        <v>3310</v>
      </c>
      <c r="M220" s="9" t="s">
        <v>3311</v>
      </c>
      <c r="N220" s="6" t="s">
        <v>3312</v>
      </c>
      <c r="O220" s="10" t="s">
        <v>927</v>
      </c>
      <c r="P220" s="40"/>
      <c r="Q220" s="7">
        <v>46188</v>
      </c>
      <c r="R220" s="7">
        <v>46197</v>
      </c>
    </row>
    <row r="221" ht="14" spans="1:20">
      <c r="A221" s="6" t="s">
        <v>872</v>
      </c>
      <c r="B221" s="87">
        <v>46161</v>
      </c>
      <c r="C221" s="6" t="str">
        <f t="shared" si="6"/>
        <v>2026年5月</v>
      </c>
      <c r="D221" s="6" t="s">
        <v>10</v>
      </c>
      <c r="E221" s="40" t="s">
        <v>3260</v>
      </c>
      <c r="F221" s="40" t="s">
        <v>52</v>
      </c>
      <c r="G221" s="169" t="s">
        <v>3313</v>
      </c>
      <c r="H221" s="6" t="s">
        <v>82</v>
      </c>
      <c r="I221" s="136" t="s">
        <v>2232</v>
      </c>
      <c r="J221" s="10" t="s">
        <v>2232</v>
      </c>
      <c r="K221" s="10" t="s">
        <v>2232</v>
      </c>
      <c r="L221" s="8" t="s">
        <v>3314</v>
      </c>
      <c r="M221" s="9" t="s">
        <v>3311</v>
      </c>
      <c r="N221" s="6" t="s">
        <v>3312</v>
      </c>
      <c r="O221" s="10" t="s">
        <v>927</v>
      </c>
      <c r="P221" s="40"/>
      <c r="Q221" s="7">
        <v>46162</v>
      </c>
      <c r="R221" s="7">
        <v>46164</v>
      </c>
      <c r="S221" s="7">
        <v>46170</v>
      </c>
      <c r="T221" s="7">
        <v>46181</v>
      </c>
    </row>
    <row r="222" ht="26" spans="1:20">
      <c r="A222" s="6" t="s">
        <v>872</v>
      </c>
      <c r="B222" s="87">
        <v>46163</v>
      </c>
      <c r="C222" s="6" t="str">
        <f t="shared" si="6"/>
        <v>2026年5月</v>
      </c>
      <c r="D222" s="6" t="s">
        <v>12</v>
      </c>
      <c r="E222" s="40"/>
      <c r="F222" s="40" t="s">
        <v>53</v>
      </c>
      <c r="G222" s="107" t="s">
        <v>2617</v>
      </c>
      <c r="H222" s="6" t="s">
        <v>82</v>
      </c>
      <c r="I222" s="136" t="s">
        <v>2232</v>
      </c>
      <c r="J222" s="10" t="s">
        <v>2232</v>
      </c>
      <c r="K222" s="10" t="s">
        <v>2232</v>
      </c>
      <c r="M222" s="9" t="s">
        <v>2619</v>
      </c>
      <c r="N222" s="6" t="s">
        <v>3315</v>
      </c>
      <c r="O222" s="10" t="s">
        <v>1914</v>
      </c>
      <c r="P222" s="40"/>
    </row>
    <row r="223" ht="26" spans="1:20">
      <c r="A223" s="6" t="s">
        <v>872</v>
      </c>
      <c r="B223" s="87">
        <v>46164</v>
      </c>
      <c r="C223" s="6" t="str">
        <f t="shared" si="6"/>
        <v>2026年5月</v>
      </c>
      <c r="D223" s="6" t="s">
        <v>11</v>
      </c>
      <c r="E223" s="40"/>
      <c r="F223" s="40" t="s">
        <v>39</v>
      </c>
      <c r="G223" s="169" t="s">
        <v>3316</v>
      </c>
      <c r="H223" s="6" t="s">
        <v>82</v>
      </c>
      <c r="I223" s="136">
        <v>5960</v>
      </c>
      <c r="J223" s="10" t="s">
        <v>173</v>
      </c>
      <c r="K223" s="10">
        <v>5960</v>
      </c>
      <c r="L223" s="9" t="s">
        <v>3317</v>
      </c>
      <c r="M223" s="9" t="s">
        <v>3318</v>
      </c>
      <c r="N223" s="6" t="s">
        <v>3319</v>
      </c>
      <c r="P223" s="40"/>
    </row>
    <row r="224" ht="14" spans="1:20">
      <c r="A224" s="6" t="s">
        <v>872</v>
      </c>
      <c r="B224" s="87">
        <v>46166</v>
      </c>
      <c r="C224" s="6" t="str">
        <f t="shared" si="6"/>
        <v>2026年5月</v>
      </c>
      <c r="D224" s="6" t="s">
        <v>10</v>
      </c>
      <c r="E224" s="40"/>
      <c r="F224" s="40" t="s">
        <v>44</v>
      </c>
      <c r="G224" s="107" t="s">
        <v>3320</v>
      </c>
      <c r="H224" s="6" t="s">
        <v>82</v>
      </c>
      <c r="I224" s="168">
        <v>494050.84</v>
      </c>
      <c r="J224" s="10" t="s">
        <v>173</v>
      </c>
      <c r="K224" s="10" t="s">
        <v>2232</v>
      </c>
      <c r="L224" s="9" t="s">
        <v>3321</v>
      </c>
      <c r="M224" s="9" t="s">
        <v>708</v>
      </c>
      <c r="N224" s="6" t="s">
        <v>709</v>
      </c>
      <c r="O224" s="10" t="s">
        <v>3250</v>
      </c>
      <c r="P224" s="40"/>
    </row>
    <row r="225" ht="26" spans="1:16">
      <c r="A225" s="6" t="s">
        <v>142</v>
      </c>
      <c r="B225" s="87">
        <v>46168</v>
      </c>
      <c r="C225" s="6" t="str">
        <f t="shared" si="6"/>
        <v>2026年5月</v>
      </c>
      <c r="D225" s="6" t="s">
        <v>12</v>
      </c>
      <c r="E225" s="40"/>
      <c r="F225" s="40" t="s">
        <v>39</v>
      </c>
      <c r="G225" s="169" t="s">
        <v>3322</v>
      </c>
      <c r="H225" s="6" t="s">
        <v>82</v>
      </c>
      <c r="I225" s="172">
        <v>13166823</v>
      </c>
      <c r="J225" s="10" t="s">
        <v>173</v>
      </c>
      <c r="M225" s="9" t="s">
        <v>3323</v>
      </c>
      <c r="N225" s="6" t="s">
        <v>3324</v>
      </c>
      <c r="P225" s="40"/>
    </row>
    <row r="226" ht="26" spans="1:16">
      <c r="A226" s="6" t="s">
        <v>872</v>
      </c>
      <c r="B226" s="87">
        <v>46169</v>
      </c>
      <c r="C226" s="6" t="str">
        <f t="shared" si="6"/>
        <v>2026年5月</v>
      </c>
      <c r="D226" s="6" t="s">
        <v>12</v>
      </c>
      <c r="E226" s="40"/>
      <c r="F226" s="40" t="s">
        <v>39</v>
      </c>
      <c r="G226" s="169" t="s">
        <v>3325</v>
      </c>
      <c r="H226" s="6" t="s">
        <v>82</v>
      </c>
      <c r="I226" s="136">
        <v>7317854</v>
      </c>
      <c r="J226" s="10" t="s">
        <v>2969</v>
      </c>
      <c r="K226" s="10" t="s">
        <v>2232</v>
      </c>
      <c r="M226" s="9" t="s">
        <v>3011</v>
      </c>
      <c r="N226" s="6" t="s">
        <v>3012</v>
      </c>
      <c r="O226" s="10" t="s">
        <v>2040</v>
      </c>
      <c r="P226" s="40"/>
    </row>
    <row r="227" ht="14" spans="1:16">
      <c r="A227" s="6" t="s">
        <v>872</v>
      </c>
      <c r="B227" s="87">
        <v>46169</v>
      </c>
      <c r="C227" s="6" t="str">
        <f t="shared" si="6"/>
        <v>2026年5月</v>
      </c>
      <c r="D227" s="6" t="s">
        <v>12</v>
      </c>
      <c r="E227" s="40"/>
      <c r="F227" s="40" t="s">
        <v>48</v>
      </c>
      <c r="G227" s="169" t="s">
        <v>3326</v>
      </c>
      <c r="H227" s="6" t="s">
        <v>82</v>
      </c>
      <c r="I227" s="136">
        <v>463890.3</v>
      </c>
      <c r="J227" s="10" t="s">
        <v>173</v>
      </c>
      <c r="K227" s="10" t="s">
        <v>2232</v>
      </c>
      <c r="M227" s="9" t="s">
        <v>3327</v>
      </c>
      <c r="N227" s="6" t="s">
        <v>3328</v>
      </c>
      <c r="O227" s="10" t="s">
        <v>2040</v>
      </c>
      <c r="P227" s="40"/>
    </row>
    <row r="228" ht="14" spans="1:16">
      <c r="A228" s="6" t="s">
        <v>872</v>
      </c>
      <c r="B228" s="87">
        <v>46169</v>
      </c>
      <c r="C228" s="6" t="str">
        <f t="shared" si="6"/>
        <v>2026年5月</v>
      </c>
      <c r="D228" s="6" t="s">
        <v>11</v>
      </c>
      <c r="E228" s="40"/>
      <c r="F228" s="40" t="s">
        <v>48</v>
      </c>
      <c r="G228" s="169" t="s">
        <v>3329</v>
      </c>
      <c r="H228" s="6" t="s">
        <v>82</v>
      </c>
      <c r="I228" s="172">
        <v>146682</v>
      </c>
      <c r="J228" s="10" t="s">
        <v>173</v>
      </c>
      <c r="K228" s="10" t="s">
        <v>2232</v>
      </c>
      <c r="M228" s="9" t="s">
        <v>3330</v>
      </c>
      <c r="N228" s="6" t="s">
        <v>3331</v>
      </c>
      <c r="O228" s="10" t="s">
        <v>674</v>
      </c>
      <c r="P228" s="40"/>
    </row>
    <row r="229" ht="52" spans="1:16">
      <c r="A229" s="6" t="s">
        <v>872</v>
      </c>
      <c r="B229" s="87">
        <v>46169</v>
      </c>
      <c r="C229" s="6" t="str">
        <f t="shared" si="6"/>
        <v>2026年5月</v>
      </c>
      <c r="D229" s="6" t="s">
        <v>10</v>
      </c>
      <c r="E229" s="40" t="s">
        <v>3260</v>
      </c>
      <c r="F229" s="40" t="s">
        <v>52</v>
      </c>
      <c r="G229" s="169" t="s">
        <v>3332</v>
      </c>
      <c r="H229" s="6" t="s">
        <v>82</v>
      </c>
      <c r="I229" s="136" t="s">
        <v>2232</v>
      </c>
      <c r="J229" s="10" t="s">
        <v>2232</v>
      </c>
      <c r="K229" s="10" t="s">
        <v>2232</v>
      </c>
      <c r="L229" s="173" t="s">
        <v>3333</v>
      </c>
      <c r="M229" s="9" t="s">
        <v>3334</v>
      </c>
      <c r="N229" s="6" t="s">
        <v>3335</v>
      </c>
      <c r="O229" s="10" t="s">
        <v>689</v>
      </c>
      <c r="P229" s="40"/>
    </row>
    <row r="230" ht="14" spans="1:16">
      <c r="A230" s="6" t="s">
        <v>872</v>
      </c>
      <c r="B230" s="87">
        <v>46170</v>
      </c>
      <c r="C230" s="6" t="str">
        <f t="shared" si="6"/>
        <v>2026年5月</v>
      </c>
      <c r="D230" s="6" t="s">
        <v>10</v>
      </c>
      <c r="E230" s="40" t="s">
        <v>3260</v>
      </c>
      <c r="F230" s="40" t="s">
        <v>52</v>
      </c>
      <c r="G230" s="174" t="s">
        <v>3336</v>
      </c>
      <c r="H230" s="6" t="s">
        <v>290</v>
      </c>
      <c r="I230" s="136" t="s">
        <v>2232</v>
      </c>
      <c r="J230" s="10" t="s">
        <v>2232</v>
      </c>
      <c r="K230" s="10" t="s">
        <v>2232</v>
      </c>
      <c r="L230" s="10" t="s">
        <v>3337</v>
      </c>
      <c r="M230" s="9" t="s">
        <v>3338</v>
      </c>
      <c r="N230" s="6" t="s">
        <v>3339</v>
      </c>
      <c r="O230" s="10" t="s">
        <v>689</v>
      </c>
      <c r="P230" s="40"/>
    </row>
    <row r="231" ht="14" spans="1:16">
      <c r="A231" s="10" t="s">
        <v>78</v>
      </c>
      <c r="B231" s="87">
        <v>46171</v>
      </c>
      <c r="C231" s="6" t="str">
        <f t="shared" si="6"/>
        <v>2026年5月</v>
      </c>
      <c r="D231" s="6" t="s">
        <v>10</v>
      </c>
      <c r="E231" s="40"/>
      <c r="F231" s="40" t="s">
        <v>42</v>
      </c>
      <c r="G231" s="107" t="s">
        <v>3340</v>
      </c>
      <c r="H231" s="6" t="s">
        <v>82</v>
      </c>
      <c r="I231" s="136" t="s">
        <v>2232</v>
      </c>
      <c r="J231" s="10" t="s">
        <v>2232</v>
      </c>
      <c r="L231" s="10" t="s">
        <v>3341</v>
      </c>
      <c r="M231" s="9" t="s">
        <v>3342</v>
      </c>
      <c r="N231" s="6" t="s">
        <v>3343</v>
      </c>
      <c r="O231" s="10" t="s">
        <v>261</v>
      </c>
      <c r="P231" s="40" t="s">
        <v>3003</v>
      </c>
    </row>
    <row r="232" ht="26" spans="1:16">
      <c r="A232" s="6" t="s">
        <v>872</v>
      </c>
      <c r="B232" s="87">
        <v>46148</v>
      </c>
      <c r="C232" s="6" t="str">
        <f t="shared" si="6"/>
        <v>2026年5月</v>
      </c>
      <c r="D232" s="6" t="s">
        <v>11</v>
      </c>
      <c r="E232" s="40"/>
      <c r="F232" s="40" t="s">
        <v>39</v>
      </c>
      <c r="G232" s="107" t="s">
        <v>3344</v>
      </c>
      <c r="H232" s="6" t="s">
        <v>290</v>
      </c>
      <c r="I232" s="136">
        <v>555.204</v>
      </c>
      <c r="K232" s="173" t="s">
        <v>3345</v>
      </c>
      <c r="L232" s="10" t="s">
        <v>3346</v>
      </c>
      <c r="M232" s="9" t="s">
        <v>3347</v>
      </c>
      <c r="N232" s="6" t="s">
        <v>3348</v>
      </c>
      <c r="P232" s="40"/>
    </row>
    <row r="233" ht="25.5" customHeight="1" spans="1:16">
      <c r="A233" s="6" t="s">
        <v>872</v>
      </c>
      <c r="B233" s="87">
        <v>46174</v>
      </c>
      <c r="C233" s="6" t="str">
        <f t="shared" si="6"/>
        <v>2026年6月</v>
      </c>
      <c r="D233" s="11" t="s">
        <v>11</v>
      </c>
      <c r="E233" s="40"/>
      <c r="F233" s="40" t="s">
        <v>48</v>
      </c>
      <c r="G233" s="107" t="s">
        <v>3349</v>
      </c>
      <c r="H233" s="6" t="s">
        <v>82</v>
      </c>
      <c r="I233" s="168">
        <v>149900</v>
      </c>
      <c r="J233" s="10" t="s">
        <v>173</v>
      </c>
      <c r="L233" s="9" t="s">
        <v>2565</v>
      </c>
      <c r="M233" s="10" t="s">
        <v>2424</v>
      </c>
      <c r="N233" s="6" t="s">
        <v>2425</v>
      </c>
      <c r="P233" s="40"/>
    </row>
    <row r="234" ht="14" spans="1:16">
      <c r="C234" s="10"/>
      <c r="D234" s="12"/>
      <c r="E234" s="40"/>
      <c r="F234" s="10"/>
      <c r="G234" s="10"/>
      <c r="H234" s="10"/>
      <c r="I234" s="136">
        <v>29880</v>
      </c>
      <c r="J234" s="10" t="s">
        <v>173</v>
      </c>
      <c r="L234" s="9" t="s">
        <v>2568</v>
      </c>
      <c r="M234" s="9" t="s">
        <v>2569</v>
      </c>
      <c r="N234" s="6" t="s">
        <v>2570</v>
      </c>
      <c r="P234" s="40"/>
    </row>
    <row r="235" ht="14" spans="1:16">
      <c r="C235" s="10"/>
      <c r="D235" s="12"/>
      <c r="E235" s="40"/>
      <c r="F235" s="10"/>
      <c r="G235" s="10"/>
      <c r="H235" s="10"/>
      <c r="I235" s="168">
        <v>2046</v>
      </c>
      <c r="J235" s="10" t="s">
        <v>149</v>
      </c>
      <c r="L235" s="9" t="s">
        <v>2573</v>
      </c>
      <c r="M235" s="9" t="s">
        <v>2574</v>
      </c>
      <c r="N235" s="6" t="s">
        <v>2575</v>
      </c>
      <c r="P235" s="40"/>
    </row>
    <row r="236" ht="14" spans="1:16">
      <c r="C236" s="10"/>
      <c r="D236" s="13"/>
      <c r="E236" s="40"/>
      <c r="F236" s="10"/>
      <c r="G236" s="10"/>
      <c r="H236" s="10"/>
      <c r="I236" s="136">
        <v>27516</v>
      </c>
      <c r="J236" s="10" t="s">
        <v>173</v>
      </c>
      <c r="L236" s="9" t="s">
        <v>2578</v>
      </c>
      <c r="M236" s="10" t="s">
        <v>2424</v>
      </c>
      <c r="N236" s="6" t="s">
        <v>2425</v>
      </c>
      <c r="P236" s="40"/>
    </row>
    <row r="237" ht="14" spans="1:16">
      <c r="A237" s="6" t="s">
        <v>142</v>
      </c>
      <c r="B237" s="7">
        <v>46175</v>
      </c>
      <c r="C237" s="6" t="str">
        <f>YEAR(B237)&amp;"年"&amp;MONTH(B237)&amp;"月"</f>
        <v>2026年6月</v>
      </c>
      <c r="D237" s="6" t="s">
        <v>12</v>
      </c>
      <c r="E237" s="40"/>
      <c r="F237" s="40" t="s">
        <v>39</v>
      </c>
      <c r="G237" s="169" t="s">
        <v>3350</v>
      </c>
      <c r="H237" s="11" t="s">
        <v>82</v>
      </c>
      <c r="I237" s="175" t="s">
        <v>2232</v>
      </c>
      <c r="J237" s="176" t="s">
        <v>2232</v>
      </c>
      <c r="M237" s="9" t="s">
        <v>3351</v>
      </c>
      <c r="N237" s="6" t="s">
        <v>3352</v>
      </c>
      <c r="P237" s="40"/>
    </row>
    <row r="238" ht="14" spans="1:16">
      <c r="C238" s="10"/>
      <c r="E238" s="40"/>
      <c r="F238" s="10"/>
      <c r="G238" s="10"/>
      <c r="H238" s="12"/>
      <c r="I238" s="12"/>
      <c r="J238" s="12"/>
      <c r="M238" s="9" t="s">
        <v>3353</v>
      </c>
      <c r="N238" s="6" t="s">
        <v>3354</v>
      </c>
      <c r="P238" s="40"/>
    </row>
    <row r="239" ht="14" spans="1:16">
      <c r="C239" s="10"/>
      <c r="E239" s="40"/>
      <c r="F239" s="10"/>
      <c r="G239" s="10"/>
      <c r="H239" s="12"/>
      <c r="I239" s="12"/>
      <c r="J239" s="12"/>
      <c r="M239" s="9" t="s">
        <v>3355</v>
      </c>
      <c r="N239" s="6" t="s">
        <v>3356</v>
      </c>
      <c r="P239" s="40"/>
    </row>
    <row r="240" ht="14" spans="1:16">
      <c r="C240" s="10"/>
      <c r="E240" s="40"/>
      <c r="F240" s="10"/>
      <c r="G240" s="10"/>
      <c r="H240" s="12"/>
      <c r="I240" s="12"/>
      <c r="J240" s="12"/>
      <c r="M240" s="9" t="s">
        <v>3357</v>
      </c>
      <c r="N240" s="6" t="s">
        <v>3358</v>
      </c>
      <c r="P240" s="40"/>
    </row>
    <row r="241" ht="14" spans="1:18">
      <c r="C241" s="10"/>
      <c r="E241" s="40"/>
      <c r="F241" s="10"/>
      <c r="G241" s="10"/>
      <c r="H241" s="12"/>
      <c r="I241" s="12"/>
      <c r="J241" s="12"/>
      <c r="M241" s="10" t="s">
        <v>3359</v>
      </c>
      <c r="N241" s="6" t="s">
        <v>3360</v>
      </c>
      <c r="P241" s="40"/>
    </row>
    <row r="242" ht="14" spans="1:18">
      <c r="C242" s="10"/>
      <c r="E242" s="40"/>
      <c r="F242" s="10"/>
      <c r="G242" s="10"/>
      <c r="H242" s="12"/>
      <c r="I242" s="12"/>
      <c r="J242" s="12"/>
      <c r="M242" s="10" t="s">
        <v>3361</v>
      </c>
      <c r="N242" s="6" t="s">
        <v>3362</v>
      </c>
      <c r="P242" s="40"/>
    </row>
    <row r="243" ht="14" spans="1:18">
      <c r="C243" s="10"/>
      <c r="E243" s="40"/>
      <c r="F243" s="10"/>
      <c r="G243" s="10"/>
      <c r="H243" s="13"/>
      <c r="I243" s="13"/>
      <c r="J243" s="13"/>
      <c r="M243" s="10" t="s">
        <v>3363</v>
      </c>
      <c r="N243" s="6" t="s">
        <v>3364</v>
      </c>
      <c r="P243" s="40"/>
    </row>
    <row r="244" ht="14" spans="1:18">
      <c r="A244" s="6" t="s">
        <v>872</v>
      </c>
      <c r="B244" s="87">
        <v>46177</v>
      </c>
      <c r="C244" s="6" t="str">
        <f>YEAR(B244)&amp;"年"&amp;MONTH(B244)&amp;"月"</f>
        <v>2026年6月</v>
      </c>
      <c r="D244" s="6" t="s">
        <v>11</v>
      </c>
      <c r="E244" s="40"/>
      <c r="F244" s="40" t="s">
        <v>3077</v>
      </c>
      <c r="G244" s="107" t="s">
        <v>3365</v>
      </c>
      <c r="H244" s="6" t="s">
        <v>82</v>
      </c>
      <c r="I244" s="168">
        <v>499900000</v>
      </c>
      <c r="J244" s="10" t="s">
        <v>1037</v>
      </c>
      <c r="L244" s="9" t="s">
        <v>3366</v>
      </c>
      <c r="M244" s="9" t="s">
        <v>2613</v>
      </c>
      <c r="N244" s="6" t="s">
        <v>2614</v>
      </c>
      <c r="P244" s="40"/>
      <c r="Q244" s="7"/>
      <c r="R244" s="7"/>
    </row>
    <row r="245" ht="52" spans="1:18">
      <c r="A245" s="6" t="s">
        <v>872</v>
      </c>
      <c r="B245" s="87">
        <v>46178</v>
      </c>
      <c r="C245" s="6" t="str">
        <f>YEAR(B245)&amp;"年"&amp;MONTH(B245)&amp;"月"</f>
        <v>2026年6月</v>
      </c>
      <c r="D245" s="6" t="s">
        <v>12</v>
      </c>
      <c r="E245" s="40"/>
      <c r="F245" s="40" t="s">
        <v>39</v>
      </c>
      <c r="G245" s="107" t="s">
        <v>3367</v>
      </c>
      <c r="H245" s="6" t="s">
        <v>82</v>
      </c>
      <c r="I245" s="168">
        <v>98558.92</v>
      </c>
      <c r="J245" s="10" t="s">
        <v>1567</v>
      </c>
      <c r="L245" s="173" t="s">
        <v>3368</v>
      </c>
      <c r="M245" s="9" t="s">
        <v>3369</v>
      </c>
      <c r="N245" s="6" t="s">
        <v>3370</v>
      </c>
      <c r="O245" s="10" t="s">
        <v>1568</v>
      </c>
      <c r="P245" s="40"/>
    </row>
    <row r="246" ht="14" spans="1:18">
      <c r="A246" s="6" t="s">
        <v>142</v>
      </c>
      <c r="B246" s="87">
        <v>46181</v>
      </c>
      <c r="C246" s="6" t="str">
        <f>YEAR(B246)&amp;"年"&amp;MONTH(B246)&amp;"月"</f>
        <v>2026年6月</v>
      </c>
      <c r="D246" s="6" t="s">
        <v>12</v>
      </c>
      <c r="E246" s="40"/>
      <c r="F246" s="40" t="s">
        <v>48</v>
      </c>
      <c r="G246" s="177" t="s">
        <v>3371</v>
      </c>
      <c r="H246" s="6" t="s">
        <v>290</v>
      </c>
      <c r="I246" s="172">
        <v>3194576</v>
      </c>
      <c r="J246" s="10" t="s">
        <v>173</v>
      </c>
      <c r="M246" s="9" t="s">
        <v>3372</v>
      </c>
      <c r="N246" s="41" t="s">
        <v>3373</v>
      </c>
      <c r="P246" s="40"/>
    </row>
    <row r="247" ht="14" spans="1:18">
      <c r="A247" s="6" t="s">
        <v>142</v>
      </c>
      <c r="B247" s="87">
        <v>46181</v>
      </c>
      <c r="C247" s="6" t="str">
        <f>YEAR(B247)&amp;"年"&amp;MONTH(B247)&amp;"月"</f>
        <v>2026年6月</v>
      </c>
      <c r="D247" s="6" t="s">
        <v>12</v>
      </c>
      <c r="E247" s="40"/>
      <c r="F247" s="40" t="s">
        <v>39</v>
      </c>
      <c r="G247" s="177" t="s">
        <v>3374</v>
      </c>
      <c r="H247" s="6" t="s">
        <v>82</v>
      </c>
      <c r="I247" s="168">
        <v>607857.82</v>
      </c>
      <c r="J247" s="10" t="s">
        <v>173</v>
      </c>
      <c r="M247" s="9" t="s">
        <v>3375</v>
      </c>
      <c r="N247" s="6" t="s">
        <v>3376</v>
      </c>
      <c r="P247" s="40"/>
    </row>
    <row r="248" ht="14" spans="1:18">
      <c r="A248" s="11" t="s">
        <v>872</v>
      </c>
      <c r="B248" s="178">
        <v>46182</v>
      </c>
      <c r="C248" s="11" t="str">
        <f>YEAR(B248)&amp;"年"&amp;MONTH(B248)&amp;"月"</f>
        <v>2026年6月</v>
      </c>
      <c r="D248" s="11" t="s">
        <v>10</v>
      </c>
      <c r="E248" s="117" t="s">
        <v>3377</v>
      </c>
      <c r="F248" s="117" t="s">
        <v>53</v>
      </c>
      <c r="G248" s="179" t="s">
        <v>3378</v>
      </c>
      <c r="H248" s="6" t="s">
        <v>290</v>
      </c>
      <c r="I248" s="10">
        <v>396.4</v>
      </c>
      <c r="J248" s="10" t="s">
        <v>173</v>
      </c>
      <c r="K248" s="10">
        <v>396.4</v>
      </c>
      <c r="L248" s="10">
        <v>8530002009</v>
      </c>
      <c r="M248" s="9" t="s">
        <v>2585</v>
      </c>
      <c r="N248" s="6" t="s">
        <v>3379</v>
      </c>
      <c r="O248" s="10" t="s">
        <v>2330</v>
      </c>
      <c r="P248" s="40"/>
    </row>
    <row r="249" ht="14" spans="1:18">
      <c r="A249" s="12"/>
      <c r="B249" s="12"/>
      <c r="C249" s="12"/>
      <c r="D249" s="12"/>
      <c r="E249" s="12"/>
      <c r="F249" s="12"/>
      <c r="G249" s="12"/>
      <c r="H249" s="6" t="s">
        <v>290</v>
      </c>
      <c r="I249" s="10">
        <v>296.51</v>
      </c>
      <c r="J249" s="10" t="s">
        <v>173</v>
      </c>
      <c r="K249" s="10">
        <v>296.51</v>
      </c>
      <c r="L249" s="10">
        <v>8530001154</v>
      </c>
      <c r="M249" s="9" t="s">
        <v>2585</v>
      </c>
      <c r="N249" s="6" t="s">
        <v>3379</v>
      </c>
      <c r="O249" s="10" t="s">
        <v>2330</v>
      </c>
      <c r="P249" s="40"/>
    </row>
    <row r="250" ht="14" spans="1:18">
      <c r="A250" s="12"/>
      <c r="B250" s="12"/>
      <c r="C250" s="12"/>
      <c r="D250" s="12"/>
      <c r="E250" s="12"/>
      <c r="F250" s="12"/>
      <c r="G250" s="12"/>
      <c r="H250" s="6" t="s">
        <v>290</v>
      </c>
      <c r="I250" s="10">
        <v>255.31</v>
      </c>
      <c r="J250" s="10" t="s">
        <v>173</v>
      </c>
      <c r="K250" s="10">
        <v>255.31</v>
      </c>
      <c r="L250" s="10">
        <v>8530008941</v>
      </c>
      <c r="M250" s="9" t="s">
        <v>3380</v>
      </c>
      <c r="N250" s="6" t="s">
        <v>3381</v>
      </c>
      <c r="O250" s="10" t="s">
        <v>678</v>
      </c>
      <c r="P250" s="40"/>
    </row>
    <row r="251" ht="14" spans="1:18">
      <c r="A251" s="12"/>
      <c r="B251" s="12"/>
      <c r="C251" s="12"/>
      <c r="D251" s="12"/>
      <c r="E251" s="12"/>
      <c r="F251" s="12"/>
      <c r="G251" s="12"/>
      <c r="H251" s="6" t="s">
        <v>290</v>
      </c>
      <c r="I251" s="10">
        <v>182.27</v>
      </c>
      <c r="J251" s="10" t="s">
        <v>173</v>
      </c>
      <c r="K251" s="10">
        <v>182.27</v>
      </c>
      <c r="L251" s="10">
        <v>8530008004</v>
      </c>
      <c r="M251" s="9" t="s">
        <v>3382</v>
      </c>
      <c r="N251" s="6" t="s">
        <v>3383</v>
      </c>
      <c r="O251" s="10" t="s">
        <v>2330</v>
      </c>
      <c r="P251" s="40"/>
    </row>
    <row r="252" ht="14" spans="1:18">
      <c r="A252" s="13"/>
      <c r="B252" s="13"/>
      <c r="C252" s="13"/>
      <c r="D252" s="13"/>
      <c r="E252" s="13"/>
      <c r="F252" s="13"/>
      <c r="G252" s="13"/>
      <c r="H252" s="6" t="s">
        <v>290</v>
      </c>
      <c r="I252" s="10">
        <v>144.29</v>
      </c>
      <c r="J252" s="10" t="s">
        <v>173</v>
      </c>
      <c r="K252" s="10">
        <v>144.29</v>
      </c>
      <c r="L252" s="10">
        <v>8530000592</v>
      </c>
      <c r="M252" s="9" t="s">
        <v>2585</v>
      </c>
      <c r="N252" s="6" t="s">
        <v>3379</v>
      </c>
      <c r="O252" s="10" t="s">
        <v>2330</v>
      </c>
      <c r="P252" s="40"/>
    </row>
    <row r="253" ht="14" spans="1:18">
      <c r="A253" s="6" t="s">
        <v>872</v>
      </c>
      <c r="B253" s="87">
        <v>46185</v>
      </c>
      <c r="C253" s="6" t="str">
        <f t="shared" ref="C253:C264" si="7">YEAR(B253)&amp;"年"&amp;MONTH(B253)&amp;"月"</f>
        <v>2026年6月</v>
      </c>
      <c r="D253" s="6" t="s">
        <v>10</v>
      </c>
      <c r="E253" s="40"/>
      <c r="F253" s="40" t="s">
        <v>3306</v>
      </c>
      <c r="G253" s="107" t="s">
        <v>3384</v>
      </c>
      <c r="H253" s="6" t="s">
        <v>82</v>
      </c>
      <c r="I253" s="136" t="s">
        <v>2232</v>
      </c>
      <c r="J253" s="10" t="s">
        <v>2232</v>
      </c>
      <c r="K253" s="10" t="s">
        <v>2232</v>
      </c>
      <c r="L253" s="10" t="s">
        <v>2459</v>
      </c>
      <c r="M253" s="9" t="s">
        <v>3385</v>
      </c>
      <c r="N253" s="6" t="s">
        <v>3386</v>
      </c>
      <c r="O253" s="10" t="s">
        <v>822</v>
      </c>
      <c r="P253" s="40"/>
    </row>
    <row r="254" ht="14" spans="1:18">
      <c r="A254" s="6" t="s">
        <v>142</v>
      </c>
      <c r="B254" s="87">
        <v>46185</v>
      </c>
      <c r="C254" s="6" t="str">
        <f t="shared" si="7"/>
        <v>2026年6月</v>
      </c>
      <c r="D254" s="6" t="s">
        <v>11</v>
      </c>
      <c r="E254" s="40"/>
      <c r="F254" s="40" t="s">
        <v>40</v>
      </c>
      <c r="G254" s="177" t="s">
        <v>3387</v>
      </c>
      <c r="H254" s="6" t="s">
        <v>290</v>
      </c>
      <c r="I254" s="136">
        <v>151614.5</v>
      </c>
      <c r="J254" s="10" t="s">
        <v>149</v>
      </c>
      <c r="M254" s="9" t="s">
        <v>3388</v>
      </c>
      <c r="N254" s="6" t="s">
        <v>3389</v>
      </c>
      <c r="P254" s="40"/>
    </row>
    <row r="255" ht="14" spans="1:18">
      <c r="A255" s="6" t="s">
        <v>142</v>
      </c>
      <c r="B255" s="87">
        <v>46190</v>
      </c>
      <c r="C255" s="6" t="str">
        <f t="shared" si="7"/>
        <v>2026年6月</v>
      </c>
      <c r="D255" s="6" t="s">
        <v>10</v>
      </c>
      <c r="E255" s="40"/>
      <c r="F255" s="40" t="s">
        <v>40</v>
      </c>
      <c r="G255" s="180" t="s">
        <v>3390</v>
      </c>
      <c r="H255" s="6" t="s">
        <v>290</v>
      </c>
      <c r="I255" s="136">
        <v>155</v>
      </c>
      <c r="J255" s="10" t="s">
        <v>149</v>
      </c>
      <c r="M255" s="9" t="s">
        <v>3391</v>
      </c>
      <c r="N255" s="6" t="s">
        <v>3392</v>
      </c>
      <c r="P255" s="40"/>
    </row>
    <row r="256" ht="14" spans="1:18">
      <c r="A256" s="6" t="s">
        <v>872</v>
      </c>
      <c r="B256" s="87">
        <v>46190</v>
      </c>
      <c r="C256" s="6" t="str">
        <f t="shared" si="7"/>
        <v>2026年6月</v>
      </c>
      <c r="D256" s="6" t="s">
        <v>10</v>
      </c>
      <c r="E256" s="40"/>
      <c r="F256" s="40" t="s">
        <v>52</v>
      </c>
      <c r="G256" s="169" t="s">
        <v>3393</v>
      </c>
      <c r="H256" s="6" t="s">
        <v>82</v>
      </c>
      <c r="I256" s="136" t="s">
        <v>2232</v>
      </c>
      <c r="J256" s="10" t="s">
        <v>2232</v>
      </c>
      <c r="K256" s="10" t="s">
        <v>2232</v>
      </c>
      <c r="L256" s="10" t="s">
        <v>3394</v>
      </c>
      <c r="M256" s="9" t="s">
        <v>3311</v>
      </c>
      <c r="N256" s="6" t="s">
        <v>3312</v>
      </c>
      <c r="O256" s="10" t="s">
        <v>261</v>
      </c>
      <c r="P256" s="40"/>
    </row>
    <row r="257" ht="26" spans="1:16">
      <c r="A257" s="6" t="s">
        <v>872</v>
      </c>
      <c r="B257" s="87">
        <v>46191</v>
      </c>
      <c r="C257" s="6" t="str">
        <f t="shared" si="7"/>
        <v>2026年6月</v>
      </c>
      <c r="D257" s="6" t="s">
        <v>11</v>
      </c>
      <c r="E257" s="40"/>
      <c r="F257" s="40" t="s">
        <v>39</v>
      </c>
      <c r="G257" s="107" t="s">
        <v>3395</v>
      </c>
      <c r="H257" s="6" t="s">
        <v>82</v>
      </c>
      <c r="I257" s="168">
        <v>99185.51</v>
      </c>
      <c r="J257" s="10" t="s">
        <v>1567</v>
      </c>
      <c r="K257" s="10" t="s">
        <v>2232</v>
      </c>
      <c r="L257" s="10">
        <v>7990015704</v>
      </c>
      <c r="M257" s="9" t="s">
        <v>3396</v>
      </c>
      <c r="N257" s="6" t="s">
        <v>3397</v>
      </c>
      <c r="O257" s="10" t="s">
        <v>1724</v>
      </c>
      <c r="P257" s="40"/>
    </row>
    <row r="258" ht="26" spans="1:16">
      <c r="A258" s="6" t="s">
        <v>872</v>
      </c>
      <c r="B258" s="87">
        <v>46195</v>
      </c>
      <c r="C258" s="6" t="str">
        <f t="shared" si="7"/>
        <v>2026年6月</v>
      </c>
      <c r="D258" s="6" t="s">
        <v>10</v>
      </c>
      <c r="E258" s="40"/>
      <c r="F258" s="40" t="s">
        <v>52</v>
      </c>
      <c r="G258" s="174" t="s">
        <v>3398</v>
      </c>
      <c r="H258" s="6" t="s">
        <v>290</v>
      </c>
      <c r="I258" s="136">
        <v>456.8</v>
      </c>
      <c r="J258" s="10" t="s">
        <v>139</v>
      </c>
      <c r="L258" s="173" t="s">
        <v>3399</v>
      </c>
      <c r="M258" s="9" t="s">
        <v>3338</v>
      </c>
      <c r="N258" s="6" t="s">
        <v>3339</v>
      </c>
      <c r="O258" s="10" t="s">
        <v>85</v>
      </c>
      <c r="P258" s="40"/>
    </row>
    <row r="259" ht="14" spans="1:16">
      <c r="A259" s="6" t="s">
        <v>142</v>
      </c>
      <c r="B259" s="87">
        <v>46202</v>
      </c>
      <c r="C259" s="6" t="str">
        <f t="shared" si="7"/>
        <v>2026年6月</v>
      </c>
      <c r="D259" s="6" t="s">
        <v>10</v>
      </c>
      <c r="E259" s="40"/>
      <c r="F259" s="40" t="s">
        <v>40</v>
      </c>
      <c r="G259" s="107" t="s">
        <v>3400</v>
      </c>
      <c r="H259" s="6" t="s">
        <v>290</v>
      </c>
      <c r="I259" s="136">
        <v>40000</v>
      </c>
      <c r="J259" s="10" t="s">
        <v>149</v>
      </c>
      <c r="M259" s="9" t="s">
        <v>3401</v>
      </c>
      <c r="N259" s="6" t="s">
        <v>3402</v>
      </c>
      <c r="P259" s="40"/>
    </row>
    <row r="260" ht="14" spans="1:16">
      <c r="A260" s="6" t="s">
        <v>872</v>
      </c>
      <c r="B260" s="87">
        <v>46202</v>
      </c>
      <c r="C260" s="6" t="str">
        <f t="shared" si="7"/>
        <v>2026年6月</v>
      </c>
      <c r="D260" s="6" t="s">
        <v>12</v>
      </c>
      <c r="E260" s="40"/>
      <c r="F260" s="40" t="s">
        <v>44</v>
      </c>
      <c r="G260" s="107" t="s">
        <v>3403</v>
      </c>
      <c r="H260" s="6" t="s">
        <v>82</v>
      </c>
      <c r="I260" s="136">
        <v>1357705.79</v>
      </c>
      <c r="J260" s="10" t="s">
        <v>1186</v>
      </c>
      <c r="K260" s="10" t="s">
        <v>2232</v>
      </c>
      <c r="L260" s="9" t="s">
        <v>3404</v>
      </c>
      <c r="M260" s="9" t="s">
        <v>3154</v>
      </c>
      <c r="N260" s="6" t="s">
        <v>3155</v>
      </c>
      <c r="P260" s="40"/>
    </row>
    <row r="261" ht="14" spans="1:16">
      <c r="A261" s="6" t="s">
        <v>142</v>
      </c>
      <c r="B261" s="87">
        <v>46202</v>
      </c>
      <c r="C261" s="6" t="str">
        <f t="shared" si="7"/>
        <v>2026年6月</v>
      </c>
      <c r="D261" s="6" t="s">
        <v>11</v>
      </c>
      <c r="E261" s="40"/>
      <c r="F261" s="40" t="s">
        <v>3405</v>
      </c>
      <c r="G261" s="107" t="s">
        <v>3406</v>
      </c>
      <c r="H261" s="6" t="s">
        <v>82</v>
      </c>
      <c r="I261" s="136">
        <v>1499997099</v>
      </c>
      <c r="J261" s="10" t="s">
        <v>1037</v>
      </c>
      <c r="M261" s="9" t="s">
        <v>3407</v>
      </c>
      <c r="N261" s="6" t="s">
        <v>3408</v>
      </c>
      <c r="P261" s="40"/>
    </row>
    <row r="262" ht="14" spans="1:16">
      <c r="A262" s="6" t="s">
        <v>872</v>
      </c>
      <c r="B262" s="87">
        <v>46202</v>
      </c>
      <c r="C262" s="6" t="str">
        <f t="shared" si="7"/>
        <v>2026年6月</v>
      </c>
      <c r="D262" s="6" t="s">
        <v>10</v>
      </c>
      <c r="E262" s="40"/>
      <c r="F262" s="40" t="s">
        <v>52</v>
      </c>
      <c r="G262" s="107" t="s">
        <v>3409</v>
      </c>
      <c r="H262" s="6" t="s">
        <v>82</v>
      </c>
      <c r="I262" s="136" t="s">
        <v>2232</v>
      </c>
      <c r="J262" s="10" t="s">
        <v>2232</v>
      </c>
      <c r="K262" s="10" t="s">
        <v>2232</v>
      </c>
      <c r="L262" s="10" t="s">
        <v>3410</v>
      </c>
      <c r="M262" s="9" t="s">
        <v>3411</v>
      </c>
      <c r="N262" s="6" t="s">
        <v>3412</v>
      </c>
      <c r="O262" s="10" t="s">
        <v>800</v>
      </c>
      <c r="P262" s="40"/>
    </row>
    <row r="263" ht="14" spans="1:16">
      <c r="A263" s="6" t="s">
        <v>872</v>
      </c>
      <c r="B263" s="87">
        <v>46204</v>
      </c>
      <c r="C263" s="6" t="str">
        <f t="shared" si="7"/>
        <v>2026年7月</v>
      </c>
      <c r="D263" s="6" t="s">
        <v>10</v>
      </c>
      <c r="E263" s="40"/>
      <c r="F263" s="40" t="s">
        <v>52</v>
      </c>
      <c r="G263" s="107" t="s">
        <v>3413</v>
      </c>
      <c r="H263" s="6" t="s">
        <v>290</v>
      </c>
      <c r="I263" s="136" t="s">
        <v>2232</v>
      </c>
      <c r="J263" s="10" t="s">
        <v>2232</v>
      </c>
      <c r="K263" s="10" t="s">
        <v>2232</v>
      </c>
      <c r="L263" s="10" t="s">
        <v>3414</v>
      </c>
      <c r="M263" s="9" t="s">
        <v>3411</v>
      </c>
      <c r="N263" s="6" t="s">
        <v>3412</v>
      </c>
      <c r="O263" s="10" t="s">
        <v>800</v>
      </c>
      <c r="P263" s="40"/>
    </row>
    <row r="264" ht="14" spans="1:16">
      <c r="A264" s="11" t="s">
        <v>872</v>
      </c>
      <c r="B264" s="178">
        <v>46205</v>
      </c>
      <c r="C264" s="11" t="str">
        <f t="shared" si="7"/>
        <v>2026年7月</v>
      </c>
      <c r="D264" s="11" t="s">
        <v>12</v>
      </c>
      <c r="E264" s="40"/>
      <c r="F264" s="117" t="s">
        <v>48</v>
      </c>
      <c r="G264" s="181" t="s">
        <v>3415</v>
      </c>
      <c r="H264" s="6" t="s">
        <v>290</v>
      </c>
      <c r="I264" s="175">
        <f>SUM(K264:K269)</f>
        <v>1885837.8</v>
      </c>
      <c r="K264" s="167">
        <v>341832.44</v>
      </c>
      <c r="L264" s="9" t="s">
        <v>3416</v>
      </c>
      <c r="N264" s="6"/>
      <c r="P264" s="40"/>
    </row>
    <row r="265" ht="14" spans="1:16">
      <c r="A265" s="12"/>
      <c r="B265" s="12"/>
      <c r="C265" s="12"/>
      <c r="D265" s="12"/>
      <c r="E265" s="40"/>
      <c r="F265" s="12"/>
      <c r="G265" s="12"/>
      <c r="H265" s="12"/>
      <c r="I265" s="12"/>
      <c r="K265" s="167">
        <v>348231.6</v>
      </c>
      <c r="L265" s="9" t="s">
        <v>3417</v>
      </c>
      <c r="N265" s="6"/>
      <c r="P265" s="40"/>
    </row>
    <row r="266" ht="14" spans="1:16">
      <c r="A266" s="12"/>
      <c r="B266" s="12"/>
      <c r="C266" s="12"/>
      <c r="D266" s="12"/>
      <c r="E266" s="40"/>
      <c r="F266" s="12"/>
      <c r="G266" s="12"/>
      <c r="H266" s="12"/>
      <c r="I266" s="12"/>
      <c r="K266" s="167">
        <v>524440</v>
      </c>
      <c r="L266" s="9" t="s">
        <v>3418</v>
      </c>
      <c r="N266" s="6"/>
      <c r="P266" s="40"/>
    </row>
    <row r="267" ht="14" spans="1:16">
      <c r="A267" s="12"/>
      <c r="B267" s="12"/>
      <c r="C267" s="12"/>
      <c r="D267" s="12"/>
      <c r="E267" s="40"/>
      <c r="F267" s="12"/>
      <c r="G267" s="12"/>
      <c r="H267" s="12"/>
      <c r="I267" s="12"/>
      <c r="K267" s="167">
        <v>384713.8</v>
      </c>
      <c r="L267" s="9" t="s">
        <v>3419</v>
      </c>
      <c r="N267" s="6"/>
      <c r="P267" s="40"/>
    </row>
    <row r="268" ht="14" spans="1:16">
      <c r="A268" s="12"/>
      <c r="B268" s="12"/>
      <c r="C268" s="12"/>
      <c r="D268" s="12"/>
      <c r="E268" s="40"/>
      <c r="F268" s="12"/>
      <c r="G268" s="12"/>
      <c r="H268" s="12"/>
      <c r="I268" s="12"/>
      <c r="K268" s="10">
        <v>583.58</v>
      </c>
      <c r="L268" s="9" t="s">
        <v>3420</v>
      </c>
      <c r="N268" s="6"/>
      <c r="P268" s="40"/>
    </row>
    <row r="269" ht="14" spans="1:16">
      <c r="A269" s="13"/>
      <c r="B269" s="13"/>
      <c r="C269" s="13"/>
      <c r="D269" s="13"/>
      <c r="E269" s="40"/>
      <c r="F269" s="13"/>
      <c r="G269" s="13"/>
      <c r="H269" s="13"/>
      <c r="I269" s="13"/>
      <c r="K269" s="167">
        <v>286036.38</v>
      </c>
      <c r="L269" s="9" t="s">
        <v>3421</v>
      </c>
      <c r="N269" s="6"/>
      <c r="P269" s="40"/>
    </row>
    <row r="270" ht="25.5" customHeight="1" spans="1:16">
      <c r="A270" s="11" t="s">
        <v>872</v>
      </c>
      <c r="B270" s="178">
        <v>46205</v>
      </c>
      <c r="C270" s="11" t="str">
        <f>YEAR(B270)&amp;"年"&amp;MONTH(B270)&amp;"月"</f>
        <v>2026年7月</v>
      </c>
      <c r="D270" s="11" t="s">
        <v>11</v>
      </c>
      <c r="E270" s="40"/>
      <c r="F270" s="117" t="s">
        <v>39</v>
      </c>
      <c r="G270" s="181" t="s">
        <v>3422</v>
      </c>
      <c r="H270" s="6" t="s">
        <v>290</v>
      </c>
      <c r="I270" s="175">
        <f>SUM(K270:K272)</f>
        <v>244964</v>
      </c>
      <c r="J270" s="10" t="s">
        <v>173</v>
      </c>
      <c r="K270" s="10">
        <v>49900</v>
      </c>
      <c r="L270" s="9" t="s">
        <v>3423</v>
      </c>
      <c r="M270" s="182" t="s">
        <v>2424</v>
      </c>
      <c r="N270" s="11" t="s">
        <v>2425</v>
      </c>
      <c r="O270" s="10" t="s">
        <v>2530</v>
      </c>
      <c r="P270" s="40"/>
    </row>
    <row r="271" ht="13" spans="1:16">
      <c r="A271" s="12"/>
      <c r="B271" s="12"/>
      <c r="C271" s="12"/>
      <c r="D271" s="12"/>
      <c r="E271" s="40"/>
      <c r="F271" s="12"/>
      <c r="G271" s="12"/>
      <c r="H271" s="12"/>
      <c r="I271" s="12"/>
      <c r="J271" s="10" t="s">
        <v>173</v>
      </c>
      <c r="K271" s="10">
        <v>33340</v>
      </c>
      <c r="L271" s="9" t="s">
        <v>3424</v>
      </c>
      <c r="M271" s="12"/>
      <c r="N271" s="12"/>
      <c r="P271" s="40"/>
    </row>
    <row r="272" ht="13" spans="1:16">
      <c r="A272" s="13"/>
      <c r="B272" s="13"/>
      <c r="C272" s="13"/>
      <c r="D272" s="13"/>
      <c r="E272" s="40"/>
      <c r="F272" s="13"/>
      <c r="G272" s="13"/>
      <c r="H272" s="13"/>
      <c r="I272" s="13"/>
      <c r="J272" s="10" t="s">
        <v>173</v>
      </c>
      <c r="K272" s="10">
        <v>161724</v>
      </c>
      <c r="L272" s="9" t="s">
        <v>3425</v>
      </c>
      <c r="M272" s="13"/>
      <c r="N272" s="13"/>
      <c r="P272" s="40"/>
    </row>
    <row r="273" ht="14" spans="3:16">
      <c r="C273" s="6"/>
      <c r="D273" s="6"/>
      <c r="E273" s="40"/>
      <c r="F273" s="40"/>
      <c r="N273" s="6"/>
      <c r="P273" s="40"/>
    </row>
    <row r="274" ht="14" spans="3:16">
      <c r="C274" s="6"/>
      <c r="D274" s="6"/>
      <c r="E274" s="40"/>
      <c r="F274" s="40"/>
      <c r="N274" s="6"/>
      <c r="P274" s="40"/>
    </row>
    <row r="275" ht="14" spans="3:16">
      <c r="C275" s="6"/>
      <c r="D275" s="6"/>
      <c r="E275" s="40"/>
      <c r="F275" s="40"/>
      <c r="N275" s="6"/>
      <c r="P275" s="40"/>
    </row>
    <row r="276" ht="14" spans="3:16">
      <c r="C276" s="6"/>
      <c r="D276" s="6"/>
      <c r="E276" s="40"/>
      <c r="F276" s="40"/>
      <c r="N276" s="6"/>
      <c r="P276" s="40"/>
    </row>
    <row r="277" ht="14" spans="3:16">
      <c r="C277" s="6"/>
      <c r="D277" s="6"/>
      <c r="E277" s="40"/>
      <c r="F277" s="40"/>
      <c r="N277" s="6"/>
      <c r="P277" s="40"/>
    </row>
    <row r="278" ht="14" spans="3:16">
      <c r="C278" s="6"/>
      <c r="D278" s="6"/>
      <c r="E278" s="40"/>
      <c r="F278" s="40"/>
      <c r="N278" s="6"/>
      <c r="P278" s="40"/>
    </row>
    <row r="279" ht="14" spans="3:16">
      <c r="C279" s="6"/>
      <c r="D279" s="6"/>
      <c r="E279" s="40"/>
      <c r="F279" s="40"/>
      <c r="N279" s="6"/>
      <c r="P279" s="40"/>
    </row>
    <row r="280" ht="14" spans="3:16">
      <c r="C280" s="6"/>
      <c r="D280" s="6"/>
      <c r="E280" s="40"/>
      <c r="F280" s="40"/>
      <c r="N280" s="6"/>
      <c r="P280" s="40"/>
    </row>
    <row r="281" ht="14" spans="3:16">
      <c r="C281" s="6"/>
      <c r="D281" s="6"/>
      <c r="E281" s="40"/>
      <c r="F281" s="40"/>
      <c r="N281" s="6"/>
      <c r="P281" s="40"/>
    </row>
    <row r="282" ht="14" spans="3:16">
      <c r="C282" s="6"/>
      <c r="D282" s="6"/>
      <c r="E282" s="40"/>
      <c r="F282" s="40"/>
      <c r="N282" s="6"/>
      <c r="P282" s="40"/>
    </row>
  </sheetData>
  <mergeCells count="205">
    <mergeCell ref="A28:A30"/>
    <mergeCell ref="A89:A91"/>
    <mergeCell ref="A107:A109"/>
    <mergeCell ref="A122:A123"/>
    <mergeCell ref="A142:A146"/>
    <mergeCell ref="A154:A156"/>
    <mergeCell ref="A160:A166"/>
    <mergeCell ref="A167:A173"/>
    <mergeCell ref="A177:A183"/>
    <mergeCell ref="A184:A185"/>
    <mergeCell ref="A186:A187"/>
    <mergeCell ref="A188:A194"/>
    <mergeCell ref="A195:A196"/>
    <mergeCell ref="A198:A199"/>
    <mergeCell ref="A204:A212"/>
    <mergeCell ref="A214:A218"/>
    <mergeCell ref="A233:A236"/>
    <mergeCell ref="A237:A243"/>
    <mergeCell ref="A248:A252"/>
    <mergeCell ref="A264:A269"/>
    <mergeCell ref="A270:A272"/>
    <mergeCell ref="B28:B30"/>
    <mergeCell ref="B89:B91"/>
    <mergeCell ref="B107:B109"/>
    <mergeCell ref="B122:B123"/>
    <mergeCell ref="B142:B146"/>
    <mergeCell ref="B154:B156"/>
    <mergeCell ref="B160:B166"/>
    <mergeCell ref="B167:B173"/>
    <mergeCell ref="B177:B183"/>
    <mergeCell ref="B184:B185"/>
    <mergeCell ref="B186:B187"/>
    <mergeCell ref="B188:B194"/>
    <mergeCell ref="B195:B196"/>
    <mergeCell ref="B198:B199"/>
    <mergeCell ref="B204:B212"/>
    <mergeCell ref="B214:B218"/>
    <mergeCell ref="B233:B236"/>
    <mergeCell ref="B237:B243"/>
    <mergeCell ref="B248:B252"/>
    <mergeCell ref="B264:B269"/>
    <mergeCell ref="B270:B272"/>
    <mergeCell ref="C28:C30"/>
    <mergeCell ref="C89:C91"/>
    <mergeCell ref="C107:C109"/>
    <mergeCell ref="C122:C123"/>
    <mergeCell ref="C142:C146"/>
    <mergeCell ref="C154:C156"/>
    <mergeCell ref="C160:C166"/>
    <mergeCell ref="C167:C173"/>
    <mergeCell ref="C177:C183"/>
    <mergeCell ref="C184:C185"/>
    <mergeCell ref="C186:C187"/>
    <mergeCell ref="C188:C194"/>
    <mergeCell ref="C195:C196"/>
    <mergeCell ref="C198:C199"/>
    <mergeCell ref="C204:C212"/>
    <mergeCell ref="C214:C218"/>
    <mergeCell ref="C233:C236"/>
    <mergeCell ref="C237:C243"/>
    <mergeCell ref="C248:C252"/>
    <mergeCell ref="C264:C269"/>
    <mergeCell ref="C270:C272"/>
    <mergeCell ref="D28:D30"/>
    <mergeCell ref="D107:D109"/>
    <mergeCell ref="D122:D123"/>
    <mergeCell ref="D142:D146"/>
    <mergeCell ref="D154:D156"/>
    <mergeCell ref="D160:D166"/>
    <mergeCell ref="D167:D173"/>
    <mergeCell ref="D177:D183"/>
    <mergeCell ref="D184:D185"/>
    <mergeCell ref="D186:D187"/>
    <mergeCell ref="D188:D194"/>
    <mergeCell ref="D195:D196"/>
    <mergeCell ref="D198:D199"/>
    <mergeCell ref="D204:D212"/>
    <mergeCell ref="D214:D218"/>
    <mergeCell ref="D233:D236"/>
    <mergeCell ref="D237:D243"/>
    <mergeCell ref="D248:D252"/>
    <mergeCell ref="D264:D269"/>
    <mergeCell ref="D270:D272"/>
    <mergeCell ref="E107:E109"/>
    <mergeCell ref="E142:E146"/>
    <mergeCell ref="E154:E156"/>
    <mergeCell ref="E160:E166"/>
    <mergeCell ref="E167:E173"/>
    <mergeCell ref="E177:E183"/>
    <mergeCell ref="E188:E194"/>
    <mergeCell ref="E248:E252"/>
    <mergeCell ref="F28:F30"/>
    <mergeCell ref="F89:F91"/>
    <mergeCell ref="F107:F109"/>
    <mergeCell ref="F122:F123"/>
    <mergeCell ref="F142:F146"/>
    <mergeCell ref="F154:F156"/>
    <mergeCell ref="F160:F166"/>
    <mergeCell ref="F167:F173"/>
    <mergeCell ref="F177:F183"/>
    <mergeCell ref="F184:F185"/>
    <mergeCell ref="F186:F187"/>
    <mergeCell ref="F188:F194"/>
    <mergeCell ref="F195:F196"/>
    <mergeCell ref="F198:F199"/>
    <mergeCell ref="F204:F212"/>
    <mergeCell ref="F214:F218"/>
    <mergeCell ref="F233:F236"/>
    <mergeCell ref="F237:F243"/>
    <mergeCell ref="F248:F252"/>
    <mergeCell ref="F264:F269"/>
    <mergeCell ref="F270:F272"/>
    <mergeCell ref="G28:G30"/>
    <mergeCell ref="G89:G91"/>
    <mergeCell ref="G107:G109"/>
    <mergeCell ref="G122:G123"/>
    <mergeCell ref="G142:G146"/>
    <mergeCell ref="G154:G156"/>
    <mergeCell ref="G160:G166"/>
    <mergeCell ref="G167:G173"/>
    <mergeCell ref="G177:G183"/>
    <mergeCell ref="G184:G185"/>
    <mergeCell ref="G186:G187"/>
    <mergeCell ref="G188:G194"/>
    <mergeCell ref="G195:G196"/>
    <mergeCell ref="G198:G199"/>
    <mergeCell ref="G204:G212"/>
    <mergeCell ref="G214:G218"/>
    <mergeCell ref="G233:G236"/>
    <mergeCell ref="G237:G243"/>
    <mergeCell ref="G248:G252"/>
    <mergeCell ref="G264:G269"/>
    <mergeCell ref="G270:G272"/>
    <mergeCell ref="H28:H30"/>
    <mergeCell ref="H89:H91"/>
    <mergeCell ref="H107:H109"/>
    <mergeCell ref="H122:H123"/>
    <mergeCell ref="H160:H166"/>
    <mergeCell ref="H167:H173"/>
    <mergeCell ref="H177:H183"/>
    <mergeCell ref="H184:H185"/>
    <mergeCell ref="H186:H187"/>
    <mergeCell ref="H188:H194"/>
    <mergeCell ref="H195:H196"/>
    <mergeCell ref="H204:H205"/>
    <mergeCell ref="H208:H210"/>
    <mergeCell ref="H214:H218"/>
    <mergeCell ref="H233:H236"/>
    <mergeCell ref="H237:H243"/>
    <mergeCell ref="H264:H269"/>
    <mergeCell ref="H270:H272"/>
    <mergeCell ref="I28:I30"/>
    <mergeCell ref="I107:I109"/>
    <mergeCell ref="I122:I123"/>
    <mergeCell ref="I142:I146"/>
    <mergeCell ref="I154:I156"/>
    <mergeCell ref="I160:I166"/>
    <mergeCell ref="I167:I173"/>
    <mergeCell ref="I177:I183"/>
    <mergeCell ref="I184:I185"/>
    <mergeCell ref="I186:I187"/>
    <mergeCell ref="I188:I194"/>
    <mergeCell ref="I195:I196"/>
    <mergeCell ref="I198:I199"/>
    <mergeCell ref="I204:I212"/>
    <mergeCell ref="I214:I218"/>
    <mergeCell ref="I237:I243"/>
    <mergeCell ref="I264:I269"/>
    <mergeCell ref="I270:I272"/>
    <mergeCell ref="J28:J30"/>
    <mergeCell ref="J107:J109"/>
    <mergeCell ref="J122:J123"/>
    <mergeCell ref="J142:J146"/>
    <mergeCell ref="J154:J156"/>
    <mergeCell ref="J177:J183"/>
    <mergeCell ref="J184:J185"/>
    <mergeCell ref="J186:J187"/>
    <mergeCell ref="J188:J194"/>
    <mergeCell ref="J204:J212"/>
    <mergeCell ref="J214:J218"/>
    <mergeCell ref="J237:J243"/>
    <mergeCell ref="L107:L109"/>
    <mergeCell ref="M184:M185"/>
    <mergeCell ref="M186:M187"/>
    <mergeCell ref="M188:M194"/>
    <mergeCell ref="M204:M205"/>
    <mergeCell ref="M208:M210"/>
    <mergeCell ref="M211:M212"/>
    <mergeCell ref="M214:M218"/>
    <mergeCell ref="M270:M272"/>
    <mergeCell ref="N184:N185"/>
    <mergeCell ref="N186:N187"/>
    <mergeCell ref="N188:N194"/>
    <mergeCell ref="N204:N205"/>
    <mergeCell ref="N208:N210"/>
    <mergeCell ref="N211:N212"/>
    <mergeCell ref="N214:N218"/>
    <mergeCell ref="N270:N272"/>
    <mergeCell ref="O160:O166"/>
    <mergeCell ref="O186:O187"/>
    <mergeCell ref="O188:O194"/>
    <mergeCell ref="O204:O205"/>
    <mergeCell ref="O208:O210"/>
    <mergeCell ref="O211:O212"/>
    <mergeCell ref="O214:O218"/>
  </mergeCells>
  <conditionalFormatting sqref="M4">
    <cfRule type="duplicateValues" dxfId="1" priority="8"/>
  </conditionalFormatting>
  <conditionalFormatting sqref="M150">
    <cfRule type="duplicateValues" dxfId="0" priority="3"/>
  </conditionalFormatting>
  <conditionalFormatting sqref="M34:M35">
    <cfRule type="duplicateValues" dxfId="2" priority="5"/>
  </conditionalFormatting>
  <conditionalFormatting sqref="M1:M269 M270:M272 M273:M282">
    <cfRule type="duplicateValues" dxfId="0" priority="1"/>
  </conditionalFormatting>
  <conditionalFormatting sqref="M1:M48 M51:M89 N84:N88 M93:M212 M223">
    <cfRule type="duplicateValues" dxfId="2" priority="4"/>
  </conditionalFormatting>
  <conditionalFormatting sqref="M14:N14 M19:N19 P19">
    <cfRule type="duplicateValues" dxfId="2" priority="6"/>
  </conditionalFormatting>
  <conditionalFormatting sqref="N150 M160:N173">
    <cfRule type="duplicateValues" dxfId="0" priority="2"/>
  </conditionalFormatting>
  <dataValidations count="11">
    <dataValidation type="date" operator="between" showInputMessage="1" showErrorMessage="1" sqref="Q8 Q9:R9 Q18:R18 Q19 O31 Q31:R31 O35 Q35:T35 Q62 O63 Q63:R63 O67 Q67 S67 Q71 Q73 Q104 Q113 Q120 Q124:R124 Q129 Q135 Q139:R139 B167 Q220:R220 Q221:T221 B237 Q244:R244 B2:B28 B31:B89 B92:B99 B101:B107 B110:B122 B124:B142 B147:B154 B157:B160 O8:O9 O18:O19"/>
    <dataValidation type="list" showInputMessage="1" showErrorMessage="1" sqref="N39 N127 N122:N123">
      <formula1>"VA,Inbound,Outbound,Recall,"</formula1>
    </dataValidation>
    <dataValidation type="date" operator="between" allowBlank="1" showInputMessage="1" showErrorMessage="1" sqref="B100"/>
    <dataValidation type="decimal" operator="between" allowBlank="1" showInputMessage="1" showErrorMessage="1" sqref="I174 K160:K173"/>
    <dataValidation type="list" allowBlank="1" showInputMessage="1" showErrorMessage="1" sqref="A$1:A$1048576">
      <formula1>"李凯,戈燕,高诗颖,李源,陈一涵,蔡丽娜,王伊丽,樊晓全,"</formula1>
    </dataValidation>
    <dataValidation type="list" allowBlank="1" showInputMessage="1" showErrorMessage="1" sqref="C$1:C$1048576">
      <formula1>"B2B,电商,服贸,汇兑,机构客户,KYC,"</formula1>
    </dataValidation>
    <dataValidation type="list" allowBlank="1" showInputMessage="1" showErrorMessage="1" sqref="D$1:D$1048576">
      <formula1>"B2B,电商,服贸汇兑,"</formula1>
    </dataValidation>
    <dataValidation type="list" allowBlank="1" showInputMessage="1" showErrorMessage="1" sqref="F$1:F$1048576">
      <formula1>"平安银行,Banking Circle,DBS,Thunes,CC,Pyvio,pingpong,GME,M-DAQ,Baokim,Openpayd,SCB,Nium,Payoneer,DSGpay,SentBe,flutterwave,Transfermate,Moolahgo,IBC,HPAY,"</formula1>
    </dataValidation>
    <dataValidation type="list" allowBlank="1" showInputMessage="1" showErrorMessage="1" sqref="H$1:H$1048576">
      <formula1>"目前状态,已经回复,待BD回复,无需处理,客户要求取消,"</formula1>
    </dataValidation>
    <dataValidation type="list" allowBlank="1" showInputMessage="1" showErrorMessage="1" sqref="P$1:P$1048576">
      <formula1>"买家欺诈,商户欺诈,三方欺诈,联合欺诈,洗钱,贸易纠纷,疑似命中制裁,禁止国家/地区,无法核实贸易真实性（e.g.材料造假）,俄罗斯相关贸易,电商平台违规,可疑交易,暂无风险,其他,意大利买家,贸易真实性,"</formula1>
    </dataValidation>
    <dataValidation type="list" allowBlank="1" showInputMessage="1" showErrorMessage="1" sqref="R160:R173">
      <formula1>"Personal Information,Retrieval Request,"</formula1>
    </dataValidation>
  </dataValidations>
  <hyperlinks>
    <hyperlink ref="M7" r:id="rId1" display="菲律宾+肯尼亚+payso调单整理"/>
    <hyperlink ref="L11" r:id="rId2" display="1、商户是澳大利亚三方支付机构，为其入驻商户出款。实际付款人是新加坡企业GOTRAYS NETWORK TECHNOLOGY PTE. LTD，从事商品（包括食品）在线市场以及软件和应用程序开发（游戏和网络安全除外），注册证书+director护照已提供。https://www.scam.sg/companies/202202066K/gotrays-network-technology-pte-ltd  &#10;2、台湾企业收款，主营电子制造领域，逆变器和太阳能产品等。http://www.voltronicpower.com/ 、 https://www.twincn.com/item.aspx?no=28865032  有俄罗斯市场，https://catalog.expocentr.ru/catalog_e.php?wyst_id=108&amp;stand_id=44829、https://www.tradesns.com/en/data/supplier/Russia/2579932/VOLTRONIC%20POWER%20TECHNOLOGY%20CORP%20LTD&#10;3、收货人=gotrays，物流过期不可验。notify=新加坡主营信息技术和服务的DODID PTE LTD / YTL Data Center. https://www.datanyze.com/companies/dodid/440784287、https://ytldatacenters.com/pr/ytl-power-acquires-12-5mw-green-hyperscale-data-center-in-singapore/&#10;&#10;&#10;&#10;反馈商户是帮代付。补充了收款人大陆关联公司中山旭贵明发货，HK关联公司POTENTIA TECHNOLOGY INC. LIMITED收货的报关单，运抵国哈萨克斯坦。"/>
    <hyperlink ref="E142" r:id="rId3" display="Sentbe调单材料梳理"/>
    <hyperlink ref="E154" r:id="rId4" display="Sentbe第二波"/>
    <hyperlink ref="E177" r:id="rId5" display="SCB NESTING RFI"/>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结汇">
    <tabColor rgb="FFFFFFFF"/>
  </sheetPr>
  <dimension ref="A1:AD220"/>
  <sheetViews>
    <sheetView workbookViewId="0">
      <pane ySplit="1" topLeftCell="A2" activePane="bottomLeft" state="frozen"/>
      <selection/>
      <selection pane="bottomLeft" activeCell="A1" sqref="A1"/>
    </sheetView>
  </sheetViews>
  <sheetFormatPr defaultColWidth="9.81818181818182" defaultRowHeight="16.5"/>
  <cols>
    <col min="1" max="1" width="9.70909090909091" style="29" customWidth="1"/>
    <col min="2" max="2" width="11.8727272727273" style="29" customWidth="1"/>
    <col min="3" max="3" width="32.1" style="1" customWidth="1"/>
    <col min="4" max="4" width="22.6545454545455" style="29" customWidth="1"/>
    <col min="5" max="5" width="26.9181818181818" style="29" customWidth="1"/>
    <col min="6" max="6" width="28.8909090909091" style="29" customWidth="1"/>
    <col min="7" max="7" width="26.9727272727273" style="29" customWidth="1"/>
    <col min="8" max="8" width="8.63636363636364" style="29" customWidth="1"/>
    <col min="9" max="9" width="44.6090909090909" style="29" customWidth="1"/>
    <col min="10" max="10" width="13.7090909090909" style="29" customWidth="1"/>
    <col min="11" max="11" width="18" style="29" customWidth="1"/>
    <col min="12" max="12" width="13.7090909090909" style="29" customWidth="1"/>
    <col min="13" max="14" width="17.2636363636364" style="29" customWidth="1"/>
    <col min="15" max="30" width="13.7090909090909" style="29" customWidth="1"/>
  </cols>
  <sheetData>
    <row r="1" ht="22.5" customHeight="1" spans="1:30">
      <c r="A1" s="2" t="s">
        <v>56</v>
      </c>
      <c r="B1" s="2" t="s">
        <v>57</v>
      </c>
      <c r="C1" s="2" t="s">
        <v>57</v>
      </c>
      <c r="D1" s="120" t="s">
        <v>66</v>
      </c>
      <c r="E1" s="3" t="s">
        <v>67</v>
      </c>
      <c r="F1" s="3" t="s">
        <v>3426</v>
      </c>
      <c r="G1" s="3" t="s">
        <v>3427</v>
      </c>
      <c r="H1" s="3" t="s">
        <v>60</v>
      </c>
      <c r="I1" s="3" t="s">
        <v>3428</v>
      </c>
      <c r="J1" s="57" t="s">
        <v>64</v>
      </c>
      <c r="K1" s="57" t="s">
        <v>71</v>
      </c>
      <c r="L1" s="121" t="s">
        <v>1003</v>
      </c>
      <c r="M1" s="120" t="s">
        <v>62</v>
      </c>
      <c r="N1" s="120" t="s">
        <v>72</v>
      </c>
      <c r="O1" s="120" t="s">
        <v>3429</v>
      </c>
      <c r="P1" s="57"/>
      <c r="Q1" s="57"/>
      <c r="R1" s="57"/>
      <c r="S1" s="57"/>
      <c r="T1" s="57"/>
      <c r="U1" s="57"/>
      <c r="V1" s="57"/>
      <c r="W1" s="57"/>
      <c r="X1" s="57"/>
      <c r="Y1" s="57"/>
      <c r="Z1" s="57"/>
      <c r="AA1" s="57"/>
      <c r="AB1" s="57"/>
      <c r="AC1" s="57"/>
      <c r="AD1" s="57"/>
    </row>
    <row r="2" ht="21" customHeight="1" spans="1:30">
      <c r="A2" s="40" t="s">
        <v>142</v>
      </c>
      <c r="B2" s="7">
        <v>45628</v>
      </c>
      <c r="C2" s="6" t="str">
        <f t="shared" ref="C2:C24" si="0">YEAR(B2)&amp;"年"&amp;MONTH(B2)&amp;"月"</f>
        <v>2024年12月</v>
      </c>
      <c r="D2" s="59" t="s">
        <v>3430</v>
      </c>
      <c r="E2" s="122"/>
      <c r="F2" s="123"/>
      <c r="G2" s="123"/>
      <c r="H2" s="123" t="s">
        <v>3431</v>
      </c>
      <c r="I2" s="124" t="s">
        <v>3432</v>
      </c>
      <c r="J2" s="6" t="s">
        <v>3433</v>
      </c>
      <c r="K2" s="6" t="s">
        <v>3434</v>
      </c>
      <c r="L2" s="29">
        <v>438500</v>
      </c>
      <c r="M2" s="6" t="s">
        <v>1186</v>
      </c>
      <c r="N2" s="6"/>
      <c r="O2" s="6"/>
      <c r="P2" s="6"/>
      <c r="Q2" s="6"/>
      <c r="R2" s="6"/>
      <c r="S2" s="6"/>
      <c r="T2" s="6"/>
      <c r="U2" s="6"/>
      <c r="V2" s="6"/>
      <c r="W2" s="6"/>
      <c r="X2" s="6"/>
      <c r="Y2" s="6"/>
      <c r="Z2" s="6"/>
      <c r="AA2" s="6"/>
      <c r="AB2" s="6"/>
      <c r="AC2" s="6"/>
      <c r="AD2" s="6"/>
    </row>
    <row r="3" ht="21" customHeight="1" spans="1:30">
      <c r="A3" s="40" t="s">
        <v>142</v>
      </c>
      <c r="B3" s="7">
        <v>45664</v>
      </c>
      <c r="C3" s="6" t="str">
        <f t="shared" si="0"/>
        <v>2025年1月</v>
      </c>
      <c r="D3" s="59" t="s">
        <v>3435</v>
      </c>
      <c r="E3" s="122"/>
      <c r="F3" s="123"/>
      <c r="G3" s="123"/>
      <c r="H3" s="123" t="s">
        <v>3431</v>
      </c>
      <c r="I3" s="124" t="s">
        <v>3436</v>
      </c>
      <c r="J3" s="6" t="s">
        <v>3433</v>
      </c>
      <c r="K3" s="6" t="s">
        <v>3437</v>
      </c>
      <c r="L3" s="29">
        <v>629875.54</v>
      </c>
      <c r="M3" s="6" t="s">
        <v>1186</v>
      </c>
      <c r="N3" s="6"/>
      <c r="O3" s="6"/>
      <c r="P3" s="6"/>
      <c r="Q3" s="6"/>
      <c r="R3" s="6"/>
      <c r="S3" s="6"/>
      <c r="T3" s="6"/>
      <c r="U3" s="6"/>
      <c r="V3" s="6"/>
      <c r="W3" s="6"/>
      <c r="X3" s="6"/>
      <c r="Y3" s="6"/>
      <c r="Z3" s="6"/>
      <c r="AA3" s="6"/>
      <c r="AB3" s="6"/>
      <c r="AC3" s="6"/>
      <c r="AD3" s="6"/>
    </row>
    <row r="4" ht="21" customHeight="1" spans="1:30">
      <c r="A4" s="40" t="s">
        <v>142</v>
      </c>
      <c r="B4" s="125">
        <v>45680</v>
      </c>
      <c r="C4" s="6" t="str">
        <f t="shared" si="0"/>
        <v>2025年1月</v>
      </c>
      <c r="D4" s="59" t="s">
        <v>3438</v>
      </c>
      <c r="E4" s="6" t="s">
        <v>3439</v>
      </c>
      <c r="F4" s="126"/>
      <c r="G4" s="126"/>
      <c r="H4" s="126" t="s">
        <v>3431</v>
      </c>
      <c r="I4" s="127" t="s">
        <v>3440</v>
      </c>
      <c r="J4" s="128" t="s">
        <v>3433</v>
      </c>
      <c r="K4" s="129"/>
      <c r="L4" s="128" t="s">
        <v>2232</v>
      </c>
      <c r="M4" s="6" t="s">
        <v>2232</v>
      </c>
      <c r="N4" s="130"/>
      <c r="O4" s="128"/>
      <c r="P4" s="128"/>
      <c r="Q4" s="6"/>
      <c r="R4" s="6"/>
      <c r="S4" s="6"/>
      <c r="T4" s="6"/>
      <c r="U4" s="6"/>
      <c r="V4" s="6"/>
      <c r="W4" s="6"/>
      <c r="X4" s="6"/>
      <c r="Y4" s="6"/>
      <c r="Z4" s="6"/>
      <c r="AA4" s="6"/>
      <c r="AB4" s="6"/>
      <c r="AC4" s="6"/>
      <c r="AD4" s="6"/>
    </row>
    <row r="5" ht="21" customHeight="1" spans="1:30">
      <c r="A5" s="131" t="s">
        <v>142</v>
      </c>
      <c r="B5" s="125">
        <v>45713</v>
      </c>
      <c r="C5" s="6" t="str">
        <f t="shared" si="0"/>
        <v>2025年2月</v>
      </c>
      <c r="D5" s="59" t="s">
        <v>3435</v>
      </c>
      <c r="E5" s="132"/>
      <c r="F5" s="126"/>
      <c r="G5" s="126"/>
      <c r="H5" s="126" t="s">
        <v>3431</v>
      </c>
      <c r="I5" s="6" t="s">
        <v>3441</v>
      </c>
      <c r="J5" s="128" t="s">
        <v>3433</v>
      </c>
      <c r="K5" s="6"/>
      <c r="L5" s="6">
        <v>694412</v>
      </c>
      <c r="M5" s="6" t="s">
        <v>1186</v>
      </c>
      <c r="N5" s="6"/>
      <c r="O5" s="6"/>
      <c r="P5" s="6"/>
      <c r="Q5" s="6"/>
      <c r="R5" s="6"/>
      <c r="S5" s="6"/>
      <c r="T5" s="6"/>
      <c r="U5" s="6"/>
      <c r="V5" s="6"/>
      <c r="W5" s="6"/>
      <c r="X5" s="6"/>
      <c r="Y5" s="6"/>
      <c r="Z5" s="6"/>
      <c r="AA5" s="6"/>
      <c r="AB5" s="6"/>
      <c r="AC5" s="6"/>
      <c r="AD5" s="6"/>
    </row>
    <row r="6" ht="21" customHeight="1" spans="1:30">
      <c r="A6" s="131" t="s">
        <v>142</v>
      </c>
      <c r="B6" s="125">
        <v>45730</v>
      </c>
      <c r="C6" s="6" t="str">
        <f t="shared" si="0"/>
        <v>2025年3月</v>
      </c>
      <c r="D6" s="6" t="s">
        <v>3435</v>
      </c>
      <c r="E6" s="132"/>
      <c r="F6" s="126"/>
      <c r="G6" s="126"/>
      <c r="H6" s="126" t="s">
        <v>3431</v>
      </c>
      <c r="I6" s="6" t="s">
        <v>3442</v>
      </c>
      <c r="J6" s="128" t="s">
        <v>3433</v>
      </c>
      <c r="K6" s="6"/>
      <c r="L6" s="6">
        <v>364257.83</v>
      </c>
      <c r="M6" s="6" t="s">
        <v>1186</v>
      </c>
      <c r="N6" s="125">
        <v>45744</v>
      </c>
      <c r="O6" s="125">
        <v>45747</v>
      </c>
      <c r="P6" s="6"/>
      <c r="Q6" s="6"/>
      <c r="R6" s="6"/>
      <c r="S6" s="6"/>
      <c r="T6" s="6"/>
      <c r="U6" s="6"/>
      <c r="V6" s="6"/>
      <c r="W6" s="6"/>
      <c r="X6" s="6"/>
      <c r="Y6" s="6"/>
      <c r="Z6" s="6"/>
      <c r="AA6" s="6"/>
      <c r="AB6" s="6"/>
      <c r="AC6" s="6"/>
      <c r="AD6" s="6"/>
    </row>
    <row r="7" ht="21" customHeight="1" spans="1:30">
      <c r="A7" s="131" t="s">
        <v>142</v>
      </c>
      <c r="B7" s="125">
        <v>45761</v>
      </c>
      <c r="C7" s="6" t="str">
        <f t="shared" si="0"/>
        <v>2025年4月</v>
      </c>
      <c r="D7" s="6" t="s">
        <v>3443</v>
      </c>
      <c r="E7" s="132"/>
      <c r="F7" s="126"/>
      <c r="G7" s="126"/>
      <c r="H7" s="126" t="s">
        <v>3431</v>
      </c>
      <c r="I7" s="6" t="s">
        <v>3444</v>
      </c>
      <c r="J7" s="128" t="s">
        <v>3433</v>
      </c>
      <c r="K7" s="6"/>
      <c r="L7" s="6">
        <v>63557920</v>
      </c>
      <c r="M7" s="6" t="s">
        <v>1186</v>
      </c>
      <c r="N7" s="6"/>
      <c r="O7" s="6"/>
      <c r="P7" s="6"/>
      <c r="Q7" s="6"/>
      <c r="R7" s="6"/>
      <c r="S7" s="6"/>
      <c r="T7" s="6"/>
      <c r="U7" s="6"/>
      <c r="V7" s="6"/>
      <c r="W7" s="6"/>
      <c r="X7" s="6"/>
      <c r="Y7" s="6"/>
      <c r="Z7" s="6"/>
      <c r="AA7" s="6"/>
      <c r="AB7" s="6"/>
      <c r="AC7" s="6"/>
      <c r="AD7" s="6"/>
    </row>
    <row r="8" ht="21" customHeight="1" spans="1:30">
      <c r="A8" s="131" t="s">
        <v>142</v>
      </c>
      <c r="B8" s="125">
        <v>45770</v>
      </c>
      <c r="C8" s="6" t="str">
        <f t="shared" si="0"/>
        <v>2025年4月</v>
      </c>
      <c r="D8" s="41" t="s">
        <v>3445</v>
      </c>
      <c r="E8" s="132" t="s">
        <v>3446</v>
      </c>
      <c r="F8" s="126"/>
      <c r="G8" s="126"/>
      <c r="H8" s="126" t="s">
        <v>3447</v>
      </c>
      <c r="I8" s="6" t="s">
        <v>3448</v>
      </c>
      <c r="J8" s="128" t="s">
        <v>3433</v>
      </c>
      <c r="K8" s="6"/>
      <c r="L8" s="6">
        <v>13500</v>
      </c>
      <c r="M8" s="6" t="s">
        <v>173</v>
      </c>
      <c r="N8" s="125">
        <v>45770</v>
      </c>
      <c r="O8" s="125">
        <v>45770</v>
      </c>
      <c r="P8" s="6"/>
      <c r="Q8" s="6"/>
      <c r="R8" s="6"/>
      <c r="S8" s="6"/>
      <c r="T8" s="6"/>
      <c r="U8" s="6"/>
      <c r="V8" s="6"/>
      <c r="W8" s="6"/>
      <c r="X8" s="6"/>
      <c r="Y8" s="6"/>
      <c r="Z8" s="6"/>
      <c r="AA8" s="6"/>
      <c r="AB8" s="6"/>
      <c r="AC8" s="6"/>
      <c r="AD8" s="6"/>
    </row>
    <row r="9" ht="21" customHeight="1" spans="1:30">
      <c r="A9" s="131" t="s">
        <v>142</v>
      </c>
      <c r="B9" s="125">
        <v>45775</v>
      </c>
      <c r="C9" s="6" t="str">
        <f t="shared" si="0"/>
        <v>2025年4月</v>
      </c>
      <c r="D9" s="8" t="s">
        <v>3449</v>
      </c>
      <c r="E9" s="132" t="s">
        <v>3450</v>
      </c>
      <c r="F9" s="126"/>
      <c r="G9" s="126"/>
      <c r="H9" s="126" t="s">
        <v>3451</v>
      </c>
      <c r="I9" s="6" t="s">
        <v>3452</v>
      </c>
      <c r="J9" s="128" t="s">
        <v>3433</v>
      </c>
      <c r="K9" s="6"/>
      <c r="L9" s="6">
        <v>995113.25</v>
      </c>
      <c r="M9" s="6" t="s">
        <v>1186</v>
      </c>
      <c r="N9" s="6"/>
      <c r="O9" s="6"/>
      <c r="P9" s="6"/>
      <c r="Q9" s="6"/>
      <c r="R9" s="6"/>
      <c r="S9" s="6"/>
      <c r="T9" s="6"/>
      <c r="U9" s="6"/>
      <c r="V9" s="6"/>
      <c r="W9" s="6"/>
      <c r="X9" s="6"/>
      <c r="Y9" s="6"/>
      <c r="Z9" s="6"/>
      <c r="AA9" s="6"/>
      <c r="AB9" s="6"/>
      <c r="AC9" s="6"/>
      <c r="AD9" s="6"/>
    </row>
    <row r="10" ht="21" customHeight="1" spans="1:30">
      <c r="A10" s="131" t="s">
        <v>142</v>
      </c>
      <c r="B10" s="125">
        <v>45793</v>
      </c>
      <c r="C10" s="6" t="str">
        <f t="shared" si="0"/>
        <v>2025年5月</v>
      </c>
      <c r="D10" s="6" t="s">
        <v>3435</v>
      </c>
      <c r="E10" s="132"/>
      <c r="F10" s="126"/>
      <c r="G10" s="126"/>
      <c r="H10" s="126" t="s">
        <v>3431</v>
      </c>
      <c r="I10" s="6" t="s">
        <v>3453</v>
      </c>
      <c r="J10" s="128" t="s">
        <v>3433</v>
      </c>
      <c r="K10" s="6"/>
      <c r="L10" s="6">
        <v>580893.53</v>
      </c>
      <c r="M10" s="6" t="s">
        <v>1186</v>
      </c>
      <c r="N10" s="6"/>
      <c r="O10" s="6"/>
      <c r="P10" s="6"/>
      <c r="Q10" s="6"/>
      <c r="R10" s="6"/>
      <c r="S10" s="6"/>
      <c r="T10" s="6"/>
      <c r="U10" s="6"/>
      <c r="V10" s="6"/>
      <c r="W10" s="6"/>
      <c r="X10" s="6"/>
      <c r="Y10" s="6"/>
      <c r="Z10" s="6"/>
      <c r="AA10" s="6"/>
      <c r="AB10" s="6"/>
      <c r="AC10" s="6"/>
      <c r="AD10" s="6"/>
    </row>
    <row r="11" ht="21" customHeight="1" spans="1:30">
      <c r="A11" s="131" t="s">
        <v>142</v>
      </c>
      <c r="B11" s="125">
        <v>45819</v>
      </c>
      <c r="C11" s="6" t="str">
        <f t="shared" si="0"/>
        <v>2025年6月</v>
      </c>
      <c r="D11" s="6" t="s">
        <v>3443</v>
      </c>
      <c r="E11" s="132"/>
      <c r="F11" s="126"/>
      <c r="G11" s="126"/>
      <c r="H11" s="126" t="s">
        <v>3447</v>
      </c>
      <c r="I11" s="6" t="s">
        <v>3454</v>
      </c>
      <c r="J11" s="128" t="s">
        <v>3433</v>
      </c>
      <c r="K11" s="6"/>
      <c r="L11" s="29">
        <v>2775158.07</v>
      </c>
      <c r="M11" s="6" t="s">
        <v>1062</v>
      </c>
      <c r="N11" s="6"/>
      <c r="O11" s="6"/>
      <c r="P11" s="6"/>
      <c r="Q11" s="6"/>
      <c r="R11" s="6"/>
      <c r="S11" s="6"/>
      <c r="T11" s="6"/>
      <c r="U11" s="6"/>
      <c r="V11" s="6"/>
      <c r="W11" s="6"/>
      <c r="X11" s="6"/>
      <c r="Y11" s="6"/>
      <c r="Z11" s="6"/>
      <c r="AA11" s="6"/>
      <c r="AB11" s="6"/>
      <c r="AC11" s="6"/>
      <c r="AD11" s="6"/>
    </row>
    <row r="12" ht="21" customHeight="1" spans="1:30">
      <c r="A12" s="131" t="s">
        <v>142</v>
      </c>
      <c r="B12" s="125">
        <v>45831</v>
      </c>
      <c r="C12" s="6" t="str">
        <f t="shared" si="0"/>
        <v>2025年6月</v>
      </c>
      <c r="D12" s="6" t="s">
        <v>3443</v>
      </c>
      <c r="E12" s="132"/>
      <c r="F12" s="126"/>
      <c r="G12" s="126"/>
      <c r="H12" s="126" t="s">
        <v>3431</v>
      </c>
      <c r="I12" s="6" t="s">
        <v>3455</v>
      </c>
      <c r="J12" s="128" t="s">
        <v>3433</v>
      </c>
      <c r="K12" s="6"/>
      <c r="L12" s="6">
        <v>867968.72</v>
      </c>
      <c r="M12" s="6" t="s">
        <v>1186</v>
      </c>
      <c r="N12" s="6"/>
      <c r="O12" s="6"/>
      <c r="P12" s="6"/>
      <c r="Q12" s="6"/>
      <c r="R12" s="6"/>
      <c r="S12" s="6"/>
      <c r="T12" s="6"/>
      <c r="U12" s="6"/>
      <c r="V12" s="6"/>
      <c r="W12" s="6"/>
      <c r="X12" s="6"/>
      <c r="Y12" s="6"/>
      <c r="Z12" s="6"/>
      <c r="AA12" s="6"/>
      <c r="AB12" s="6"/>
      <c r="AC12" s="6"/>
      <c r="AD12" s="6"/>
    </row>
    <row r="13" ht="21" customHeight="1" spans="1:30">
      <c r="A13" s="131" t="s">
        <v>142</v>
      </c>
      <c r="B13" s="125">
        <v>45845</v>
      </c>
      <c r="C13" s="6" t="str">
        <f t="shared" si="0"/>
        <v>2025年7月</v>
      </c>
      <c r="D13" s="6" t="s">
        <v>3443</v>
      </c>
      <c r="E13" s="132"/>
      <c r="F13" s="126"/>
      <c r="G13" s="126"/>
      <c r="H13" s="126" t="s">
        <v>3431</v>
      </c>
      <c r="I13" s="6" t="s">
        <v>3456</v>
      </c>
      <c r="J13" s="128" t="s">
        <v>3433</v>
      </c>
      <c r="K13" s="6"/>
      <c r="L13" s="6">
        <v>232174.99</v>
      </c>
      <c r="M13" s="6" t="s">
        <v>1186</v>
      </c>
      <c r="N13" s="6"/>
      <c r="O13" s="6"/>
      <c r="P13" s="6"/>
      <c r="Q13" s="6"/>
      <c r="R13" s="6"/>
      <c r="S13" s="6"/>
      <c r="T13" s="6"/>
      <c r="U13" s="6"/>
      <c r="V13" s="6"/>
      <c r="W13" s="6"/>
      <c r="X13" s="6"/>
      <c r="Y13" s="6"/>
      <c r="Z13" s="6"/>
      <c r="AA13" s="6"/>
      <c r="AB13" s="6"/>
      <c r="AC13" s="6"/>
      <c r="AD13" s="6"/>
    </row>
    <row r="14" ht="14.5" spans="1:30">
      <c r="A14" s="131" t="s">
        <v>1266</v>
      </c>
      <c r="B14" s="125">
        <v>45862</v>
      </c>
      <c r="C14" s="6" t="str">
        <f t="shared" si="0"/>
        <v>2025年7月</v>
      </c>
      <c r="D14" s="6" t="s">
        <v>3435</v>
      </c>
      <c r="E14" s="132"/>
      <c r="F14" s="126"/>
      <c r="G14" s="126"/>
      <c r="H14" s="126" t="s">
        <v>3431</v>
      </c>
      <c r="I14" s="6" t="s">
        <v>3457</v>
      </c>
      <c r="J14" s="128" t="s">
        <v>3433</v>
      </c>
      <c r="K14" s="6"/>
      <c r="L14" s="6">
        <v>604882.57</v>
      </c>
      <c r="M14" s="6" t="s">
        <v>1186</v>
      </c>
      <c r="N14" s="6"/>
      <c r="O14" s="6"/>
      <c r="P14" s="6"/>
      <c r="Q14" s="6"/>
      <c r="R14" s="6"/>
      <c r="S14" s="6"/>
      <c r="T14" s="6"/>
      <c r="U14" s="6"/>
      <c r="V14" s="6"/>
      <c r="W14" s="6"/>
      <c r="X14" s="6"/>
      <c r="Y14" s="6"/>
      <c r="Z14" s="6"/>
      <c r="AA14" s="6"/>
      <c r="AB14" s="6"/>
      <c r="AC14" s="6"/>
      <c r="AD14" s="6"/>
    </row>
    <row r="15" ht="14.5" spans="1:30">
      <c r="A15" s="131" t="s">
        <v>1266</v>
      </c>
      <c r="B15" s="125">
        <v>45874</v>
      </c>
      <c r="C15" s="6" t="str">
        <f t="shared" si="0"/>
        <v>2025年8月</v>
      </c>
      <c r="D15" s="6" t="s">
        <v>3435</v>
      </c>
      <c r="E15" s="132"/>
      <c r="F15" s="126"/>
      <c r="G15" s="126"/>
      <c r="H15" s="126" t="s">
        <v>3431</v>
      </c>
      <c r="I15" s="6" t="s">
        <v>3458</v>
      </c>
      <c r="J15" s="128" t="s">
        <v>3433</v>
      </c>
      <c r="K15" s="6"/>
      <c r="L15" s="6">
        <v>305859.32</v>
      </c>
      <c r="M15" s="6" t="s">
        <v>1186</v>
      </c>
      <c r="N15" s="6"/>
      <c r="O15" s="6"/>
      <c r="P15" s="6"/>
      <c r="Q15" s="6"/>
      <c r="R15" s="6"/>
      <c r="S15" s="6"/>
      <c r="T15" s="6"/>
      <c r="U15" s="6"/>
      <c r="V15" s="6"/>
      <c r="W15" s="6"/>
      <c r="X15" s="6"/>
      <c r="Y15" s="6"/>
      <c r="Z15" s="6"/>
      <c r="AA15" s="6"/>
      <c r="AB15" s="6"/>
      <c r="AC15" s="6"/>
      <c r="AD15" s="6"/>
    </row>
    <row r="16" ht="29" spans="1:30">
      <c r="A16" s="131" t="s">
        <v>142</v>
      </c>
      <c r="B16" s="125">
        <v>45909</v>
      </c>
      <c r="C16" s="6" t="str">
        <f t="shared" si="0"/>
        <v>2025年9月</v>
      </c>
      <c r="D16" s="6" t="s">
        <v>3443</v>
      </c>
      <c r="E16" s="127" t="s">
        <v>3459</v>
      </c>
      <c r="F16" s="126"/>
      <c r="G16" s="126"/>
      <c r="H16" s="126" t="s">
        <v>3447</v>
      </c>
      <c r="I16" s="6" t="s">
        <v>3454</v>
      </c>
      <c r="J16" s="128" t="s">
        <v>3433</v>
      </c>
      <c r="K16" s="6"/>
      <c r="L16" s="6">
        <v>383496.3</v>
      </c>
      <c r="M16" s="6" t="s">
        <v>1186</v>
      </c>
      <c r="N16" s="6"/>
      <c r="O16" s="6"/>
      <c r="P16" s="6"/>
      <c r="Q16" s="6"/>
      <c r="R16" s="6"/>
      <c r="S16" s="6"/>
      <c r="T16" s="6"/>
      <c r="U16" s="6"/>
      <c r="V16" s="6"/>
      <c r="W16" s="6"/>
      <c r="X16" s="6"/>
      <c r="Y16" s="6"/>
      <c r="Z16" s="6"/>
      <c r="AA16" s="6"/>
      <c r="AB16" s="6"/>
      <c r="AC16" s="6"/>
      <c r="AD16" s="6"/>
    </row>
    <row r="17" ht="21" customHeight="1" spans="1:30">
      <c r="A17" s="131" t="s">
        <v>142</v>
      </c>
      <c r="B17" s="125">
        <v>45915</v>
      </c>
      <c r="C17" s="6" t="str">
        <f t="shared" si="0"/>
        <v>2025年9月</v>
      </c>
      <c r="D17" s="6" t="s">
        <v>3443</v>
      </c>
      <c r="E17" s="132"/>
      <c r="F17" s="126"/>
      <c r="G17" s="126"/>
      <c r="H17" s="126" t="s">
        <v>3431</v>
      </c>
      <c r="I17" s="6" t="s">
        <v>3460</v>
      </c>
      <c r="J17" s="128" t="s">
        <v>3433</v>
      </c>
      <c r="K17" s="6"/>
      <c r="L17" s="6">
        <v>538741.44</v>
      </c>
      <c r="M17" s="6" t="s">
        <v>1186</v>
      </c>
      <c r="N17" s="6"/>
      <c r="O17" s="6"/>
      <c r="P17" s="6"/>
      <c r="Q17" s="6"/>
      <c r="R17" s="6"/>
      <c r="S17" s="6"/>
      <c r="T17" s="6"/>
      <c r="U17" s="6"/>
      <c r="V17" s="6"/>
      <c r="W17" s="6"/>
      <c r="X17" s="6"/>
      <c r="Y17" s="6"/>
      <c r="Z17" s="6"/>
      <c r="AA17" s="6"/>
      <c r="AB17" s="6"/>
      <c r="AC17" s="6"/>
      <c r="AD17" s="6"/>
    </row>
    <row r="18" ht="21" customHeight="1" spans="1:30">
      <c r="A18" s="131" t="s">
        <v>142</v>
      </c>
      <c r="B18" s="125">
        <v>45945</v>
      </c>
      <c r="C18" s="6" t="str">
        <f t="shared" si="0"/>
        <v>2025年10月</v>
      </c>
      <c r="D18" s="6" t="s">
        <v>3435</v>
      </c>
      <c r="E18" s="132"/>
      <c r="F18" s="126"/>
      <c r="G18" s="126"/>
      <c r="H18" s="126" t="s">
        <v>3431</v>
      </c>
      <c r="I18" s="6" t="s">
        <v>3461</v>
      </c>
      <c r="J18" s="128" t="s">
        <v>3433</v>
      </c>
      <c r="K18" s="6"/>
      <c r="L18" s="6">
        <v>380155.46</v>
      </c>
      <c r="M18" s="6" t="s">
        <v>1186</v>
      </c>
      <c r="N18" s="6"/>
      <c r="O18" s="6"/>
      <c r="P18" s="6"/>
      <c r="Q18" s="6"/>
      <c r="R18" s="6"/>
      <c r="S18" s="6"/>
      <c r="T18" s="6"/>
      <c r="U18" s="6"/>
      <c r="V18" s="6"/>
      <c r="W18" s="6"/>
      <c r="X18" s="6"/>
      <c r="Y18" s="6"/>
      <c r="Z18" s="6"/>
      <c r="AA18" s="6"/>
      <c r="AB18" s="6"/>
      <c r="AC18" s="6"/>
      <c r="AD18" s="6"/>
    </row>
    <row r="19" ht="21" customHeight="1" spans="1:30">
      <c r="A19" s="131" t="s">
        <v>142</v>
      </c>
      <c r="B19" s="125">
        <v>45973</v>
      </c>
      <c r="C19" s="6" t="str">
        <f t="shared" si="0"/>
        <v>2025年11月</v>
      </c>
      <c r="D19" s="6" t="s">
        <v>3435</v>
      </c>
      <c r="E19" s="132"/>
      <c r="F19" s="126"/>
      <c r="G19" s="126"/>
      <c r="H19" s="126" t="s">
        <v>3431</v>
      </c>
      <c r="I19" s="6" t="s">
        <v>3462</v>
      </c>
      <c r="J19" s="128" t="s">
        <v>3433</v>
      </c>
      <c r="L19" s="6">
        <v>311066.63</v>
      </c>
      <c r="M19" s="6" t="s">
        <v>3463</v>
      </c>
      <c r="N19" s="6"/>
      <c r="O19" s="6"/>
      <c r="P19" s="6"/>
      <c r="Q19" s="6"/>
      <c r="R19" s="6"/>
      <c r="S19" s="6"/>
      <c r="T19" s="6"/>
      <c r="U19" s="6"/>
      <c r="V19" s="6"/>
      <c r="W19" s="6"/>
      <c r="X19" s="6"/>
      <c r="Y19" s="6"/>
      <c r="Z19" s="6"/>
      <c r="AA19" s="6"/>
      <c r="AB19" s="6"/>
      <c r="AC19" s="6"/>
      <c r="AD19" s="6"/>
    </row>
    <row r="20" ht="21" customHeight="1" spans="1:30">
      <c r="A20" s="131" t="s">
        <v>142</v>
      </c>
      <c r="B20" s="125">
        <v>46007</v>
      </c>
      <c r="C20" s="6" t="str">
        <f t="shared" si="0"/>
        <v>2025年12月</v>
      </c>
      <c r="D20" s="6" t="s">
        <v>3435</v>
      </c>
      <c r="E20" s="132"/>
      <c r="F20" s="126"/>
      <c r="G20" s="126"/>
      <c r="H20" s="126" t="s">
        <v>3431</v>
      </c>
      <c r="I20" s="6" t="s">
        <v>3464</v>
      </c>
      <c r="J20" s="128" t="s">
        <v>3433</v>
      </c>
      <c r="K20" s="6"/>
      <c r="L20" s="6">
        <v>419731.62</v>
      </c>
      <c r="M20" s="6" t="s">
        <v>1186</v>
      </c>
      <c r="N20" s="6"/>
      <c r="O20" s="6"/>
      <c r="P20" s="6"/>
      <c r="Q20" s="6"/>
      <c r="R20" s="6"/>
      <c r="S20" s="6"/>
      <c r="T20" s="6"/>
      <c r="U20" s="6"/>
      <c r="V20" s="6"/>
      <c r="W20" s="6"/>
      <c r="X20" s="6"/>
      <c r="Y20" s="6"/>
      <c r="Z20" s="6"/>
      <c r="AA20" s="6"/>
      <c r="AB20" s="6"/>
      <c r="AC20" s="6"/>
      <c r="AD20" s="6"/>
    </row>
    <row r="21" ht="21" customHeight="1" spans="1:30">
      <c r="A21" s="131" t="s">
        <v>142</v>
      </c>
      <c r="B21" s="125">
        <v>46031</v>
      </c>
      <c r="C21" s="6" t="str">
        <f t="shared" si="0"/>
        <v>2026年1月</v>
      </c>
      <c r="D21" s="6" t="s">
        <v>3435</v>
      </c>
      <c r="E21" s="6"/>
      <c r="F21" s="40"/>
      <c r="G21" s="40"/>
      <c r="H21" s="40" t="s">
        <v>3431</v>
      </c>
      <c r="I21" s="6" t="s">
        <v>3436</v>
      </c>
      <c r="J21" s="128" t="s">
        <v>3433</v>
      </c>
      <c r="K21" s="6"/>
      <c r="L21" s="6">
        <v>322955.7</v>
      </c>
      <c r="M21" s="6" t="s">
        <v>1186</v>
      </c>
      <c r="N21" s="6"/>
      <c r="O21" s="6"/>
      <c r="P21" s="6"/>
      <c r="Q21" s="6"/>
      <c r="R21" s="6"/>
      <c r="S21" s="6"/>
      <c r="T21" s="6"/>
      <c r="U21" s="6"/>
      <c r="V21" s="6"/>
      <c r="W21" s="6"/>
      <c r="X21" s="6"/>
      <c r="Y21" s="6"/>
      <c r="Z21" s="6"/>
      <c r="AA21" s="6"/>
      <c r="AB21" s="6"/>
      <c r="AC21" s="6"/>
      <c r="AD21" s="6"/>
    </row>
    <row r="22" ht="21" customHeight="1" spans="1:30">
      <c r="A22" s="131" t="s">
        <v>142</v>
      </c>
      <c r="B22" s="125">
        <v>46092</v>
      </c>
      <c r="C22" s="6" t="str">
        <f t="shared" si="0"/>
        <v>2026年3月</v>
      </c>
      <c r="D22" s="6" t="s">
        <v>3435</v>
      </c>
      <c r="E22" s="6"/>
      <c r="F22" s="40"/>
      <c r="G22" s="40"/>
      <c r="H22" s="40" t="s">
        <v>3431</v>
      </c>
      <c r="I22" s="6" t="s">
        <v>3442</v>
      </c>
      <c r="J22" s="128" t="s">
        <v>3433</v>
      </c>
      <c r="K22" s="6"/>
      <c r="L22" s="6">
        <v>576296.22</v>
      </c>
      <c r="M22" s="6" t="s">
        <v>1186</v>
      </c>
      <c r="N22" s="6"/>
      <c r="O22" s="6"/>
      <c r="P22" s="6"/>
      <c r="Q22" s="6"/>
      <c r="R22" s="6"/>
      <c r="S22" s="6"/>
      <c r="T22" s="6"/>
      <c r="U22" s="6"/>
      <c r="V22" s="6"/>
      <c r="W22" s="6"/>
      <c r="X22" s="6"/>
      <c r="Y22" s="6"/>
      <c r="Z22" s="6"/>
      <c r="AA22" s="6"/>
      <c r="AB22" s="6"/>
      <c r="AC22" s="6"/>
      <c r="AD22" s="6"/>
    </row>
    <row r="23" ht="21" customHeight="1" spans="1:30">
      <c r="A23" s="131" t="s">
        <v>142</v>
      </c>
      <c r="B23" s="125">
        <v>46098</v>
      </c>
      <c r="C23" s="6" t="str">
        <f t="shared" si="0"/>
        <v>2026年3月</v>
      </c>
      <c r="D23" s="6" t="s">
        <v>3443</v>
      </c>
      <c r="E23" s="6"/>
      <c r="F23" s="40"/>
      <c r="G23" s="40"/>
      <c r="H23" s="40" t="s">
        <v>3447</v>
      </c>
      <c r="I23" s="6" t="s">
        <v>3465</v>
      </c>
      <c r="J23" s="128" t="s">
        <v>3433</v>
      </c>
      <c r="K23" s="6"/>
      <c r="L23" s="6">
        <v>134626.3</v>
      </c>
      <c r="M23" s="6" t="s">
        <v>1186</v>
      </c>
      <c r="N23" s="6"/>
      <c r="O23" s="6"/>
      <c r="P23" s="6"/>
      <c r="Q23" s="6"/>
      <c r="R23" s="6"/>
      <c r="S23" s="6"/>
      <c r="T23" s="6"/>
      <c r="U23" s="6"/>
      <c r="V23" s="6"/>
      <c r="W23" s="6"/>
      <c r="X23" s="6"/>
      <c r="Y23" s="6"/>
      <c r="Z23" s="6"/>
      <c r="AA23" s="6"/>
      <c r="AB23" s="6"/>
      <c r="AC23" s="6"/>
      <c r="AD23" s="6"/>
    </row>
    <row r="24" ht="21" customHeight="1" spans="1:30">
      <c r="A24" s="133" t="s">
        <v>142</v>
      </c>
      <c r="B24" s="134">
        <v>46142</v>
      </c>
      <c r="C24" s="11" t="str">
        <f t="shared" si="0"/>
        <v>2026年4月</v>
      </c>
      <c r="D24" s="8" t="s">
        <v>3466</v>
      </c>
      <c r="E24" s="6" t="s">
        <v>3467</v>
      </c>
      <c r="F24" s="6" t="s">
        <v>3468</v>
      </c>
      <c r="G24" s="6">
        <v>400000</v>
      </c>
      <c r="H24" s="117" t="s">
        <v>3469</v>
      </c>
      <c r="I24" s="11" t="s">
        <v>3470</v>
      </c>
      <c r="J24" s="128" t="s">
        <v>3433</v>
      </c>
      <c r="K24" s="6"/>
      <c r="L24" s="135">
        <v>1819389.79</v>
      </c>
      <c r="M24" s="11" t="s">
        <v>1186</v>
      </c>
      <c r="N24" s="6"/>
      <c r="O24" s="6"/>
      <c r="P24" s="6"/>
      <c r="Q24" s="6"/>
      <c r="R24" s="6"/>
      <c r="S24" s="6"/>
      <c r="T24" s="6"/>
      <c r="U24" s="6"/>
      <c r="V24" s="6"/>
      <c r="W24" s="6"/>
      <c r="X24" s="6"/>
      <c r="Y24" s="6"/>
      <c r="Z24" s="6"/>
      <c r="AA24" s="6"/>
      <c r="AB24" s="6"/>
      <c r="AC24" s="6"/>
      <c r="AD24" s="6"/>
    </row>
    <row r="25" ht="21" customHeight="1" spans="1:30">
      <c r="A25" s="12"/>
      <c r="B25" s="12"/>
      <c r="C25" s="12"/>
      <c r="D25" s="8" t="s">
        <v>3471</v>
      </c>
      <c r="E25" s="6" t="s">
        <v>3472</v>
      </c>
      <c r="F25" s="6" t="s">
        <v>3473</v>
      </c>
      <c r="G25" s="6">
        <v>400000</v>
      </c>
      <c r="H25" s="12"/>
      <c r="I25" s="12"/>
      <c r="J25" s="12"/>
      <c r="K25" s="6"/>
      <c r="L25" s="12"/>
      <c r="M25" s="12"/>
      <c r="N25" s="6"/>
      <c r="O25" s="6"/>
      <c r="P25" s="6"/>
      <c r="Q25" s="6"/>
      <c r="R25" s="6"/>
      <c r="S25" s="6"/>
      <c r="T25" s="6"/>
      <c r="U25" s="6"/>
      <c r="V25" s="6"/>
      <c r="W25" s="6"/>
      <c r="X25" s="6"/>
      <c r="Y25" s="6"/>
      <c r="Z25" s="6"/>
      <c r="AA25" s="6"/>
      <c r="AB25" s="6"/>
      <c r="AC25" s="6"/>
      <c r="AD25" s="6"/>
    </row>
    <row r="26" ht="21" customHeight="1" spans="1:30">
      <c r="A26" s="12"/>
      <c r="B26" s="12"/>
      <c r="C26" s="12"/>
      <c r="D26" s="8" t="s">
        <v>3471</v>
      </c>
      <c r="E26" s="6" t="s">
        <v>3472</v>
      </c>
      <c r="F26" s="6" t="s">
        <v>3474</v>
      </c>
      <c r="G26" s="6">
        <v>400000</v>
      </c>
      <c r="H26" s="12"/>
      <c r="I26" s="12"/>
      <c r="J26" s="12"/>
      <c r="K26" s="6"/>
      <c r="L26" s="12"/>
      <c r="M26" s="12"/>
      <c r="N26" s="6"/>
      <c r="O26" s="6"/>
      <c r="P26" s="6"/>
      <c r="Q26" s="6"/>
      <c r="R26" s="6"/>
      <c r="S26" s="6"/>
      <c r="T26" s="6"/>
      <c r="U26" s="6"/>
      <c r="V26" s="6"/>
      <c r="W26" s="6"/>
      <c r="X26" s="6"/>
      <c r="Y26" s="6"/>
      <c r="Z26" s="6"/>
      <c r="AA26" s="6"/>
      <c r="AB26" s="6"/>
      <c r="AC26" s="6"/>
      <c r="AD26" s="6"/>
    </row>
    <row r="27" ht="21" customHeight="1" spans="1:30">
      <c r="A27" s="12"/>
      <c r="B27" s="12"/>
      <c r="C27" s="12"/>
      <c r="D27" s="8" t="s">
        <v>3475</v>
      </c>
      <c r="E27" s="6" t="s">
        <v>3476</v>
      </c>
      <c r="F27" s="6" t="s">
        <v>3477</v>
      </c>
      <c r="G27" s="6">
        <v>400000</v>
      </c>
      <c r="H27" s="12"/>
      <c r="I27" s="12"/>
      <c r="J27" s="12"/>
      <c r="K27" s="6"/>
      <c r="L27" s="12"/>
      <c r="M27" s="12"/>
      <c r="N27" s="6"/>
      <c r="O27" s="6"/>
      <c r="P27" s="6"/>
      <c r="Q27" s="6"/>
      <c r="R27" s="6"/>
      <c r="S27" s="6"/>
      <c r="T27" s="6"/>
      <c r="U27" s="6"/>
      <c r="V27" s="6"/>
      <c r="W27" s="6"/>
      <c r="X27" s="6"/>
      <c r="Y27" s="6"/>
      <c r="Z27" s="6"/>
      <c r="AA27" s="6"/>
      <c r="AB27" s="6"/>
      <c r="AC27" s="6"/>
      <c r="AD27" s="6"/>
    </row>
    <row r="28" ht="21" customHeight="1" spans="1:30">
      <c r="A28" s="13"/>
      <c r="B28" s="13"/>
      <c r="C28" s="13"/>
      <c r="D28" s="8" t="s">
        <v>3478</v>
      </c>
      <c r="E28" s="6" t="s">
        <v>3479</v>
      </c>
      <c r="F28" s="6" t="s">
        <v>3480</v>
      </c>
      <c r="G28" s="6">
        <v>219389.79</v>
      </c>
      <c r="H28" s="13"/>
      <c r="I28" s="13"/>
      <c r="J28" s="13"/>
      <c r="K28" s="6"/>
      <c r="L28" s="13"/>
      <c r="M28" s="13"/>
      <c r="N28" s="6"/>
      <c r="O28" s="6"/>
      <c r="P28" s="6"/>
      <c r="Q28" s="6"/>
      <c r="R28" s="6"/>
      <c r="S28" s="6"/>
      <c r="T28" s="6"/>
      <c r="U28" s="6"/>
      <c r="V28" s="6"/>
      <c r="W28" s="6"/>
      <c r="X28" s="6"/>
      <c r="Y28" s="6"/>
      <c r="Z28" s="6"/>
      <c r="AA28" s="6"/>
      <c r="AB28" s="6"/>
      <c r="AC28" s="6"/>
      <c r="AD28" s="6"/>
    </row>
    <row r="29" ht="14.5" spans="1:30">
      <c r="A29" s="131" t="s">
        <v>2352</v>
      </c>
      <c r="B29" s="125">
        <v>46151</v>
      </c>
      <c r="C29" s="6" t="str">
        <f>YEAR(B29)&amp;"年"&amp;MONTH(B29)&amp;"月"</f>
        <v>2026年5月</v>
      </c>
      <c r="D29" s="6"/>
      <c r="E29" s="6" t="s">
        <v>3481</v>
      </c>
      <c r="F29" s="40"/>
      <c r="G29" s="40"/>
      <c r="H29" s="40" t="s">
        <v>3469</v>
      </c>
      <c r="I29" s="6" t="s">
        <v>3482</v>
      </c>
      <c r="J29" s="128" t="s">
        <v>3433</v>
      </c>
      <c r="K29" s="6"/>
      <c r="L29" s="6">
        <v>7735427.58</v>
      </c>
      <c r="M29" s="6" t="s">
        <v>1186</v>
      </c>
      <c r="N29" s="6"/>
      <c r="O29" s="6"/>
      <c r="P29" s="6"/>
      <c r="Q29" s="6"/>
      <c r="R29" s="6"/>
      <c r="S29" s="6"/>
      <c r="T29" s="6"/>
      <c r="U29" s="6"/>
      <c r="V29" s="6"/>
      <c r="W29" s="6"/>
      <c r="X29" s="6"/>
      <c r="Y29" s="6"/>
      <c r="Z29" s="6"/>
      <c r="AA29" s="6"/>
      <c r="AB29" s="6"/>
      <c r="AC29" s="6"/>
      <c r="AD29" s="6"/>
    </row>
    <row r="30" ht="21" customHeight="1" spans="1:30">
      <c r="A30" s="131" t="s">
        <v>142</v>
      </c>
      <c r="B30" s="125">
        <v>46155</v>
      </c>
      <c r="C30" s="6" t="str">
        <f>YEAR(B30)&amp;"年"&amp;MONTH(B30)&amp;"月"</f>
        <v>2026年5月</v>
      </c>
      <c r="D30" s="6" t="s">
        <v>3435</v>
      </c>
      <c r="E30" s="6"/>
      <c r="F30" s="40"/>
      <c r="G30" s="40"/>
      <c r="H30" s="40" t="s">
        <v>3431</v>
      </c>
      <c r="I30" s="6" t="s">
        <v>3453</v>
      </c>
      <c r="J30" s="128" t="s">
        <v>3433</v>
      </c>
      <c r="K30" s="6"/>
      <c r="L30" s="6">
        <v>334828.02</v>
      </c>
      <c r="M30" s="6" t="s">
        <v>1186</v>
      </c>
      <c r="N30" s="6"/>
      <c r="O30" s="6"/>
      <c r="P30" s="6"/>
      <c r="Q30" s="6"/>
      <c r="R30" s="6"/>
      <c r="S30" s="6"/>
      <c r="T30" s="6"/>
      <c r="U30" s="6"/>
      <c r="V30" s="6"/>
      <c r="W30" s="6"/>
      <c r="X30" s="6"/>
      <c r="Y30" s="6"/>
      <c r="Z30" s="6"/>
      <c r="AA30" s="6"/>
      <c r="AB30" s="6"/>
      <c r="AC30" s="6"/>
      <c r="AD30" s="6"/>
    </row>
    <row r="31" ht="21" customHeight="1" spans="1:30">
      <c r="A31" s="131" t="s">
        <v>872</v>
      </c>
      <c r="B31" s="125">
        <v>46178</v>
      </c>
      <c r="C31" s="6" t="str">
        <f>YEAR(B31)&amp;"年"&amp;MONTH(B31)&amp;"月"</f>
        <v>2026年6月</v>
      </c>
      <c r="D31" s="6" t="s">
        <v>3483</v>
      </c>
      <c r="E31" s="6" t="s">
        <v>3484</v>
      </c>
      <c r="F31" s="40"/>
      <c r="G31" s="40"/>
      <c r="H31" s="40" t="s">
        <v>3451</v>
      </c>
      <c r="I31" s="6" t="s">
        <v>3485</v>
      </c>
      <c r="J31" s="128" t="s">
        <v>3433</v>
      </c>
      <c r="K31" s="6" t="s">
        <v>2365</v>
      </c>
      <c r="L31" s="6">
        <v>7283108</v>
      </c>
      <c r="M31" s="6" t="s">
        <v>1186</v>
      </c>
      <c r="N31" s="6"/>
      <c r="O31" s="6"/>
      <c r="P31" s="6"/>
      <c r="Q31" s="6"/>
      <c r="R31" s="6"/>
      <c r="S31" s="6"/>
      <c r="T31" s="6"/>
      <c r="U31" s="6"/>
      <c r="V31" s="6"/>
      <c r="W31" s="6"/>
      <c r="X31" s="6"/>
      <c r="Y31" s="6"/>
      <c r="Z31" s="6"/>
      <c r="AA31" s="6"/>
      <c r="AB31" s="6"/>
      <c r="AC31" s="6"/>
      <c r="AD31" s="6"/>
    </row>
    <row r="32" ht="41.25" customHeight="1" spans="1:30">
      <c r="A32" s="131" t="s">
        <v>2727</v>
      </c>
      <c r="B32" s="125">
        <v>46188</v>
      </c>
      <c r="C32" s="6" t="str">
        <f>YEAR(B32)&amp;"年"&amp;MONTH(B32)&amp;"月"</f>
        <v>2026年6月</v>
      </c>
      <c r="D32" s="6" t="s">
        <v>3486</v>
      </c>
      <c r="E32" s="6" t="s">
        <v>3481</v>
      </c>
      <c r="F32" s="40"/>
      <c r="G32" s="40"/>
      <c r="H32" s="40" t="s">
        <v>3469</v>
      </c>
      <c r="I32" s="6" t="s">
        <v>3487</v>
      </c>
      <c r="J32" s="128" t="s">
        <v>3488</v>
      </c>
      <c r="K32" s="6"/>
      <c r="L32" s="6">
        <v>15097205.88</v>
      </c>
      <c r="M32" s="6" t="s">
        <v>1186</v>
      </c>
      <c r="N32" s="6"/>
      <c r="O32" s="6"/>
      <c r="P32" s="6"/>
      <c r="Q32" s="6"/>
      <c r="R32" s="6"/>
      <c r="S32" s="6"/>
      <c r="T32" s="6"/>
      <c r="U32" s="6"/>
      <c r="V32" s="6"/>
      <c r="W32" s="6"/>
      <c r="X32" s="6"/>
      <c r="Y32" s="6"/>
      <c r="Z32" s="6"/>
      <c r="AA32" s="6"/>
      <c r="AB32" s="6"/>
      <c r="AC32" s="6"/>
      <c r="AD32" s="6"/>
    </row>
    <row r="33" ht="21" customHeight="1" spans="1:30">
      <c r="A33" s="131"/>
      <c r="B33" s="6"/>
      <c r="C33" s="6"/>
      <c r="D33" s="6"/>
      <c r="E33" s="6"/>
      <c r="F33" s="40"/>
      <c r="G33" s="40"/>
      <c r="H33" s="40"/>
      <c r="I33" s="6"/>
      <c r="J33" s="6"/>
      <c r="K33" s="6"/>
      <c r="L33" s="6"/>
      <c r="M33" s="6"/>
      <c r="N33" s="6"/>
      <c r="O33" s="6"/>
      <c r="P33" s="6"/>
      <c r="Q33" s="6"/>
      <c r="R33" s="6"/>
      <c r="S33" s="6"/>
      <c r="T33" s="6"/>
      <c r="U33" s="6"/>
      <c r="V33" s="6"/>
      <c r="W33" s="6"/>
      <c r="X33" s="6"/>
      <c r="Y33" s="6"/>
      <c r="Z33" s="6"/>
      <c r="AA33" s="6"/>
      <c r="AB33" s="6"/>
      <c r="AC33" s="6"/>
      <c r="AD33" s="6"/>
    </row>
    <row r="34" ht="21" customHeight="1" spans="1:30">
      <c r="A34" s="131"/>
      <c r="B34" s="6"/>
      <c r="C34" s="6"/>
      <c r="D34" s="6"/>
      <c r="E34" s="6"/>
      <c r="F34" s="40"/>
      <c r="G34" s="40"/>
      <c r="H34" s="40"/>
      <c r="I34" s="6"/>
      <c r="J34" s="6"/>
      <c r="K34" s="6"/>
      <c r="L34" s="6"/>
      <c r="M34" s="6"/>
      <c r="N34" s="6"/>
      <c r="O34" s="6"/>
      <c r="P34" s="6"/>
      <c r="Q34" s="6"/>
      <c r="R34" s="6"/>
      <c r="S34" s="6"/>
      <c r="T34" s="6"/>
      <c r="U34" s="6"/>
      <c r="V34" s="6"/>
      <c r="W34" s="6"/>
      <c r="X34" s="6"/>
      <c r="Y34" s="6"/>
      <c r="Z34" s="6"/>
      <c r="AA34" s="6"/>
      <c r="AB34" s="6"/>
      <c r="AC34" s="6"/>
      <c r="AD34" s="6"/>
    </row>
    <row r="35" ht="21" customHeight="1" spans="1:30">
      <c r="A35" s="131"/>
      <c r="B35" s="6"/>
      <c r="C35" s="6"/>
      <c r="D35" s="6"/>
      <c r="E35" s="6"/>
      <c r="F35" s="40"/>
      <c r="G35" s="40"/>
      <c r="H35" s="40"/>
      <c r="I35" s="6"/>
      <c r="J35" s="6"/>
      <c r="K35" s="6"/>
      <c r="L35" s="6"/>
      <c r="M35" s="6"/>
      <c r="N35" s="6"/>
      <c r="O35" s="6"/>
      <c r="P35" s="6"/>
      <c r="Q35" s="6"/>
      <c r="R35" s="6"/>
      <c r="S35" s="6"/>
      <c r="T35" s="6"/>
      <c r="U35" s="6"/>
      <c r="V35" s="6"/>
      <c r="W35" s="6"/>
      <c r="X35" s="6"/>
      <c r="Y35" s="6"/>
      <c r="Z35" s="6"/>
      <c r="AA35" s="6"/>
      <c r="AB35" s="6"/>
      <c r="AC35" s="6"/>
      <c r="AD35" s="6"/>
    </row>
    <row r="36" ht="21" customHeight="1" spans="1:30">
      <c r="A36" s="131"/>
      <c r="B36" s="6"/>
      <c r="C36" s="6"/>
      <c r="D36" s="6"/>
      <c r="E36" s="6"/>
      <c r="F36" s="40"/>
      <c r="G36" s="40"/>
      <c r="H36" s="40"/>
      <c r="I36" s="6"/>
      <c r="J36" s="6"/>
      <c r="K36" s="6"/>
      <c r="L36" s="6"/>
      <c r="M36" s="6"/>
      <c r="N36" s="6"/>
      <c r="O36" s="6"/>
      <c r="P36" s="6"/>
      <c r="Q36" s="6"/>
      <c r="R36" s="6"/>
      <c r="S36" s="6"/>
      <c r="T36" s="6"/>
      <c r="U36" s="6"/>
      <c r="V36" s="6"/>
      <c r="W36" s="6"/>
      <c r="X36" s="6"/>
      <c r="Y36" s="6"/>
      <c r="Z36" s="6"/>
      <c r="AA36" s="6"/>
      <c r="AB36" s="6"/>
      <c r="AC36" s="6"/>
      <c r="AD36" s="6"/>
    </row>
    <row r="37" ht="21" customHeight="1" spans="1:30">
      <c r="A37" s="131"/>
      <c r="B37" s="6"/>
      <c r="C37" s="6"/>
      <c r="D37" s="6"/>
      <c r="E37" s="6"/>
      <c r="F37" s="40"/>
      <c r="G37" s="40"/>
      <c r="H37" s="40"/>
      <c r="I37" s="6"/>
      <c r="J37" s="6"/>
      <c r="K37" s="6"/>
      <c r="L37" s="6"/>
      <c r="M37" s="6"/>
      <c r="N37" s="6"/>
      <c r="O37" s="6"/>
      <c r="P37" s="6"/>
      <c r="Q37" s="6"/>
      <c r="R37" s="6"/>
      <c r="S37" s="6"/>
      <c r="T37" s="6"/>
      <c r="U37" s="6"/>
      <c r="V37" s="6"/>
      <c r="W37" s="6"/>
      <c r="X37" s="6"/>
      <c r="Y37" s="6"/>
      <c r="Z37" s="6"/>
      <c r="AA37" s="6"/>
      <c r="AB37" s="6"/>
      <c r="AC37" s="6"/>
      <c r="AD37" s="6"/>
    </row>
    <row r="38" ht="21" customHeight="1" spans="1:30">
      <c r="A38" s="131"/>
      <c r="B38" s="6"/>
      <c r="C38" s="6"/>
      <c r="D38" s="6"/>
      <c r="E38" s="6"/>
      <c r="F38" s="40"/>
      <c r="G38" s="40"/>
      <c r="H38" s="40"/>
      <c r="I38" s="6"/>
      <c r="J38" s="6"/>
      <c r="K38" s="6"/>
      <c r="L38" s="6"/>
      <c r="M38" s="6"/>
      <c r="N38" s="6"/>
      <c r="O38" s="6"/>
      <c r="P38" s="6"/>
      <c r="Q38" s="6"/>
      <c r="R38" s="6"/>
      <c r="S38" s="6"/>
      <c r="T38" s="6"/>
      <c r="U38" s="6"/>
      <c r="V38" s="6"/>
      <c r="W38" s="6"/>
      <c r="X38" s="6"/>
      <c r="Y38" s="6"/>
      <c r="Z38" s="6"/>
      <c r="AA38" s="6"/>
      <c r="AB38" s="6"/>
      <c r="AC38" s="6"/>
      <c r="AD38" s="6"/>
    </row>
    <row r="39" ht="21" customHeight="1" spans="1:30">
      <c r="A39" s="131"/>
      <c r="B39" s="6"/>
      <c r="C39" s="6"/>
      <c r="D39" s="6"/>
      <c r="E39" s="6"/>
      <c r="F39" s="40"/>
      <c r="G39" s="40"/>
      <c r="H39" s="40"/>
      <c r="I39" s="6"/>
      <c r="J39" s="6"/>
      <c r="K39" s="6"/>
      <c r="L39" s="6"/>
      <c r="M39" s="6"/>
      <c r="N39" s="6"/>
      <c r="O39" s="6"/>
      <c r="P39" s="6"/>
      <c r="Q39" s="6"/>
      <c r="R39" s="6"/>
      <c r="S39" s="6"/>
      <c r="T39" s="6"/>
      <c r="U39" s="6"/>
      <c r="V39" s="6"/>
      <c r="W39" s="6"/>
      <c r="X39" s="6"/>
      <c r="Y39" s="6"/>
      <c r="Z39" s="6"/>
      <c r="AA39" s="6"/>
      <c r="AB39" s="6"/>
      <c r="AC39" s="6"/>
      <c r="AD39" s="6"/>
    </row>
    <row r="40" ht="21" customHeight="1" spans="1:30">
      <c r="A40" s="131"/>
      <c r="B40" s="6"/>
      <c r="C40" s="6"/>
      <c r="D40" s="6"/>
      <c r="E40" s="6"/>
      <c r="F40" s="40"/>
      <c r="G40" s="40"/>
      <c r="H40" s="40"/>
      <c r="I40" s="6"/>
      <c r="J40" s="6"/>
      <c r="K40" s="6"/>
      <c r="L40" s="6"/>
      <c r="M40" s="6"/>
      <c r="N40" s="6"/>
      <c r="O40" s="6"/>
      <c r="P40" s="6"/>
      <c r="Q40" s="6"/>
      <c r="R40" s="6"/>
      <c r="S40" s="6"/>
      <c r="T40" s="6"/>
      <c r="U40" s="6"/>
      <c r="V40" s="6"/>
      <c r="W40" s="6"/>
      <c r="X40" s="6"/>
      <c r="Y40" s="6"/>
      <c r="Z40" s="6"/>
      <c r="AA40" s="6"/>
      <c r="AB40" s="6"/>
      <c r="AC40" s="6"/>
      <c r="AD40" s="6"/>
    </row>
    <row r="41" ht="21" customHeight="1" spans="1:30">
      <c r="A41" s="131"/>
      <c r="B41" s="6"/>
      <c r="C41" s="6"/>
      <c r="D41" s="6"/>
      <c r="E41" s="6"/>
      <c r="F41" s="40"/>
      <c r="G41" s="40"/>
      <c r="H41" s="40"/>
      <c r="I41" s="6"/>
      <c r="J41" s="6"/>
      <c r="K41" s="6"/>
      <c r="L41" s="6"/>
      <c r="M41" s="6"/>
      <c r="N41" s="6"/>
      <c r="O41" s="6"/>
      <c r="P41" s="6"/>
      <c r="Q41" s="6"/>
      <c r="R41" s="6"/>
      <c r="S41" s="6"/>
      <c r="T41" s="6"/>
      <c r="U41" s="6"/>
      <c r="V41" s="6"/>
      <c r="W41" s="6"/>
      <c r="X41" s="6"/>
      <c r="Y41" s="6"/>
      <c r="Z41" s="6"/>
      <c r="AA41" s="6"/>
      <c r="AB41" s="6"/>
      <c r="AC41" s="6"/>
      <c r="AD41" s="6"/>
    </row>
    <row r="42" ht="21" customHeight="1" spans="1:30">
      <c r="A42" s="131"/>
      <c r="B42" s="6"/>
      <c r="C42" s="6"/>
      <c r="D42" s="6"/>
      <c r="E42" s="6"/>
      <c r="F42" s="40"/>
      <c r="G42" s="40"/>
      <c r="H42" s="40"/>
      <c r="I42" s="6"/>
      <c r="J42" s="6"/>
      <c r="K42" s="6"/>
      <c r="L42" s="6"/>
      <c r="M42" s="6"/>
      <c r="N42" s="6"/>
      <c r="O42" s="6"/>
      <c r="P42" s="6"/>
      <c r="Q42" s="6"/>
      <c r="R42" s="6"/>
      <c r="S42" s="6"/>
      <c r="T42" s="6"/>
      <c r="U42" s="6"/>
      <c r="V42" s="6"/>
      <c r="W42" s="6"/>
      <c r="X42" s="6"/>
      <c r="Y42" s="6"/>
      <c r="Z42" s="6"/>
      <c r="AA42" s="6"/>
      <c r="AB42" s="6"/>
      <c r="AC42" s="6"/>
      <c r="AD42" s="6"/>
    </row>
    <row r="43" ht="21" customHeight="1" spans="1:30">
      <c r="A43" s="131"/>
      <c r="B43" s="6"/>
      <c r="C43" s="6"/>
      <c r="D43" s="6"/>
      <c r="E43" s="6"/>
      <c r="F43" s="40"/>
      <c r="G43" s="40"/>
      <c r="H43" s="40"/>
      <c r="I43" s="6"/>
      <c r="J43" s="6"/>
      <c r="K43" s="6"/>
      <c r="L43" s="6"/>
      <c r="M43" s="6"/>
      <c r="N43" s="6"/>
      <c r="O43" s="6"/>
      <c r="P43" s="6"/>
      <c r="Q43" s="6"/>
      <c r="R43" s="6"/>
      <c r="S43" s="6"/>
      <c r="T43" s="6"/>
      <c r="U43" s="6"/>
      <c r="V43" s="6"/>
      <c r="W43" s="6"/>
      <c r="X43" s="6"/>
      <c r="Y43" s="6"/>
      <c r="Z43" s="6"/>
      <c r="AA43" s="6"/>
      <c r="AB43" s="6"/>
      <c r="AC43" s="6"/>
      <c r="AD43" s="6"/>
    </row>
    <row r="44" ht="21" customHeight="1" spans="1:30">
      <c r="A44" s="131"/>
      <c r="B44" s="6"/>
      <c r="C44" s="6"/>
      <c r="D44" s="6"/>
      <c r="E44" s="6"/>
      <c r="F44" s="40"/>
      <c r="G44" s="40"/>
      <c r="H44" s="40"/>
      <c r="I44" s="6"/>
      <c r="J44" s="6"/>
      <c r="K44" s="6"/>
      <c r="L44" s="6"/>
      <c r="M44" s="6"/>
      <c r="N44" s="6"/>
      <c r="O44" s="6"/>
      <c r="P44" s="6"/>
      <c r="Q44" s="6"/>
      <c r="R44" s="6"/>
      <c r="S44" s="6"/>
      <c r="T44" s="6"/>
      <c r="U44" s="6"/>
      <c r="V44" s="6"/>
      <c r="W44" s="6"/>
      <c r="X44" s="6"/>
      <c r="Y44" s="6"/>
      <c r="Z44" s="6"/>
      <c r="AA44" s="6"/>
      <c r="AB44" s="6"/>
      <c r="AC44" s="6"/>
      <c r="AD44" s="6"/>
    </row>
    <row r="45" ht="21" customHeight="1" spans="1:30">
      <c r="A45" s="131"/>
      <c r="B45" s="6"/>
      <c r="C45" s="6"/>
      <c r="D45" s="6"/>
      <c r="E45" s="6"/>
      <c r="F45" s="40"/>
      <c r="G45" s="40"/>
      <c r="H45" s="40"/>
      <c r="I45" s="6"/>
      <c r="J45" s="6"/>
      <c r="K45" s="6"/>
      <c r="L45" s="6"/>
      <c r="M45" s="6"/>
      <c r="N45" s="6"/>
      <c r="O45" s="6"/>
      <c r="P45" s="6"/>
      <c r="Q45" s="6"/>
      <c r="R45" s="6"/>
      <c r="S45" s="6"/>
      <c r="T45" s="6"/>
      <c r="U45" s="6"/>
      <c r="V45" s="6"/>
      <c r="W45" s="6"/>
      <c r="X45" s="6"/>
      <c r="Y45" s="6"/>
      <c r="Z45" s="6"/>
      <c r="AA45" s="6"/>
      <c r="AB45" s="6"/>
      <c r="AC45" s="6"/>
      <c r="AD45" s="6"/>
    </row>
    <row r="46" ht="21" customHeight="1" spans="1:30">
      <c r="A46" s="131"/>
      <c r="B46" s="6"/>
      <c r="C46" s="6"/>
      <c r="D46" s="6"/>
      <c r="E46" s="6"/>
      <c r="F46" s="40"/>
      <c r="G46" s="40"/>
      <c r="H46" s="40"/>
      <c r="I46" s="6"/>
      <c r="J46" s="6"/>
      <c r="K46" s="6"/>
      <c r="L46" s="6"/>
      <c r="M46" s="6"/>
      <c r="N46" s="6"/>
      <c r="O46" s="6"/>
      <c r="P46" s="6"/>
      <c r="Q46" s="6"/>
      <c r="R46" s="6"/>
      <c r="S46" s="6"/>
      <c r="T46" s="6"/>
      <c r="U46" s="6"/>
      <c r="V46" s="6"/>
      <c r="W46" s="6"/>
      <c r="X46" s="6"/>
      <c r="Y46" s="6"/>
      <c r="Z46" s="6"/>
      <c r="AA46" s="6"/>
      <c r="AB46" s="6"/>
      <c r="AC46" s="6"/>
      <c r="AD46" s="6"/>
    </row>
    <row r="47" ht="21" customHeight="1" spans="1:30">
      <c r="A47" s="131"/>
      <c r="B47" s="6"/>
      <c r="C47" s="6"/>
      <c r="D47" s="6"/>
      <c r="E47" s="6"/>
      <c r="F47" s="40"/>
      <c r="G47" s="40"/>
      <c r="H47" s="40"/>
      <c r="I47" s="6"/>
      <c r="J47" s="6"/>
      <c r="K47" s="6"/>
      <c r="L47" s="6"/>
      <c r="M47" s="6"/>
      <c r="N47" s="6"/>
      <c r="O47" s="6"/>
      <c r="P47" s="6"/>
      <c r="Q47" s="6"/>
      <c r="R47" s="6"/>
      <c r="S47" s="6"/>
      <c r="T47" s="6"/>
      <c r="U47" s="6"/>
      <c r="V47" s="6"/>
      <c r="W47" s="6"/>
      <c r="X47" s="6"/>
      <c r="Y47" s="6"/>
      <c r="Z47" s="6"/>
      <c r="AA47" s="6"/>
      <c r="AB47" s="6"/>
      <c r="AC47" s="6"/>
      <c r="AD47" s="6"/>
    </row>
    <row r="48" ht="21" customHeight="1" spans="1:30">
      <c r="A48" s="131"/>
      <c r="B48" s="6"/>
      <c r="C48" s="6"/>
      <c r="D48" s="6"/>
      <c r="E48" s="6"/>
      <c r="F48" s="40"/>
      <c r="G48" s="40"/>
      <c r="H48" s="40"/>
      <c r="I48" s="6"/>
      <c r="J48" s="6"/>
      <c r="K48" s="6"/>
      <c r="L48" s="6"/>
      <c r="M48" s="6"/>
      <c r="N48" s="6"/>
      <c r="O48" s="6"/>
      <c r="P48" s="6"/>
      <c r="Q48" s="6"/>
      <c r="R48" s="6"/>
      <c r="S48" s="6"/>
      <c r="T48" s="6"/>
      <c r="U48" s="6"/>
      <c r="V48" s="6"/>
      <c r="W48" s="6"/>
      <c r="X48" s="6"/>
      <c r="Y48" s="6"/>
      <c r="Z48" s="6"/>
      <c r="AA48" s="6"/>
      <c r="AB48" s="6"/>
      <c r="AC48" s="6"/>
      <c r="AD48" s="6"/>
    </row>
    <row r="49" ht="21" customHeight="1" spans="1:30">
      <c r="A49" s="131"/>
      <c r="B49" s="6"/>
      <c r="C49" s="6"/>
      <c r="D49" s="6"/>
      <c r="E49" s="6"/>
      <c r="F49" s="40"/>
      <c r="G49" s="40"/>
      <c r="H49" s="40"/>
      <c r="I49" s="6"/>
      <c r="J49" s="6"/>
      <c r="K49" s="6"/>
      <c r="L49" s="6"/>
      <c r="M49" s="6"/>
      <c r="N49" s="6"/>
      <c r="O49" s="6"/>
      <c r="P49" s="6"/>
      <c r="Q49" s="6"/>
      <c r="R49" s="6"/>
      <c r="S49" s="6"/>
      <c r="T49" s="6"/>
      <c r="U49" s="6"/>
      <c r="V49" s="6"/>
      <c r="W49" s="6"/>
      <c r="X49" s="6"/>
      <c r="Y49" s="6"/>
      <c r="Z49" s="6"/>
      <c r="AA49" s="6"/>
      <c r="AB49" s="6"/>
      <c r="AC49" s="6"/>
      <c r="AD49" s="6"/>
    </row>
    <row r="50" ht="21" customHeight="1" spans="1:30">
      <c r="A50" s="131"/>
      <c r="B50" s="6"/>
      <c r="C50" s="6"/>
      <c r="D50" s="6"/>
      <c r="E50" s="6"/>
      <c r="F50" s="40"/>
      <c r="G50" s="40"/>
      <c r="H50" s="40"/>
      <c r="I50" s="6"/>
      <c r="J50" s="6"/>
      <c r="K50" s="6"/>
      <c r="L50" s="6"/>
      <c r="M50" s="6"/>
      <c r="N50" s="6"/>
      <c r="O50" s="6"/>
      <c r="P50" s="6"/>
      <c r="Q50" s="6"/>
      <c r="R50" s="6"/>
      <c r="S50" s="6"/>
      <c r="T50" s="6"/>
      <c r="U50" s="6"/>
      <c r="V50" s="6"/>
      <c r="W50" s="6"/>
      <c r="X50" s="6"/>
      <c r="Y50" s="6"/>
      <c r="Z50" s="6"/>
      <c r="AA50" s="6"/>
      <c r="AB50" s="6"/>
      <c r="AC50" s="6"/>
      <c r="AD50" s="6"/>
    </row>
    <row r="51" ht="21" customHeight="1" spans="1:30">
      <c r="A51" s="131"/>
      <c r="B51" s="6"/>
      <c r="C51" s="6"/>
      <c r="D51" s="6"/>
      <c r="E51" s="6"/>
      <c r="F51" s="40"/>
      <c r="G51" s="40"/>
      <c r="H51" s="40"/>
      <c r="I51" s="6"/>
      <c r="J51" s="6"/>
      <c r="K51" s="6"/>
      <c r="L51" s="6"/>
      <c r="M51" s="6"/>
      <c r="N51" s="6"/>
      <c r="O51" s="6"/>
      <c r="P51" s="6"/>
      <c r="Q51" s="6"/>
      <c r="R51" s="6"/>
      <c r="S51" s="6"/>
      <c r="T51" s="6"/>
      <c r="U51" s="6"/>
      <c r="V51" s="6"/>
      <c r="W51" s="6"/>
      <c r="X51" s="6"/>
      <c r="Y51" s="6"/>
      <c r="Z51" s="6"/>
      <c r="AA51" s="6"/>
      <c r="AB51" s="6"/>
      <c r="AC51" s="6"/>
      <c r="AD51" s="6"/>
    </row>
    <row r="52" ht="21" customHeight="1" spans="1:30">
      <c r="A52" s="131"/>
      <c r="B52" s="6"/>
      <c r="C52" s="6"/>
      <c r="D52" s="6"/>
      <c r="E52" s="6"/>
      <c r="F52" s="40"/>
      <c r="G52" s="40"/>
      <c r="H52" s="40"/>
      <c r="I52" s="6"/>
      <c r="J52" s="6"/>
      <c r="K52" s="6"/>
      <c r="L52" s="6"/>
      <c r="M52" s="6"/>
      <c r="N52" s="6"/>
      <c r="O52" s="6"/>
      <c r="P52" s="6"/>
      <c r="Q52" s="6"/>
      <c r="R52" s="6"/>
      <c r="S52" s="6"/>
      <c r="T52" s="6"/>
      <c r="U52" s="6"/>
      <c r="V52" s="6"/>
      <c r="W52" s="6"/>
      <c r="X52" s="6"/>
      <c r="Y52" s="6"/>
      <c r="Z52" s="6"/>
      <c r="AA52" s="6"/>
      <c r="AB52" s="6"/>
      <c r="AC52" s="6"/>
      <c r="AD52" s="6"/>
    </row>
    <row r="53" ht="21" customHeight="1" spans="1:30">
      <c r="A53" s="131"/>
      <c r="B53" s="6"/>
      <c r="C53" s="6"/>
      <c r="D53" s="6"/>
      <c r="E53" s="6"/>
      <c r="F53" s="40"/>
      <c r="G53" s="40"/>
      <c r="H53" s="40"/>
      <c r="I53" s="6"/>
      <c r="J53" s="6"/>
      <c r="K53" s="6"/>
      <c r="L53" s="6"/>
      <c r="M53" s="6"/>
      <c r="N53" s="6"/>
      <c r="O53" s="6"/>
      <c r="P53" s="6"/>
      <c r="Q53" s="6"/>
      <c r="R53" s="6"/>
      <c r="S53" s="6"/>
      <c r="T53" s="6"/>
      <c r="U53" s="6"/>
      <c r="V53" s="6"/>
      <c r="W53" s="6"/>
      <c r="X53" s="6"/>
      <c r="Y53" s="6"/>
      <c r="Z53" s="6"/>
      <c r="AA53" s="6"/>
      <c r="AB53" s="6"/>
      <c r="AC53" s="6"/>
      <c r="AD53" s="6"/>
    </row>
    <row r="54" ht="21" customHeight="1" spans="1:30">
      <c r="A54" s="131"/>
      <c r="B54" s="6"/>
      <c r="C54" s="6"/>
      <c r="D54" s="6"/>
      <c r="E54" s="6"/>
      <c r="F54" s="40"/>
      <c r="G54" s="40"/>
      <c r="H54" s="40"/>
      <c r="I54" s="6"/>
      <c r="J54" s="6"/>
      <c r="K54" s="6"/>
      <c r="L54" s="6"/>
      <c r="M54" s="6"/>
      <c r="N54" s="6"/>
      <c r="O54" s="6"/>
      <c r="P54" s="6"/>
      <c r="Q54" s="6"/>
      <c r="R54" s="6"/>
      <c r="S54" s="6"/>
      <c r="T54" s="6"/>
      <c r="U54" s="6"/>
      <c r="V54" s="6"/>
      <c r="W54" s="6"/>
      <c r="X54" s="6"/>
      <c r="Y54" s="6"/>
      <c r="Z54" s="6"/>
      <c r="AA54" s="6"/>
      <c r="AB54" s="6"/>
      <c r="AC54" s="6"/>
      <c r="AD54" s="6"/>
    </row>
    <row r="55" ht="21" customHeight="1" spans="1:30">
      <c r="A55" s="131"/>
      <c r="B55" s="6"/>
      <c r="C55" s="6"/>
      <c r="D55" s="6"/>
      <c r="E55" s="6"/>
      <c r="F55" s="40"/>
      <c r="G55" s="40"/>
      <c r="H55" s="40"/>
      <c r="I55" s="6"/>
      <c r="J55" s="6"/>
      <c r="K55" s="6"/>
      <c r="L55" s="6"/>
      <c r="M55" s="6"/>
      <c r="N55" s="6"/>
      <c r="O55" s="6"/>
      <c r="P55" s="6"/>
      <c r="Q55" s="6"/>
      <c r="R55" s="6"/>
      <c r="S55" s="6"/>
      <c r="T55" s="6"/>
      <c r="U55" s="6"/>
      <c r="V55" s="6"/>
      <c r="W55" s="6"/>
      <c r="X55" s="6"/>
      <c r="Y55" s="6"/>
      <c r="Z55" s="6"/>
      <c r="AA55" s="6"/>
      <c r="AB55" s="6"/>
      <c r="AC55" s="6"/>
      <c r="AD55" s="6"/>
    </row>
    <row r="56" ht="21" customHeight="1" spans="1:30">
      <c r="A56" s="131"/>
      <c r="B56" s="6"/>
      <c r="C56" s="6"/>
      <c r="D56" s="6"/>
      <c r="E56" s="6"/>
      <c r="F56" s="40"/>
      <c r="G56" s="40"/>
      <c r="H56" s="40"/>
      <c r="I56" s="6"/>
      <c r="J56" s="6"/>
      <c r="K56" s="6"/>
      <c r="L56" s="6"/>
      <c r="M56" s="6"/>
      <c r="N56" s="6"/>
      <c r="O56" s="6"/>
      <c r="P56" s="6"/>
      <c r="Q56" s="6"/>
      <c r="R56" s="6"/>
      <c r="S56" s="6"/>
      <c r="T56" s="6"/>
      <c r="U56" s="6"/>
      <c r="V56" s="6"/>
      <c r="W56" s="6"/>
      <c r="X56" s="6"/>
      <c r="Y56" s="6"/>
      <c r="Z56" s="6"/>
      <c r="AA56" s="6"/>
      <c r="AB56" s="6"/>
      <c r="AC56" s="6"/>
      <c r="AD56" s="6"/>
    </row>
    <row r="57" ht="21" customHeight="1" spans="1:30">
      <c r="A57" s="131"/>
      <c r="B57" s="6"/>
      <c r="C57" s="6"/>
      <c r="D57" s="6"/>
      <c r="E57" s="6"/>
      <c r="F57" s="40"/>
      <c r="G57" s="40"/>
      <c r="H57" s="40"/>
      <c r="I57" s="6"/>
      <c r="J57" s="6"/>
      <c r="K57" s="6"/>
      <c r="L57" s="6"/>
      <c r="M57" s="6"/>
      <c r="N57" s="6"/>
      <c r="O57" s="6"/>
      <c r="P57" s="6"/>
      <c r="Q57" s="6"/>
      <c r="R57" s="6"/>
      <c r="S57" s="6"/>
      <c r="T57" s="6"/>
      <c r="U57" s="6"/>
      <c r="V57" s="6"/>
      <c r="W57" s="6"/>
      <c r="X57" s="6"/>
      <c r="Y57" s="6"/>
      <c r="Z57" s="6"/>
      <c r="AA57" s="6"/>
      <c r="AB57" s="6"/>
      <c r="AC57" s="6"/>
      <c r="AD57" s="6"/>
    </row>
    <row r="58" ht="21" customHeight="1" spans="1:30">
      <c r="A58" s="131"/>
      <c r="B58" s="6"/>
      <c r="C58" s="6"/>
      <c r="D58" s="6"/>
      <c r="E58" s="6"/>
      <c r="F58" s="40"/>
      <c r="G58" s="40"/>
      <c r="H58" s="40"/>
      <c r="I58" s="6"/>
      <c r="J58" s="6"/>
      <c r="K58" s="6"/>
      <c r="L58" s="6"/>
      <c r="M58" s="6"/>
      <c r="N58" s="6"/>
      <c r="O58" s="6"/>
      <c r="P58" s="6"/>
      <c r="Q58" s="6"/>
      <c r="R58" s="6"/>
      <c r="S58" s="6"/>
      <c r="T58" s="6"/>
      <c r="U58" s="6"/>
      <c r="V58" s="6"/>
      <c r="W58" s="6"/>
      <c r="X58" s="6"/>
      <c r="Y58" s="6"/>
      <c r="Z58" s="6"/>
      <c r="AA58" s="6"/>
      <c r="AB58" s="6"/>
      <c r="AC58" s="6"/>
      <c r="AD58" s="6"/>
    </row>
    <row r="59" ht="21" customHeight="1" spans="1:30">
      <c r="A59" s="131"/>
      <c r="B59" s="6"/>
      <c r="C59" s="6"/>
      <c r="D59" s="6"/>
      <c r="E59" s="6"/>
      <c r="F59" s="40"/>
      <c r="G59" s="40"/>
      <c r="H59" s="40"/>
      <c r="I59" s="6"/>
      <c r="J59" s="6"/>
      <c r="K59" s="6"/>
      <c r="L59" s="6"/>
      <c r="M59" s="6"/>
      <c r="N59" s="6"/>
      <c r="O59" s="6"/>
      <c r="P59" s="6"/>
      <c r="Q59" s="6"/>
      <c r="R59" s="6"/>
      <c r="S59" s="6"/>
      <c r="T59" s="6"/>
      <c r="U59" s="6"/>
      <c r="V59" s="6"/>
      <c r="W59" s="6"/>
      <c r="X59" s="6"/>
      <c r="Y59" s="6"/>
      <c r="Z59" s="6"/>
      <c r="AA59" s="6"/>
      <c r="AB59" s="6"/>
      <c r="AC59" s="6"/>
      <c r="AD59" s="6"/>
    </row>
    <row r="60" ht="21" customHeight="1" spans="1:30">
      <c r="A60" s="131"/>
      <c r="B60" s="6"/>
      <c r="C60" s="6"/>
      <c r="D60" s="6"/>
      <c r="E60" s="6"/>
      <c r="F60" s="40"/>
      <c r="G60" s="40"/>
      <c r="H60" s="40"/>
      <c r="I60" s="6"/>
      <c r="J60" s="6"/>
      <c r="K60" s="6"/>
      <c r="L60" s="6"/>
      <c r="M60" s="6"/>
      <c r="N60" s="6"/>
      <c r="O60" s="6"/>
      <c r="P60" s="6"/>
      <c r="Q60" s="6"/>
      <c r="R60" s="6"/>
      <c r="S60" s="6"/>
      <c r="T60" s="6"/>
      <c r="U60" s="6"/>
      <c r="V60" s="6"/>
      <c r="W60" s="6"/>
      <c r="X60" s="6"/>
      <c r="Y60" s="6"/>
      <c r="Z60" s="6"/>
      <c r="AA60" s="6"/>
      <c r="AB60" s="6"/>
      <c r="AC60" s="6"/>
      <c r="AD60" s="6"/>
    </row>
    <row r="61" ht="21" customHeight="1" spans="1:30">
      <c r="A61" s="131"/>
      <c r="B61" s="6"/>
      <c r="C61" s="6"/>
      <c r="D61" s="6"/>
      <c r="E61" s="6"/>
      <c r="F61" s="40"/>
      <c r="G61" s="40"/>
      <c r="H61" s="40"/>
      <c r="I61" s="6"/>
      <c r="J61" s="6"/>
      <c r="K61" s="6"/>
      <c r="L61" s="6"/>
      <c r="M61" s="6"/>
      <c r="N61" s="6"/>
      <c r="O61" s="6"/>
      <c r="P61" s="6"/>
      <c r="Q61" s="6"/>
      <c r="R61" s="6"/>
      <c r="S61" s="6"/>
      <c r="T61" s="6"/>
      <c r="U61" s="6"/>
      <c r="V61" s="6"/>
      <c r="W61" s="6"/>
      <c r="X61" s="6"/>
      <c r="Y61" s="6"/>
      <c r="Z61" s="6"/>
      <c r="AA61" s="6"/>
      <c r="AB61" s="6"/>
      <c r="AC61" s="6"/>
      <c r="AD61" s="6"/>
    </row>
    <row r="62" ht="21" customHeight="1" spans="1:30">
      <c r="A62" s="131"/>
      <c r="B62" s="6"/>
      <c r="C62" s="6"/>
      <c r="D62" s="6"/>
      <c r="E62" s="6"/>
      <c r="F62" s="40"/>
      <c r="G62" s="40"/>
      <c r="H62" s="40"/>
      <c r="I62" s="6"/>
      <c r="J62" s="6"/>
      <c r="K62" s="6"/>
      <c r="L62" s="6"/>
      <c r="M62" s="6"/>
      <c r="N62" s="6"/>
      <c r="O62" s="6"/>
      <c r="P62" s="6"/>
      <c r="Q62" s="6"/>
      <c r="R62" s="6"/>
      <c r="S62" s="6"/>
      <c r="T62" s="6"/>
      <c r="U62" s="6"/>
      <c r="V62" s="6"/>
      <c r="W62" s="6"/>
      <c r="X62" s="6"/>
      <c r="Y62" s="6"/>
      <c r="Z62" s="6"/>
      <c r="AA62" s="6"/>
      <c r="AB62" s="6"/>
      <c r="AC62" s="6"/>
      <c r="AD62" s="6"/>
    </row>
    <row r="63" ht="21" customHeight="1" spans="1:30">
      <c r="A63" s="131"/>
      <c r="B63" s="6"/>
      <c r="C63" s="6"/>
      <c r="D63" s="6"/>
      <c r="E63" s="6"/>
      <c r="F63" s="40"/>
      <c r="G63" s="40"/>
      <c r="H63" s="40"/>
      <c r="I63" s="6"/>
      <c r="J63" s="6"/>
      <c r="K63" s="6"/>
      <c r="L63" s="6"/>
      <c r="M63" s="6"/>
      <c r="N63" s="6"/>
      <c r="O63" s="6"/>
      <c r="P63" s="6"/>
      <c r="Q63" s="6"/>
      <c r="R63" s="6"/>
      <c r="S63" s="6"/>
      <c r="T63" s="6"/>
      <c r="U63" s="6"/>
      <c r="V63" s="6"/>
      <c r="W63" s="6"/>
      <c r="X63" s="6"/>
      <c r="Y63" s="6"/>
      <c r="Z63" s="6"/>
      <c r="AA63" s="6"/>
      <c r="AB63" s="6"/>
      <c r="AC63" s="6"/>
      <c r="AD63" s="6"/>
    </row>
    <row r="64" ht="21" customHeight="1" spans="1:30">
      <c r="A64" s="131"/>
      <c r="B64" s="6"/>
      <c r="C64" s="6"/>
      <c r="D64" s="6"/>
      <c r="E64" s="6"/>
      <c r="F64" s="40"/>
      <c r="G64" s="40"/>
      <c r="H64" s="40"/>
      <c r="I64" s="6"/>
      <c r="J64" s="6"/>
      <c r="K64" s="6"/>
      <c r="L64" s="6"/>
      <c r="M64" s="6"/>
      <c r="N64" s="6"/>
      <c r="O64" s="6"/>
      <c r="P64" s="6"/>
      <c r="Q64" s="6"/>
      <c r="R64" s="6"/>
      <c r="S64" s="6"/>
      <c r="T64" s="6"/>
      <c r="U64" s="6"/>
      <c r="V64" s="6"/>
      <c r="W64" s="6"/>
      <c r="X64" s="6"/>
      <c r="Y64" s="6"/>
      <c r="Z64" s="6"/>
      <c r="AA64" s="6"/>
      <c r="AB64" s="6"/>
      <c r="AC64" s="6"/>
      <c r="AD64" s="6"/>
    </row>
    <row r="65" ht="21" customHeight="1" spans="1:30">
      <c r="A65" s="131"/>
      <c r="B65" s="6"/>
      <c r="C65" s="6"/>
      <c r="D65" s="6"/>
      <c r="E65" s="6"/>
      <c r="F65" s="40"/>
      <c r="G65" s="40"/>
      <c r="H65" s="40"/>
      <c r="I65" s="6"/>
      <c r="J65" s="6"/>
      <c r="K65" s="6"/>
      <c r="L65" s="6"/>
      <c r="M65" s="6"/>
      <c r="N65" s="6"/>
      <c r="O65" s="6"/>
      <c r="P65" s="6"/>
      <c r="Q65" s="6"/>
      <c r="R65" s="6"/>
      <c r="S65" s="6"/>
      <c r="T65" s="6"/>
      <c r="U65" s="6"/>
      <c r="V65" s="6"/>
      <c r="W65" s="6"/>
      <c r="X65" s="6"/>
      <c r="Y65" s="6"/>
      <c r="Z65" s="6"/>
      <c r="AA65" s="6"/>
      <c r="AB65" s="6"/>
      <c r="AC65" s="6"/>
      <c r="AD65" s="6"/>
    </row>
    <row r="66" ht="21" customHeight="1" spans="1:30">
      <c r="A66" s="131"/>
      <c r="B66" s="6"/>
      <c r="C66" s="6"/>
      <c r="D66" s="6"/>
      <c r="E66" s="6"/>
      <c r="F66" s="40"/>
      <c r="G66" s="40"/>
      <c r="H66" s="40"/>
      <c r="I66" s="6"/>
      <c r="J66" s="6"/>
      <c r="K66" s="6"/>
      <c r="L66" s="6"/>
      <c r="M66" s="6"/>
      <c r="N66" s="6"/>
      <c r="O66" s="6"/>
      <c r="P66" s="6"/>
      <c r="Q66" s="6"/>
      <c r="R66" s="6"/>
      <c r="S66" s="6"/>
      <c r="T66" s="6"/>
      <c r="U66" s="6"/>
      <c r="V66" s="6"/>
      <c r="W66" s="6"/>
      <c r="X66" s="6"/>
      <c r="Y66" s="6"/>
      <c r="Z66" s="6"/>
      <c r="AA66" s="6"/>
      <c r="AB66" s="6"/>
      <c r="AC66" s="6"/>
      <c r="AD66" s="6"/>
    </row>
    <row r="67" ht="21" customHeight="1" spans="1:30">
      <c r="A67" s="131"/>
      <c r="B67" s="6"/>
      <c r="C67" s="6"/>
      <c r="D67" s="6"/>
      <c r="E67" s="6"/>
      <c r="F67" s="40"/>
      <c r="G67" s="40"/>
      <c r="H67" s="40"/>
      <c r="I67" s="6"/>
      <c r="J67" s="6"/>
      <c r="K67" s="6"/>
      <c r="L67" s="6"/>
      <c r="M67" s="6"/>
      <c r="N67" s="6"/>
      <c r="O67" s="6"/>
      <c r="P67" s="6"/>
      <c r="Q67" s="6"/>
      <c r="R67" s="6"/>
      <c r="S67" s="6"/>
      <c r="T67" s="6"/>
      <c r="U67" s="6"/>
      <c r="V67" s="6"/>
      <c r="W67" s="6"/>
      <c r="X67" s="6"/>
      <c r="Y67" s="6"/>
      <c r="Z67" s="6"/>
      <c r="AA67" s="6"/>
      <c r="AB67" s="6"/>
      <c r="AC67" s="6"/>
      <c r="AD67" s="6"/>
    </row>
    <row r="68" ht="21" customHeight="1" spans="1:30">
      <c r="A68" s="131"/>
      <c r="B68" s="6"/>
      <c r="C68" s="6"/>
      <c r="D68" s="6"/>
      <c r="E68" s="6"/>
      <c r="F68" s="40"/>
      <c r="G68" s="40"/>
      <c r="H68" s="40"/>
      <c r="I68" s="6"/>
      <c r="J68" s="6"/>
      <c r="K68" s="6"/>
      <c r="L68" s="6"/>
      <c r="M68" s="6"/>
      <c r="N68" s="6"/>
      <c r="O68" s="6"/>
      <c r="P68" s="6"/>
      <c r="Q68" s="6"/>
      <c r="R68" s="6"/>
      <c r="S68" s="6"/>
      <c r="T68" s="6"/>
      <c r="U68" s="6"/>
      <c r="V68" s="6"/>
      <c r="W68" s="6"/>
      <c r="X68" s="6"/>
      <c r="Y68" s="6"/>
      <c r="Z68" s="6"/>
      <c r="AA68" s="6"/>
      <c r="AB68" s="6"/>
      <c r="AC68" s="6"/>
      <c r="AD68" s="6"/>
    </row>
    <row r="69" ht="21" customHeight="1" spans="1:30">
      <c r="A69" s="131"/>
      <c r="B69" s="6"/>
      <c r="C69" s="6"/>
      <c r="D69" s="6"/>
      <c r="E69" s="6"/>
      <c r="F69" s="40"/>
      <c r="G69" s="40"/>
      <c r="H69" s="40"/>
      <c r="I69" s="6"/>
      <c r="J69" s="6"/>
      <c r="K69" s="6"/>
      <c r="L69" s="6"/>
      <c r="M69" s="6"/>
      <c r="N69" s="6"/>
      <c r="O69" s="6"/>
      <c r="P69" s="6"/>
      <c r="Q69" s="6"/>
      <c r="R69" s="6"/>
      <c r="S69" s="6"/>
      <c r="T69" s="6"/>
      <c r="U69" s="6"/>
      <c r="V69" s="6"/>
      <c r="W69" s="6"/>
      <c r="X69" s="6"/>
      <c r="Y69" s="6"/>
      <c r="Z69" s="6"/>
      <c r="AA69" s="6"/>
      <c r="AB69" s="6"/>
      <c r="AC69" s="6"/>
      <c r="AD69" s="6"/>
    </row>
    <row r="70" ht="21" customHeight="1" spans="1:30">
      <c r="A70" s="131"/>
      <c r="B70" s="6"/>
      <c r="C70" s="6"/>
      <c r="D70" s="6"/>
      <c r="E70" s="6"/>
      <c r="F70" s="40"/>
      <c r="G70" s="40"/>
      <c r="H70" s="40"/>
      <c r="I70" s="6"/>
      <c r="J70" s="6"/>
      <c r="K70" s="6"/>
      <c r="L70" s="6"/>
      <c r="M70" s="6"/>
      <c r="N70" s="6"/>
      <c r="O70" s="6"/>
      <c r="P70" s="6"/>
      <c r="Q70" s="6"/>
      <c r="R70" s="6"/>
      <c r="S70" s="6"/>
      <c r="T70" s="6"/>
      <c r="U70" s="6"/>
      <c r="V70" s="6"/>
      <c r="W70" s="6"/>
      <c r="X70" s="6"/>
      <c r="Y70" s="6"/>
      <c r="Z70" s="6"/>
      <c r="AA70" s="6"/>
      <c r="AB70" s="6"/>
      <c r="AC70" s="6"/>
      <c r="AD70" s="6"/>
    </row>
    <row r="71" ht="21" customHeight="1" spans="1:30">
      <c r="A71" s="131"/>
      <c r="B71" s="6"/>
      <c r="C71" s="6"/>
      <c r="D71" s="6"/>
      <c r="E71" s="6"/>
      <c r="F71" s="40"/>
      <c r="G71" s="40"/>
      <c r="H71" s="40"/>
      <c r="I71" s="6"/>
      <c r="J71" s="6"/>
      <c r="K71" s="6"/>
      <c r="L71" s="6"/>
      <c r="M71" s="6"/>
      <c r="N71" s="6"/>
      <c r="O71" s="6"/>
      <c r="P71" s="6"/>
      <c r="Q71" s="6"/>
      <c r="R71" s="6"/>
      <c r="S71" s="6"/>
      <c r="T71" s="6"/>
      <c r="U71" s="6"/>
      <c r="V71" s="6"/>
      <c r="W71" s="6"/>
      <c r="X71" s="6"/>
      <c r="Y71" s="6"/>
      <c r="Z71" s="6"/>
      <c r="AA71" s="6"/>
      <c r="AB71" s="6"/>
      <c r="AC71" s="6"/>
      <c r="AD71" s="6"/>
    </row>
    <row r="72" ht="21" customHeight="1" spans="1:30">
      <c r="A72" s="131"/>
      <c r="B72" s="6"/>
      <c r="C72" s="6"/>
      <c r="D72" s="6"/>
      <c r="E72" s="6"/>
      <c r="F72" s="40"/>
      <c r="G72" s="40"/>
      <c r="H72" s="40"/>
      <c r="I72" s="6"/>
      <c r="J72" s="6"/>
      <c r="K72" s="6"/>
      <c r="L72" s="6"/>
      <c r="M72" s="6"/>
      <c r="N72" s="6"/>
      <c r="O72" s="6"/>
      <c r="P72" s="6"/>
      <c r="Q72" s="6"/>
      <c r="R72" s="6"/>
      <c r="S72" s="6"/>
      <c r="T72" s="6"/>
      <c r="U72" s="6"/>
      <c r="V72" s="6"/>
      <c r="W72" s="6"/>
      <c r="X72" s="6"/>
      <c r="Y72" s="6"/>
      <c r="Z72" s="6"/>
      <c r="AA72" s="6"/>
      <c r="AB72" s="6"/>
      <c r="AC72" s="6"/>
      <c r="AD72" s="6"/>
    </row>
    <row r="73" ht="21" customHeight="1" spans="1:30">
      <c r="A73" s="131"/>
      <c r="B73" s="6"/>
      <c r="C73" s="6"/>
      <c r="D73" s="6"/>
      <c r="E73" s="6"/>
      <c r="F73" s="40"/>
      <c r="G73" s="40"/>
      <c r="H73" s="40"/>
      <c r="I73" s="6"/>
      <c r="J73" s="6"/>
      <c r="K73" s="6"/>
      <c r="L73" s="6"/>
      <c r="M73" s="6"/>
      <c r="N73" s="6"/>
      <c r="O73" s="6"/>
      <c r="P73" s="6"/>
      <c r="Q73" s="6"/>
      <c r="R73" s="6"/>
      <c r="S73" s="6"/>
      <c r="T73" s="6"/>
      <c r="U73" s="6"/>
      <c r="V73" s="6"/>
      <c r="W73" s="6"/>
      <c r="X73" s="6"/>
      <c r="Y73" s="6"/>
      <c r="Z73" s="6"/>
      <c r="AA73" s="6"/>
      <c r="AB73" s="6"/>
      <c r="AC73" s="6"/>
      <c r="AD73" s="6"/>
    </row>
    <row r="74" ht="21" customHeight="1" spans="1:30">
      <c r="A74" s="131"/>
      <c r="B74" s="6"/>
      <c r="C74" s="6"/>
      <c r="D74" s="6"/>
      <c r="E74" s="6"/>
      <c r="F74" s="40"/>
      <c r="G74" s="40"/>
      <c r="H74" s="40"/>
      <c r="I74" s="6"/>
      <c r="J74" s="6"/>
      <c r="K74" s="6"/>
      <c r="L74" s="6"/>
      <c r="M74" s="6"/>
      <c r="N74" s="6"/>
      <c r="O74" s="6"/>
      <c r="P74" s="6"/>
      <c r="Q74" s="6"/>
      <c r="R74" s="6"/>
      <c r="S74" s="6"/>
      <c r="T74" s="6"/>
      <c r="U74" s="6"/>
      <c r="V74" s="6"/>
      <c r="W74" s="6"/>
      <c r="X74" s="6"/>
      <c r="Y74" s="6"/>
      <c r="Z74" s="6"/>
      <c r="AA74" s="6"/>
      <c r="AB74" s="6"/>
      <c r="AC74" s="6"/>
      <c r="AD74" s="6"/>
    </row>
    <row r="75" ht="21" customHeight="1" spans="1:30">
      <c r="A75" s="131"/>
      <c r="B75" s="6"/>
      <c r="C75" s="6"/>
      <c r="D75" s="6"/>
      <c r="E75" s="6"/>
      <c r="F75" s="40"/>
      <c r="G75" s="40"/>
      <c r="H75" s="40"/>
      <c r="I75" s="6"/>
      <c r="J75" s="6"/>
      <c r="K75" s="6"/>
      <c r="L75" s="6"/>
      <c r="M75" s="6"/>
      <c r="N75" s="6"/>
      <c r="O75" s="6"/>
      <c r="P75" s="6"/>
      <c r="Q75" s="6"/>
      <c r="R75" s="6"/>
      <c r="S75" s="6"/>
      <c r="T75" s="6"/>
      <c r="U75" s="6"/>
      <c r="V75" s="6"/>
      <c r="W75" s="6"/>
      <c r="X75" s="6"/>
      <c r="Y75" s="6"/>
      <c r="Z75" s="6"/>
      <c r="AA75" s="6"/>
      <c r="AB75" s="6"/>
      <c r="AC75" s="6"/>
      <c r="AD75" s="6"/>
    </row>
    <row r="76" ht="21" customHeight="1" spans="1:30">
      <c r="A76" s="131"/>
      <c r="B76" s="6"/>
      <c r="C76" s="6"/>
      <c r="D76" s="6"/>
      <c r="E76" s="6"/>
      <c r="F76" s="40"/>
      <c r="G76" s="40"/>
      <c r="H76" s="40"/>
      <c r="I76" s="6"/>
      <c r="J76" s="6"/>
      <c r="K76" s="6"/>
      <c r="L76" s="6"/>
      <c r="M76" s="6"/>
      <c r="N76" s="6"/>
      <c r="O76" s="6"/>
      <c r="P76" s="6"/>
      <c r="Q76" s="6"/>
      <c r="R76" s="6"/>
      <c r="S76" s="6"/>
      <c r="T76" s="6"/>
      <c r="U76" s="6"/>
      <c r="V76" s="6"/>
      <c r="W76" s="6"/>
      <c r="X76" s="6"/>
      <c r="Y76" s="6"/>
      <c r="Z76" s="6"/>
      <c r="AA76" s="6"/>
      <c r="AB76" s="6"/>
      <c r="AC76" s="6"/>
      <c r="AD76" s="6"/>
    </row>
    <row r="77" ht="21" customHeight="1" spans="1:30">
      <c r="A77" s="131"/>
      <c r="B77" s="6"/>
      <c r="C77" s="6"/>
      <c r="D77" s="6"/>
      <c r="E77" s="6"/>
      <c r="F77" s="40"/>
      <c r="G77" s="40"/>
      <c r="H77" s="40"/>
      <c r="I77" s="6"/>
      <c r="J77" s="6"/>
      <c r="K77" s="6"/>
      <c r="L77" s="6"/>
      <c r="M77" s="6"/>
      <c r="N77" s="6"/>
      <c r="O77" s="6"/>
      <c r="P77" s="6"/>
      <c r="Q77" s="6"/>
      <c r="R77" s="6"/>
      <c r="S77" s="6"/>
      <c r="T77" s="6"/>
      <c r="U77" s="6"/>
      <c r="V77" s="6"/>
      <c r="W77" s="6"/>
      <c r="X77" s="6"/>
      <c r="Y77" s="6"/>
      <c r="Z77" s="6"/>
      <c r="AA77" s="6"/>
      <c r="AB77" s="6"/>
      <c r="AC77" s="6"/>
      <c r="AD77" s="6"/>
    </row>
    <row r="78" ht="21" customHeight="1" spans="1:30">
      <c r="A78" s="131"/>
      <c r="B78" s="6"/>
      <c r="C78" s="6"/>
      <c r="D78" s="6"/>
      <c r="E78" s="6"/>
      <c r="F78" s="40"/>
      <c r="G78" s="40"/>
      <c r="H78" s="40"/>
      <c r="I78" s="6"/>
      <c r="J78" s="6"/>
      <c r="K78" s="6"/>
      <c r="L78" s="6"/>
      <c r="M78" s="6"/>
      <c r="N78" s="6"/>
      <c r="O78" s="6"/>
      <c r="P78" s="6"/>
      <c r="Q78" s="6"/>
      <c r="R78" s="6"/>
      <c r="S78" s="6"/>
      <c r="T78" s="6"/>
      <c r="U78" s="6"/>
      <c r="V78" s="6"/>
      <c r="W78" s="6"/>
      <c r="X78" s="6"/>
      <c r="Y78" s="6"/>
      <c r="Z78" s="6"/>
      <c r="AA78" s="6"/>
      <c r="AB78" s="6"/>
      <c r="AC78" s="6"/>
      <c r="AD78" s="6"/>
    </row>
    <row r="79" ht="21" customHeight="1" spans="1:30">
      <c r="A79" s="131"/>
      <c r="B79" s="6"/>
      <c r="C79" s="6"/>
      <c r="D79" s="6"/>
      <c r="E79" s="6"/>
      <c r="F79" s="40"/>
      <c r="G79" s="40"/>
      <c r="H79" s="40"/>
      <c r="I79" s="6"/>
      <c r="J79" s="6"/>
      <c r="K79" s="6"/>
      <c r="L79" s="6"/>
      <c r="M79" s="6"/>
      <c r="N79" s="6"/>
      <c r="O79" s="6"/>
      <c r="P79" s="6"/>
      <c r="Q79" s="6"/>
      <c r="R79" s="6"/>
      <c r="S79" s="6"/>
      <c r="T79" s="6"/>
      <c r="U79" s="6"/>
      <c r="V79" s="6"/>
      <c r="W79" s="6"/>
      <c r="X79" s="6"/>
      <c r="Y79" s="6"/>
      <c r="Z79" s="6"/>
      <c r="AA79" s="6"/>
      <c r="AB79" s="6"/>
      <c r="AC79" s="6"/>
      <c r="AD79" s="6"/>
    </row>
    <row r="80" ht="21" customHeight="1" spans="1:30">
      <c r="A80" s="131"/>
      <c r="B80" s="6"/>
      <c r="C80" s="6"/>
      <c r="D80" s="6"/>
      <c r="E80" s="6"/>
      <c r="F80" s="40"/>
      <c r="G80" s="40"/>
      <c r="H80" s="40"/>
      <c r="I80" s="6"/>
      <c r="J80" s="6"/>
      <c r="K80" s="6"/>
      <c r="L80" s="6"/>
      <c r="M80" s="6"/>
      <c r="N80" s="6"/>
      <c r="O80" s="6"/>
      <c r="P80" s="6"/>
      <c r="Q80" s="6"/>
      <c r="R80" s="6"/>
      <c r="S80" s="6"/>
      <c r="T80" s="6"/>
      <c r="U80" s="6"/>
      <c r="V80" s="6"/>
      <c r="W80" s="6"/>
      <c r="X80" s="6"/>
      <c r="Y80" s="6"/>
      <c r="Z80" s="6"/>
      <c r="AA80" s="6"/>
      <c r="AB80" s="6"/>
      <c r="AC80" s="6"/>
      <c r="AD80" s="6"/>
    </row>
    <row r="81" ht="21" customHeight="1" spans="1:30">
      <c r="A81" s="131"/>
      <c r="B81" s="6"/>
      <c r="C81" s="6"/>
      <c r="D81" s="6"/>
      <c r="E81" s="6"/>
      <c r="F81" s="40"/>
      <c r="G81" s="40"/>
      <c r="H81" s="40"/>
      <c r="I81" s="6"/>
      <c r="J81" s="6"/>
      <c r="K81" s="6"/>
      <c r="L81" s="6"/>
      <c r="M81" s="6"/>
      <c r="N81" s="6"/>
      <c r="O81" s="6"/>
      <c r="P81" s="6"/>
      <c r="Q81" s="6"/>
      <c r="R81" s="6"/>
      <c r="S81" s="6"/>
      <c r="T81" s="6"/>
      <c r="U81" s="6"/>
      <c r="V81" s="6"/>
      <c r="W81" s="6"/>
      <c r="X81" s="6"/>
      <c r="Y81" s="6"/>
      <c r="Z81" s="6"/>
      <c r="AA81" s="6"/>
      <c r="AB81" s="6"/>
      <c r="AC81" s="6"/>
      <c r="AD81" s="6"/>
    </row>
    <row r="82" ht="21" customHeight="1" spans="1:30">
      <c r="A82" s="131"/>
      <c r="B82" s="6"/>
      <c r="C82" s="6"/>
      <c r="D82" s="6"/>
      <c r="E82" s="6"/>
      <c r="F82" s="40"/>
      <c r="G82" s="40"/>
      <c r="H82" s="40"/>
      <c r="I82" s="6"/>
      <c r="J82" s="6"/>
      <c r="K82" s="6"/>
      <c r="L82" s="6"/>
      <c r="M82" s="6"/>
      <c r="N82" s="6"/>
      <c r="O82" s="6"/>
      <c r="P82" s="6"/>
      <c r="Q82" s="6"/>
      <c r="R82" s="6"/>
      <c r="S82" s="6"/>
      <c r="T82" s="6"/>
      <c r="U82" s="6"/>
      <c r="V82" s="6"/>
      <c r="W82" s="6"/>
      <c r="X82" s="6"/>
      <c r="Y82" s="6"/>
      <c r="Z82" s="6"/>
      <c r="AA82" s="6"/>
      <c r="AB82" s="6"/>
      <c r="AC82" s="6"/>
      <c r="AD82" s="6"/>
    </row>
    <row r="83" ht="21" customHeight="1" spans="1:30">
      <c r="A83" s="131"/>
      <c r="B83" s="6"/>
      <c r="C83" s="6"/>
      <c r="D83" s="6"/>
      <c r="E83" s="6"/>
      <c r="F83" s="40"/>
      <c r="G83" s="40"/>
      <c r="H83" s="40"/>
      <c r="I83" s="6"/>
      <c r="J83" s="6"/>
      <c r="K83" s="6"/>
      <c r="L83" s="6"/>
      <c r="M83" s="6"/>
      <c r="N83" s="6"/>
      <c r="O83" s="6"/>
      <c r="P83" s="6"/>
      <c r="Q83" s="6"/>
      <c r="R83" s="6"/>
      <c r="S83" s="6"/>
      <c r="T83" s="6"/>
      <c r="U83" s="6"/>
      <c r="V83" s="6"/>
      <c r="W83" s="6"/>
      <c r="X83" s="6"/>
      <c r="Y83" s="6"/>
      <c r="Z83" s="6"/>
      <c r="AA83" s="6"/>
      <c r="AB83" s="6"/>
      <c r="AC83" s="6"/>
      <c r="AD83" s="6"/>
    </row>
    <row r="84" ht="21" customHeight="1" spans="1:30">
      <c r="A84" s="131"/>
      <c r="B84" s="6"/>
      <c r="C84" s="6"/>
      <c r="D84" s="6"/>
      <c r="E84" s="6"/>
      <c r="F84" s="40"/>
      <c r="G84" s="40"/>
      <c r="H84" s="40"/>
      <c r="I84" s="6"/>
      <c r="J84" s="6"/>
      <c r="K84" s="6"/>
      <c r="L84" s="6"/>
      <c r="M84" s="6"/>
      <c r="N84" s="6"/>
      <c r="O84" s="6"/>
      <c r="P84" s="6"/>
      <c r="Q84" s="6"/>
      <c r="R84" s="6"/>
      <c r="S84" s="6"/>
      <c r="T84" s="6"/>
      <c r="U84" s="6"/>
      <c r="V84" s="6"/>
      <c r="W84" s="6"/>
      <c r="X84" s="6"/>
      <c r="Y84" s="6"/>
      <c r="Z84" s="6"/>
      <c r="AA84" s="6"/>
      <c r="AB84" s="6"/>
      <c r="AC84" s="6"/>
      <c r="AD84" s="6"/>
    </row>
    <row r="85" ht="21" customHeight="1" spans="1:30">
      <c r="A85" s="131"/>
      <c r="B85" s="6"/>
      <c r="C85" s="6"/>
      <c r="D85" s="6"/>
      <c r="E85" s="6"/>
      <c r="F85" s="40"/>
      <c r="G85" s="40"/>
      <c r="H85" s="40"/>
      <c r="I85" s="6"/>
      <c r="J85" s="6"/>
      <c r="K85" s="6"/>
      <c r="L85" s="6"/>
      <c r="M85" s="6"/>
      <c r="N85" s="6"/>
      <c r="O85" s="6"/>
      <c r="P85" s="6"/>
      <c r="Q85" s="6"/>
      <c r="R85" s="6"/>
      <c r="S85" s="6"/>
      <c r="T85" s="6"/>
      <c r="U85" s="6"/>
      <c r="V85" s="6"/>
      <c r="W85" s="6"/>
      <c r="X85" s="6"/>
      <c r="Y85" s="6"/>
      <c r="Z85" s="6"/>
      <c r="AA85" s="6"/>
      <c r="AB85" s="6"/>
      <c r="AC85" s="6"/>
      <c r="AD85" s="6"/>
    </row>
    <row r="86" ht="21" customHeight="1" spans="1:30">
      <c r="A86" s="40"/>
      <c r="B86" s="6"/>
      <c r="C86" s="6"/>
      <c r="D86" s="6"/>
      <c r="E86" s="6"/>
      <c r="F86" s="40"/>
      <c r="G86" s="40"/>
      <c r="H86" s="40"/>
      <c r="I86" s="6"/>
      <c r="J86" s="6"/>
      <c r="K86" s="6"/>
      <c r="L86" s="6"/>
      <c r="M86" s="6"/>
      <c r="N86" s="6"/>
      <c r="O86" s="6"/>
      <c r="P86" s="6"/>
      <c r="Q86" s="6"/>
      <c r="R86" s="6"/>
      <c r="S86" s="6"/>
      <c r="T86" s="6"/>
      <c r="U86" s="6"/>
      <c r="V86" s="6"/>
      <c r="W86" s="6"/>
      <c r="X86" s="6"/>
      <c r="Y86" s="6"/>
      <c r="Z86" s="6"/>
      <c r="AA86" s="6"/>
      <c r="AB86" s="6"/>
      <c r="AC86" s="6"/>
      <c r="AD86" s="6"/>
    </row>
    <row r="87" ht="21" customHeight="1" spans="1:30">
      <c r="A87" s="40"/>
      <c r="B87" s="6"/>
      <c r="C87" s="6"/>
      <c r="D87" s="6"/>
      <c r="E87" s="6"/>
      <c r="F87" s="40"/>
      <c r="G87" s="40"/>
      <c r="H87" s="40"/>
      <c r="I87" s="6"/>
      <c r="J87" s="6"/>
      <c r="K87" s="6"/>
      <c r="L87" s="6"/>
      <c r="M87" s="6"/>
      <c r="N87" s="6"/>
      <c r="O87" s="6"/>
      <c r="P87" s="6"/>
      <c r="Q87" s="6"/>
      <c r="R87" s="6"/>
      <c r="S87" s="6"/>
      <c r="T87" s="6"/>
      <c r="U87" s="6"/>
      <c r="V87" s="6"/>
      <c r="W87" s="6"/>
      <c r="X87" s="6"/>
      <c r="Y87" s="6"/>
      <c r="Z87" s="6"/>
      <c r="AA87" s="6"/>
      <c r="AB87" s="6"/>
      <c r="AC87" s="6"/>
      <c r="AD87" s="6"/>
    </row>
    <row r="88" ht="21" customHeight="1" spans="1:30">
      <c r="A88" s="40"/>
      <c r="B88" s="6"/>
      <c r="C88" s="6"/>
      <c r="D88" s="6"/>
      <c r="E88" s="6"/>
      <c r="F88" s="40"/>
      <c r="G88" s="40"/>
      <c r="H88" s="40"/>
      <c r="I88" s="6"/>
      <c r="J88" s="6"/>
      <c r="K88" s="6"/>
      <c r="L88" s="6"/>
      <c r="M88" s="6"/>
      <c r="N88" s="6"/>
      <c r="O88" s="6"/>
      <c r="P88" s="6"/>
      <c r="Q88" s="6"/>
      <c r="R88" s="6"/>
      <c r="S88" s="6"/>
      <c r="T88" s="6"/>
      <c r="U88" s="6"/>
      <c r="V88" s="6"/>
      <c r="W88" s="6"/>
      <c r="X88" s="6"/>
      <c r="Y88" s="6"/>
      <c r="Z88" s="6"/>
      <c r="AA88" s="6"/>
      <c r="AB88" s="6"/>
      <c r="AC88" s="6"/>
      <c r="AD88" s="6"/>
    </row>
    <row r="89" ht="21" customHeight="1" spans="1:30">
      <c r="A89" s="40"/>
      <c r="B89" s="6"/>
      <c r="C89" s="6"/>
      <c r="D89" s="6"/>
      <c r="E89" s="6"/>
      <c r="F89" s="40"/>
      <c r="G89" s="40"/>
      <c r="H89" s="40"/>
      <c r="I89" s="6"/>
      <c r="J89" s="6"/>
      <c r="K89" s="6"/>
      <c r="L89" s="6"/>
      <c r="M89" s="6"/>
      <c r="N89" s="6"/>
      <c r="O89" s="6"/>
      <c r="P89" s="6"/>
      <c r="Q89" s="6"/>
      <c r="R89" s="6"/>
      <c r="S89" s="6"/>
      <c r="T89" s="6"/>
      <c r="U89" s="6"/>
      <c r="V89" s="6"/>
      <c r="W89" s="6"/>
      <c r="X89" s="6"/>
      <c r="Y89" s="6"/>
      <c r="Z89" s="6"/>
      <c r="AA89" s="6"/>
      <c r="AB89" s="6"/>
      <c r="AC89" s="6"/>
      <c r="AD89" s="6"/>
    </row>
    <row r="90" ht="21" customHeight="1" spans="1:30">
      <c r="A90" s="40"/>
      <c r="B90" s="6"/>
      <c r="C90" s="6"/>
      <c r="D90" s="6"/>
      <c r="E90" s="6"/>
      <c r="F90" s="40"/>
      <c r="G90" s="40"/>
      <c r="H90" s="40"/>
      <c r="I90" s="6"/>
      <c r="J90" s="6"/>
      <c r="K90" s="6"/>
      <c r="L90" s="6"/>
      <c r="M90" s="6"/>
      <c r="N90" s="6"/>
      <c r="O90" s="6"/>
      <c r="P90" s="6"/>
      <c r="Q90" s="6"/>
      <c r="R90" s="6"/>
      <c r="S90" s="6"/>
      <c r="T90" s="6"/>
      <c r="U90" s="6"/>
      <c r="V90" s="6"/>
      <c r="W90" s="6"/>
      <c r="X90" s="6"/>
      <c r="Y90" s="6"/>
      <c r="Z90" s="6"/>
      <c r="AA90" s="6"/>
      <c r="AB90" s="6"/>
      <c r="AC90" s="6"/>
      <c r="AD90" s="6"/>
    </row>
    <row r="91" ht="21" customHeight="1" spans="1:30">
      <c r="A91" s="40"/>
      <c r="B91" s="6"/>
      <c r="C91" s="6"/>
      <c r="D91" s="6"/>
      <c r="E91" s="6"/>
      <c r="F91" s="40"/>
      <c r="G91" s="40"/>
      <c r="H91" s="40"/>
      <c r="I91" s="6"/>
      <c r="J91" s="6"/>
      <c r="K91" s="6"/>
      <c r="L91" s="6"/>
      <c r="M91" s="6"/>
      <c r="N91" s="6"/>
      <c r="O91" s="6"/>
      <c r="P91" s="6"/>
      <c r="Q91" s="6"/>
      <c r="R91" s="6"/>
      <c r="S91" s="6"/>
      <c r="T91" s="6"/>
      <c r="U91" s="6"/>
      <c r="V91" s="6"/>
      <c r="W91" s="6"/>
      <c r="X91" s="6"/>
      <c r="Y91" s="6"/>
      <c r="Z91" s="6"/>
      <c r="AA91" s="6"/>
      <c r="AB91" s="6"/>
      <c r="AC91" s="6"/>
      <c r="AD91" s="6"/>
    </row>
    <row r="92" ht="21" customHeight="1" spans="1:30">
      <c r="A92" s="40"/>
      <c r="B92" s="6"/>
      <c r="C92" s="6"/>
      <c r="D92" s="6"/>
      <c r="E92" s="6"/>
      <c r="F92" s="40"/>
      <c r="G92" s="40"/>
      <c r="H92" s="40"/>
      <c r="I92" s="6"/>
      <c r="J92" s="6"/>
      <c r="K92" s="6"/>
      <c r="L92" s="6"/>
      <c r="M92" s="6"/>
      <c r="N92" s="6"/>
      <c r="O92" s="6"/>
      <c r="P92" s="6"/>
      <c r="Q92" s="6"/>
      <c r="R92" s="6"/>
      <c r="S92" s="6"/>
      <c r="T92" s="6"/>
      <c r="U92" s="6"/>
      <c r="V92" s="6"/>
      <c r="W92" s="6"/>
      <c r="X92" s="6"/>
      <c r="Y92" s="6"/>
      <c r="Z92" s="6"/>
      <c r="AA92" s="6"/>
      <c r="AB92" s="6"/>
      <c r="AC92" s="6"/>
      <c r="AD92" s="6"/>
    </row>
    <row r="93" ht="21" customHeight="1" spans="1:30">
      <c r="A93" s="40"/>
      <c r="B93" s="6"/>
      <c r="C93" s="6"/>
      <c r="D93" s="6"/>
      <c r="E93" s="6"/>
      <c r="F93" s="40"/>
      <c r="G93" s="40"/>
      <c r="H93" s="40"/>
      <c r="I93" s="6"/>
      <c r="J93" s="6"/>
      <c r="K93" s="6"/>
      <c r="L93" s="6"/>
      <c r="M93" s="6"/>
      <c r="N93" s="6"/>
      <c r="O93" s="6"/>
      <c r="P93" s="6"/>
      <c r="Q93" s="6"/>
      <c r="R93" s="6"/>
      <c r="S93" s="6"/>
      <c r="T93" s="6"/>
      <c r="U93" s="6"/>
      <c r="V93" s="6"/>
      <c r="W93" s="6"/>
      <c r="X93" s="6"/>
      <c r="Y93" s="6"/>
      <c r="Z93" s="6"/>
      <c r="AA93" s="6"/>
      <c r="AB93" s="6"/>
      <c r="AC93" s="6"/>
      <c r="AD93" s="6"/>
    </row>
    <row r="94" ht="21" customHeight="1" spans="1:30">
      <c r="A94" s="40"/>
      <c r="B94" s="6"/>
      <c r="C94" s="6"/>
      <c r="D94" s="6"/>
      <c r="E94" s="6"/>
      <c r="F94" s="40"/>
      <c r="G94" s="40"/>
      <c r="H94" s="40"/>
      <c r="I94" s="6"/>
      <c r="J94" s="6"/>
      <c r="K94" s="6"/>
      <c r="L94" s="6"/>
      <c r="M94" s="6"/>
      <c r="N94" s="6"/>
      <c r="O94" s="6"/>
      <c r="P94" s="6"/>
      <c r="Q94" s="6"/>
      <c r="R94" s="6"/>
      <c r="S94" s="6"/>
      <c r="T94" s="6"/>
      <c r="U94" s="6"/>
      <c r="V94" s="6"/>
      <c r="W94" s="6"/>
      <c r="X94" s="6"/>
      <c r="Y94" s="6"/>
      <c r="Z94" s="6"/>
      <c r="AA94" s="6"/>
      <c r="AB94" s="6"/>
      <c r="AC94" s="6"/>
      <c r="AD94" s="6"/>
    </row>
    <row r="95" ht="21" customHeight="1" spans="1:30">
      <c r="A95" s="40"/>
      <c r="B95" s="6"/>
      <c r="C95" s="6"/>
      <c r="D95" s="6"/>
      <c r="E95" s="6"/>
      <c r="F95" s="40"/>
      <c r="G95" s="40"/>
      <c r="H95" s="40"/>
      <c r="I95" s="6"/>
      <c r="J95" s="6"/>
      <c r="K95" s="6"/>
      <c r="L95" s="6"/>
      <c r="M95" s="6"/>
      <c r="N95" s="6"/>
      <c r="O95" s="6"/>
      <c r="P95" s="6"/>
      <c r="Q95" s="6"/>
      <c r="R95" s="6"/>
      <c r="S95" s="6"/>
      <c r="T95" s="6"/>
      <c r="U95" s="6"/>
      <c r="V95" s="6"/>
      <c r="W95" s="6"/>
      <c r="X95" s="6"/>
      <c r="Y95" s="6"/>
      <c r="Z95" s="6"/>
      <c r="AA95" s="6"/>
      <c r="AB95" s="6"/>
      <c r="AC95" s="6"/>
      <c r="AD95" s="6"/>
    </row>
    <row r="96" ht="21" customHeight="1" spans="1:30">
      <c r="A96" s="40"/>
      <c r="B96" s="6"/>
      <c r="C96" s="6"/>
      <c r="D96" s="6"/>
      <c r="E96" s="6"/>
      <c r="F96" s="40"/>
      <c r="G96" s="40"/>
      <c r="H96" s="40"/>
      <c r="I96" s="6"/>
      <c r="J96" s="6"/>
      <c r="K96" s="6"/>
      <c r="L96" s="6"/>
      <c r="M96" s="6"/>
      <c r="N96" s="6"/>
      <c r="O96" s="6"/>
      <c r="P96" s="6"/>
      <c r="Q96" s="6"/>
      <c r="R96" s="6"/>
      <c r="S96" s="6"/>
      <c r="T96" s="6"/>
      <c r="U96" s="6"/>
      <c r="V96" s="6"/>
      <c r="W96" s="6"/>
      <c r="X96" s="6"/>
      <c r="Y96" s="6"/>
      <c r="Z96" s="6"/>
      <c r="AA96" s="6"/>
      <c r="AB96" s="6"/>
      <c r="AC96" s="6"/>
      <c r="AD96" s="6"/>
    </row>
    <row r="97" ht="21" customHeight="1" spans="1:30">
      <c r="A97" s="40"/>
      <c r="B97" s="6"/>
      <c r="C97" s="6"/>
      <c r="D97" s="6"/>
      <c r="E97" s="6"/>
      <c r="F97" s="40"/>
      <c r="G97" s="40"/>
      <c r="H97" s="40"/>
      <c r="I97" s="6"/>
      <c r="J97" s="6"/>
      <c r="K97" s="6"/>
      <c r="L97" s="6"/>
      <c r="M97" s="6"/>
      <c r="N97" s="6"/>
      <c r="O97" s="6"/>
      <c r="P97" s="6"/>
      <c r="Q97" s="6"/>
      <c r="R97" s="6"/>
      <c r="S97" s="6"/>
      <c r="T97" s="6"/>
      <c r="U97" s="6"/>
      <c r="V97" s="6"/>
      <c r="W97" s="6"/>
      <c r="X97" s="6"/>
      <c r="Y97" s="6"/>
      <c r="Z97" s="6"/>
      <c r="AA97" s="6"/>
      <c r="AB97" s="6"/>
      <c r="AC97" s="6"/>
      <c r="AD97" s="6"/>
    </row>
    <row r="98" ht="21" customHeight="1" spans="1:30">
      <c r="A98" s="40"/>
      <c r="B98" s="6"/>
      <c r="C98" s="6"/>
      <c r="D98" s="6"/>
      <c r="E98" s="6"/>
      <c r="F98" s="40"/>
      <c r="G98" s="40"/>
      <c r="H98" s="40"/>
      <c r="I98" s="6"/>
      <c r="J98" s="6"/>
      <c r="K98" s="6"/>
      <c r="L98" s="6"/>
      <c r="M98" s="6"/>
      <c r="N98" s="6"/>
      <c r="O98" s="6"/>
      <c r="P98" s="6"/>
      <c r="Q98" s="6"/>
      <c r="R98" s="6"/>
      <c r="S98" s="6"/>
      <c r="T98" s="6"/>
      <c r="U98" s="6"/>
      <c r="V98" s="6"/>
      <c r="W98" s="6"/>
      <c r="X98" s="6"/>
      <c r="Y98" s="6"/>
      <c r="Z98" s="6"/>
      <c r="AA98" s="6"/>
      <c r="AB98" s="6"/>
      <c r="AC98" s="6"/>
      <c r="AD98" s="6"/>
    </row>
    <row r="99" ht="21" customHeight="1" spans="1:30">
      <c r="A99" s="40"/>
      <c r="B99" s="6"/>
      <c r="C99" s="6"/>
      <c r="D99" s="6"/>
      <c r="E99" s="6"/>
      <c r="F99" s="40"/>
      <c r="G99" s="40"/>
      <c r="H99" s="40"/>
      <c r="I99" s="6"/>
      <c r="J99" s="6"/>
      <c r="K99" s="6"/>
      <c r="L99" s="6"/>
      <c r="M99" s="6"/>
      <c r="N99" s="6"/>
      <c r="O99" s="6"/>
      <c r="P99" s="6"/>
      <c r="Q99" s="6"/>
      <c r="R99" s="6"/>
      <c r="S99" s="6"/>
      <c r="T99" s="6"/>
      <c r="U99" s="6"/>
      <c r="V99" s="6"/>
      <c r="W99" s="6"/>
      <c r="X99" s="6"/>
      <c r="Y99" s="6"/>
      <c r="Z99" s="6"/>
      <c r="AA99" s="6"/>
      <c r="AB99" s="6"/>
      <c r="AC99" s="6"/>
      <c r="AD99" s="6"/>
    </row>
    <row r="100" ht="21" customHeight="1" spans="1:30">
      <c r="A100" s="40"/>
      <c r="B100" s="6"/>
      <c r="C100" s="6"/>
      <c r="D100" s="6"/>
      <c r="E100" s="6"/>
      <c r="F100" s="40"/>
      <c r="G100" s="40"/>
      <c r="H100" s="40"/>
      <c r="I100" s="6"/>
      <c r="J100" s="6"/>
      <c r="K100" s="6"/>
      <c r="L100" s="6"/>
      <c r="M100" s="6"/>
      <c r="N100" s="6"/>
      <c r="O100" s="6"/>
      <c r="P100" s="6"/>
      <c r="Q100" s="6"/>
      <c r="R100" s="6"/>
      <c r="S100" s="6"/>
      <c r="T100" s="6"/>
      <c r="U100" s="6"/>
      <c r="V100" s="6"/>
      <c r="W100" s="6"/>
      <c r="X100" s="6"/>
      <c r="Y100" s="6"/>
      <c r="Z100" s="6"/>
      <c r="AA100" s="6"/>
      <c r="AB100" s="6"/>
      <c r="AC100" s="6"/>
      <c r="AD100" s="6"/>
    </row>
    <row r="101" ht="21" customHeight="1" spans="1:30">
      <c r="A101" s="40"/>
      <c r="B101" s="6"/>
      <c r="C101" s="6"/>
      <c r="D101" s="6"/>
      <c r="E101" s="6"/>
      <c r="F101" s="40"/>
      <c r="G101" s="40"/>
      <c r="H101" s="40"/>
      <c r="I101" s="6"/>
      <c r="J101" s="6"/>
      <c r="K101" s="6"/>
      <c r="L101" s="6"/>
      <c r="M101" s="6"/>
      <c r="N101" s="6"/>
      <c r="O101" s="6"/>
      <c r="P101" s="6"/>
      <c r="Q101" s="6"/>
      <c r="R101" s="6"/>
      <c r="S101" s="6"/>
      <c r="T101" s="6"/>
      <c r="U101" s="6"/>
      <c r="V101" s="6"/>
      <c r="W101" s="6"/>
      <c r="X101" s="6"/>
      <c r="Y101" s="6"/>
      <c r="Z101" s="6"/>
      <c r="AA101" s="6"/>
      <c r="AB101" s="6"/>
      <c r="AC101" s="6"/>
      <c r="AD101" s="6"/>
    </row>
    <row r="102" ht="21" customHeight="1" spans="1:30">
      <c r="A102" s="40"/>
      <c r="B102" s="6"/>
      <c r="C102" s="6"/>
      <c r="D102" s="6"/>
      <c r="E102" s="6"/>
      <c r="F102" s="40"/>
      <c r="G102" s="40"/>
      <c r="H102" s="40"/>
      <c r="I102" s="6"/>
      <c r="J102" s="6"/>
      <c r="K102" s="6"/>
      <c r="L102" s="6"/>
      <c r="M102" s="6"/>
      <c r="N102" s="6"/>
      <c r="O102" s="6"/>
      <c r="P102" s="6"/>
      <c r="Q102" s="6"/>
      <c r="R102" s="6"/>
      <c r="S102" s="6"/>
      <c r="T102" s="6"/>
      <c r="U102" s="6"/>
      <c r="V102" s="6"/>
      <c r="W102" s="6"/>
      <c r="X102" s="6"/>
      <c r="Y102" s="6"/>
      <c r="Z102" s="6"/>
      <c r="AA102" s="6"/>
      <c r="AB102" s="6"/>
      <c r="AC102" s="6"/>
      <c r="AD102" s="6"/>
    </row>
    <row r="103" ht="21" customHeight="1" spans="1:30">
      <c r="A103" s="40"/>
      <c r="B103" s="6"/>
      <c r="C103" s="6"/>
      <c r="D103" s="6"/>
      <c r="E103" s="6"/>
      <c r="F103" s="40"/>
      <c r="G103" s="40"/>
      <c r="H103" s="40"/>
      <c r="I103" s="6"/>
      <c r="J103" s="6"/>
      <c r="K103" s="6"/>
      <c r="L103" s="6"/>
      <c r="M103" s="6"/>
      <c r="N103" s="6"/>
      <c r="O103" s="6"/>
      <c r="P103" s="6"/>
      <c r="Q103" s="6"/>
      <c r="R103" s="6"/>
      <c r="S103" s="6"/>
      <c r="T103" s="6"/>
      <c r="U103" s="6"/>
      <c r="V103" s="6"/>
      <c r="W103" s="6"/>
      <c r="X103" s="6"/>
      <c r="Y103" s="6"/>
      <c r="Z103" s="6"/>
      <c r="AA103" s="6"/>
      <c r="AB103" s="6"/>
      <c r="AC103" s="6"/>
      <c r="AD103" s="6"/>
    </row>
    <row r="104" ht="21" customHeight="1" spans="1:30">
      <c r="A104" s="40"/>
      <c r="B104" s="6"/>
      <c r="C104" s="6"/>
      <c r="D104" s="6"/>
      <c r="E104" s="6"/>
      <c r="F104" s="40"/>
      <c r="G104" s="40"/>
      <c r="H104" s="40"/>
      <c r="I104" s="6"/>
      <c r="J104" s="6"/>
      <c r="K104" s="6"/>
      <c r="L104" s="6"/>
      <c r="M104" s="6"/>
      <c r="N104" s="6"/>
      <c r="O104" s="6"/>
      <c r="P104" s="6"/>
      <c r="Q104" s="6"/>
      <c r="R104" s="6"/>
      <c r="S104" s="6"/>
      <c r="T104" s="6"/>
      <c r="U104" s="6"/>
      <c r="V104" s="6"/>
      <c r="W104" s="6"/>
      <c r="X104" s="6"/>
      <c r="Y104" s="6"/>
      <c r="Z104" s="6"/>
      <c r="AA104" s="6"/>
      <c r="AB104" s="6"/>
      <c r="AC104" s="6"/>
      <c r="AD104" s="6"/>
    </row>
    <row r="105" ht="21" customHeight="1" spans="1:30">
      <c r="A105" s="40"/>
      <c r="B105" s="6"/>
      <c r="C105" s="6"/>
      <c r="D105" s="6"/>
      <c r="E105" s="6"/>
      <c r="F105" s="40"/>
      <c r="G105" s="40"/>
      <c r="H105" s="40"/>
      <c r="I105" s="6"/>
      <c r="J105" s="6"/>
      <c r="K105" s="6"/>
      <c r="L105" s="6"/>
      <c r="M105" s="6"/>
      <c r="N105" s="6"/>
      <c r="O105" s="6"/>
      <c r="P105" s="6"/>
      <c r="Q105" s="6"/>
      <c r="R105" s="6"/>
      <c r="S105" s="6"/>
      <c r="T105" s="6"/>
      <c r="U105" s="6"/>
      <c r="V105" s="6"/>
      <c r="W105" s="6"/>
      <c r="X105" s="6"/>
      <c r="Y105" s="6"/>
      <c r="Z105" s="6"/>
      <c r="AA105" s="6"/>
      <c r="AB105" s="6"/>
      <c r="AC105" s="6"/>
      <c r="AD105" s="6"/>
    </row>
    <row r="106" ht="21" customHeight="1" spans="1:30">
      <c r="A106" s="40"/>
      <c r="B106" s="6"/>
      <c r="C106" s="6"/>
      <c r="D106" s="6"/>
      <c r="E106" s="6"/>
      <c r="F106" s="40"/>
      <c r="G106" s="40"/>
      <c r="H106" s="40"/>
      <c r="I106" s="6"/>
      <c r="J106" s="6"/>
      <c r="K106" s="6"/>
      <c r="L106" s="6"/>
      <c r="M106" s="6"/>
      <c r="N106" s="6"/>
      <c r="O106" s="6"/>
      <c r="P106" s="6"/>
      <c r="Q106" s="6"/>
      <c r="R106" s="6"/>
      <c r="S106" s="6"/>
      <c r="T106" s="6"/>
      <c r="U106" s="6"/>
      <c r="V106" s="6"/>
      <c r="W106" s="6"/>
      <c r="X106" s="6"/>
      <c r="Y106" s="6"/>
      <c r="Z106" s="6"/>
      <c r="AA106" s="6"/>
      <c r="AB106" s="6"/>
      <c r="AC106" s="6"/>
      <c r="AD106" s="6"/>
    </row>
    <row r="107" ht="21" customHeight="1" spans="1:30">
      <c r="A107" s="40"/>
      <c r="B107" s="6"/>
      <c r="C107" s="6"/>
      <c r="D107" s="6"/>
      <c r="E107" s="6"/>
      <c r="F107" s="40"/>
      <c r="G107" s="40"/>
      <c r="H107" s="40"/>
      <c r="I107" s="6"/>
      <c r="J107" s="6"/>
      <c r="K107" s="6"/>
      <c r="L107" s="6"/>
      <c r="M107" s="6"/>
      <c r="N107" s="6"/>
      <c r="O107" s="6"/>
      <c r="P107" s="6"/>
      <c r="Q107" s="6"/>
      <c r="R107" s="6"/>
      <c r="S107" s="6"/>
      <c r="T107" s="6"/>
      <c r="U107" s="6"/>
      <c r="V107" s="6"/>
      <c r="W107" s="6"/>
      <c r="X107" s="6"/>
      <c r="Y107" s="6"/>
      <c r="Z107" s="6"/>
      <c r="AA107" s="6"/>
      <c r="AB107" s="6"/>
      <c r="AC107" s="6"/>
      <c r="AD107" s="6"/>
    </row>
    <row r="108" ht="21" customHeight="1" spans="1:30">
      <c r="A108" s="40"/>
      <c r="B108" s="6"/>
      <c r="C108" s="6"/>
      <c r="D108" s="6"/>
      <c r="E108" s="6"/>
      <c r="F108" s="40"/>
      <c r="G108" s="40"/>
      <c r="H108" s="40"/>
      <c r="I108" s="6"/>
      <c r="J108" s="6"/>
      <c r="K108" s="6"/>
      <c r="L108" s="6"/>
      <c r="M108" s="6"/>
      <c r="N108" s="6"/>
      <c r="O108" s="6"/>
      <c r="P108" s="6"/>
      <c r="Q108" s="6"/>
      <c r="R108" s="6"/>
      <c r="S108" s="6"/>
      <c r="T108" s="6"/>
      <c r="U108" s="6"/>
      <c r="V108" s="6"/>
      <c r="W108" s="6"/>
      <c r="X108" s="6"/>
      <c r="Y108" s="6"/>
      <c r="Z108" s="6"/>
      <c r="AA108" s="6"/>
      <c r="AB108" s="6"/>
      <c r="AC108" s="6"/>
      <c r="AD108" s="6"/>
    </row>
    <row r="109" ht="21" customHeight="1" spans="1:30">
      <c r="A109" s="40"/>
      <c r="B109" s="6"/>
      <c r="C109" s="6"/>
      <c r="D109" s="6"/>
      <c r="E109" s="6"/>
      <c r="F109" s="40"/>
      <c r="G109" s="40"/>
      <c r="H109" s="40"/>
      <c r="I109" s="6"/>
      <c r="J109" s="6"/>
      <c r="K109" s="6"/>
      <c r="L109" s="6"/>
      <c r="M109" s="6"/>
      <c r="N109" s="6"/>
      <c r="O109" s="6"/>
      <c r="P109" s="6"/>
      <c r="Q109" s="6"/>
      <c r="R109" s="6"/>
      <c r="S109" s="6"/>
      <c r="T109" s="6"/>
      <c r="U109" s="6"/>
      <c r="V109" s="6"/>
      <c r="W109" s="6"/>
      <c r="X109" s="6"/>
      <c r="Y109" s="6"/>
      <c r="Z109" s="6"/>
      <c r="AA109" s="6"/>
      <c r="AB109" s="6"/>
      <c r="AC109" s="6"/>
      <c r="AD109" s="6"/>
    </row>
    <row r="110" ht="21" customHeight="1" spans="1:30">
      <c r="A110" s="40"/>
      <c r="B110" s="6"/>
      <c r="C110" s="6"/>
      <c r="D110" s="6"/>
      <c r="E110" s="6"/>
      <c r="F110" s="40"/>
      <c r="G110" s="40"/>
      <c r="H110" s="40"/>
      <c r="I110" s="6"/>
      <c r="J110" s="6"/>
      <c r="K110" s="6"/>
      <c r="L110" s="6"/>
      <c r="M110" s="6"/>
      <c r="N110" s="6"/>
      <c r="O110" s="6"/>
      <c r="P110" s="6"/>
      <c r="Q110" s="6"/>
      <c r="R110" s="6"/>
      <c r="S110" s="6"/>
      <c r="T110" s="6"/>
      <c r="U110" s="6"/>
      <c r="V110" s="6"/>
      <c r="W110" s="6"/>
      <c r="X110" s="6"/>
      <c r="Y110" s="6"/>
      <c r="Z110" s="6"/>
      <c r="AA110" s="6"/>
      <c r="AB110" s="6"/>
      <c r="AC110" s="6"/>
      <c r="AD110" s="6"/>
    </row>
    <row r="111" ht="21" customHeight="1" spans="1:30">
      <c r="A111" s="40"/>
      <c r="B111" s="6"/>
      <c r="C111" s="6"/>
      <c r="D111" s="6"/>
      <c r="E111" s="6"/>
      <c r="F111" s="40"/>
      <c r="G111" s="40"/>
      <c r="H111" s="40"/>
      <c r="I111" s="6"/>
      <c r="J111" s="6"/>
      <c r="K111" s="6"/>
      <c r="L111" s="6"/>
      <c r="M111" s="6"/>
      <c r="N111" s="6"/>
      <c r="O111" s="6"/>
      <c r="P111" s="6"/>
      <c r="Q111" s="6"/>
      <c r="R111" s="6"/>
      <c r="S111" s="6"/>
      <c r="T111" s="6"/>
      <c r="U111" s="6"/>
      <c r="V111" s="6"/>
      <c r="W111" s="6"/>
      <c r="X111" s="6"/>
      <c r="Y111" s="6"/>
      <c r="Z111" s="6"/>
      <c r="AA111" s="6"/>
      <c r="AB111" s="6"/>
      <c r="AC111" s="6"/>
      <c r="AD111" s="6"/>
    </row>
    <row r="112" ht="21" customHeight="1" spans="1:30">
      <c r="A112" s="40"/>
      <c r="B112" s="6"/>
      <c r="C112" s="6"/>
      <c r="D112" s="6"/>
      <c r="E112" s="6"/>
      <c r="F112" s="40"/>
      <c r="G112" s="40"/>
      <c r="H112" s="40"/>
      <c r="I112" s="6"/>
      <c r="J112" s="6"/>
      <c r="K112" s="6"/>
      <c r="L112" s="6"/>
      <c r="M112" s="6"/>
      <c r="N112" s="6"/>
      <c r="O112" s="6"/>
      <c r="P112" s="6"/>
      <c r="Q112" s="6"/>
      <c r="R112" s="6"/>
      <c r="S112" s="6"/>
      <c r="T112" s="6"/>
      <c r="U112" s="6"/>
      <c r="V112" s="6"/>
      <c r="W112" s="6"/>
      <c r="X112" s="6"/>
      <c r="Y112" s="6"/>
      <c r="Z112" s="6"/>
      <c r="AA112" s="6"/>
      <c r="AB112" s="6"/>
      <c r="AC112" s="6"/>
      <c r="AD112" s="6"/>
    </row>
    <row r="113" ht="21" customHeight="1" spans="1:30">
      <c r="A113" s="40"/>
      <c r="B113" s="6"/>
      <c r="C113" s="6"/>
      <c r="D113" s="6"/>
      <c r="E113" s="6"/>
      <c r="F113" s="40"/>
      <c r="G113" s="40"/>
      <c r="H113" s="40"/>
      <c r="I113" s="6"/>
      <c r="J113" s="6"/>
      <c r="K113" s="6"/>
      <c r="L113" s="6"/>
      <c r="M113" s="6"/>
      <c r="N113" s="6"/>
      <c r="O113" s="6"/>
      <c r="P113" s="6"/>
      <c r="Q113" s="6"/>
      <c r="R113" s="6"/>
      <c r="S113" s="6"/>
      <c r="T113" s="6"/>
      <c r="U113" s="6"/>
      <c r="V113" s="6"/>
      <c r="W113" s="6"/>
      <c r="X113" s="6"/>
      <c r="Y113" s="6"/>
      <c r="Z113" s="6"/>
      <c r="AA113" s="6"/>
      <c r="AB113" s="6"/>
      <c r="AC113" s="6"/>
      <c r="AD113" s="6"/>
    </row>
    <row r="114" ht="21" customHeight="1" spans="1:30">
      <c r="A114" s="40"/>
      <c r="B114" s="6"/>
      <c r="C114" s="6"/>
      <c r="D114" s="6"/>
      <c r="E114" s="6"/>
      <c r="F114" s="40"/>
      <c r="G114" s="40"/>
      <c r="H114" s="40"/>
      <c r="I114" s="6"/>
      <c r="J114" s="6"/>
      <c r="K114" s="6"/>
      <c r="L114" s="6"/>
      <c r="M114" s="6"/>
      <c r="N114" s="6"/>
      <c r="O114" s="6"/>
      <c r="P114" s="6"/>
      <c r="Q114" s="6"/>
      <c r="R114" s="6"/>
      <c r="S114" s="6"/>
      <c r="T114" s="6"/>
      <c r="U114" s="6"/>
      <c r="V114" s="6"/>
      <c r="W114" s="6"/>
      <c r="X114" s="6"/>
      <c r="Y114" s="6"/>
      <c r="Z114" s="6"/>
      <c r="AA114" s="6"/>
      <c r="AB114" s="6"/>
      <c r="AC114" s="6"/>
      <c r="AD114" s="6"/>
    </row>
    <row r="115" ht="21" customHeight="1" spans="1:30">
      <c r="A115" s="40"/>
      <c r="B115" s="6"/>
      <c r="C115" s="6"/>
      <c r="D115" s="6"/>
      <c r="E115" s="6"/>
      <c r="F115" s="40"/>
      <c r="G115" s="40"/>
      <c r="H115" s="40"/>
      <c r="I115" s="6"/>
      <c r="J115" s="6"/>
      <c r="K115" s="6"/>
      <c r="L115" s="6"/>
      <c r="M115" s="6"/>
      <c r="N115" s="6"/>
      <c r="O115" s="6"/>
      <c r="P115" s="6"/>
      <c r="Q115" s="6"/>
      <c r="R115" s="6"/>
      <c r="S115" s="6"/>
      <c r="T115" s="6"/>
      <c r="U115" s="6"/>
      <c r="V115" s="6"/>
      <c r="W115" s="6"/>
      <c r="X115" s="6"/>
      <c r="Y115" s="6"/>
      <c r="Z115" s="6"/>
      <c r="AA115" s="6"/>
      <c r="AB115" s="6"/>
      <c r="AC115" s="6"/>
      <c r="AD115" s="6"/>
    </row>
    <row r="116" ht="21" customHeight="1" spans="1:30">
      <c r="A116" s="40"/>
      <c r="B116" s="6"/>
      <c r="C116" s="6"/>
      <c r="D116" s="6"/>
      <c r="E116" s="6"/>
      <c r="F116" s="40"/>
      <c r="G116" s="40"/>
      <c r="H116" s="40"/>
      <c r="I116" s="6"/>
      <c r="J116" s="6"/>
      <c r="K116" s="6"/>
      <c r="L116" s="6"/>
      <c r="M116" s="6"/>
      <c r="N116" s="6"/>
      <c r="O116" s="6"/>
      <c r="P116" s="6"/>
      <c r="Q116" s="6"/>
      <c r="R116" s="6"/>
      <c r="S116" s="6"/>
      <c r="T116" s="6"/>
      <c r="U116" s="6"/>
      <c r="V116" s="6"/>
      <c r="W116" s="6"/>
      <c r="X116" s="6"/>
      <c r="Y116" s="6"/>
      <c r="Z116" s="6"/>
      <c r="AA116" s="6"/>
      <c r="AB116" s="6"/>
      <c r="AC116" s="6"/>
      <c r="AD116" s="6"/>
    </row>
    <row r="117" ht="21" customHeight="1" spans="1:30">
      <c r="A117" s="40"/>
      <c r="B117" s="6"/>
      <c r="C117" s="6"/>
      <c r="D117" s="6"/>
      <c r="E117" s="6"/>
      <c r="F117" s="40"/>
      <c r="G117" s="40"/>
      <c r="H117" s="40"/>
      <c r="I117" s="6"/>
      <c r="J117" s="6"/>
      <c r="K117" s="6"/>
      <c r="L117" s="6"/>
      <c r="M117" s="6"/>
      <c r="N117" s="6"/>
      <c r="O117" s="6"/>
      <c r="P117" s="6"/>
      <c r="Q117" s="6"/>
      <c r="R117" s="6"/>
      <c r="S117" s="6"/>
      <c r="T117" s="6"/>
      <c r="U117" s="6"/>
      <c r="V117" s="6"/>
      <c r="W117" s="6"/>
      <c r="X117" s="6"/>
      <c r="Y117" s="6"/>
      <c r="Z117" s="6"/>
      <c r="AA117" s="6"/>
      <c r="AB117" s="6"/>
      <c r="AC117" s="6"/>
      <c r="AD117" s="6"/>
    </row>
    <row r="118" ht="21" customHeight="1" spans="1:30">
      <c r="A118" s="40"/>
      <c r="B118" s="6"/>
      <c r="C118" s="6"/>
      <c r="D118" s="6"/>
      <c r="E118" s="6"/>
      <c r="F118" s="40"/>
      <c r="G118" s="40"/>
      <c r="H118" s="40"/>
      <c r="I118" s="6"/>
      <c r="J118" s="6"/>
      <c r="K118" s="6"/>
      <c r="L118" s="6"/>
      <c r="M118" s="6"/>
      <c r="N118" s="6"/>
      <c r="O118" s="6"/>
      <c r="P118" s="6"/>
      <c r="Q118" s="6"/>
      <c r="R118" s="6"/>
      <c r="S118" s="6"/>
      <c r="T118" s="6"/>
      <c r="U118" s="6"/>
      <c r="V118" s="6"/>
      <c r="W118" s="6"/>
      <c r="X118" s="6"/>
      <c r="Y118" s="6"/>
      <c r="Z118" s="6"/>
      <c r="AA118" s="6"/>
      <c r="AB118" s="6"/>
      <c r="AC118" s="6"/>
      <c r="AD118" s="6"/>
    </row>
    <row r="119" ht="21" customHeight="1" spans="1:30">
      <c r="A119" s="40"/>
      <c r="B119" s="6"/>
      <c r="C119" s="6"/>
      <c r="D119" s="6"/>
      <c r="E119" s="6"/>
      <c r="F119" s="40"/>
      <c r="G119" s="40"/>
      <c r="H119" s="40"/>
      <c r="I119" s="6"/>
      <c r="J119" s="6"/>
      <c r="K119" s="6"/>
      <c r="L119" s="6"/>
      <c r="M119" s="6"/>
      <c r="N119" s="6"/>
      <c r="O119" s="6"/>
      <c r="P119" s="6"/>
      <c r="Q119" s="6"/>
      <c r="R119" s="6"/>
      <c r="S119" s="6"/>
      <c r="T119" s="6"/>
      <c r="U119" s="6"/>
      <c r="V119" s="6"/>
      <c r="W119" s="6"/>
      <c r="X119" s="6"/>
      <c r="Y119" s="6"/>
      <c r="Z119" s="6"/>
      <c r="AA119" s="6"/>
      <c r="AB119" s="6"/>
      <c r="AC119" s="6"/>
      <c r="AD119" s="6"/>
    </row>
    <row r="120" ht="21" customHeight="1" spans="1:30">
      <c r="A120" s="40"/>
      <c r="B120" s="6"/>
      <c r="C120" s="6"/>
      <c r="D120" s="6"/>
      <c r="E120" s="6"/>
      <c r="F120" s="40"/>
      <c r="G120" s="40"/>
      <c r="H120" s="40"/>
      <c r="I120" s="6"/>
      <c r="J120" s="6"/>
      <c r="K120" s="6"/>
      <c r="L120" s="6"/>
      <c r="M120" s="6"/>
      <c r="N120" s="6"/>
      <c r="O120" s="6"/>
      <c r="P120" s="6"/>
      <c r="Q120" s="6"/>
      <c r="R120" s="6"/>
      <c r="S120" s="6"/>
      <c r="T120" s="6"/>
      <c r="U120" s="6"/>
      <c r="V120" s="6"/>
      <c r="W120" s="6"/>
      <c r="X120" s="6"/>
      <c r="Y120" s="6"/>
      <c r="Z120" s="6"/>
      <c r="AA120" s="6"/>
      <c r="AB120" s="6"/>
      <c r="AC120" s="6"/>
      <c r="AD120" s="6"/>
    </row>
    <row r="121" ht="21" customHeight="1" spans="1:30">
      <c r="A121" s="40"/>
      <c r="B121" s="6"/>
      <c r="C121" s="6"/>
      <c r="D121" s="6"/>
      <c r="E121" s="6"/>
      <c r="F121" s="40"/>
      <c r="G121" s="40"/>
      <c r="H121" s="40"/>
      <c r="I121" s="6"/>
      <c r="J121" s="6"/>
      <c r="K121" s="6"/>
      <c r="L121" s="6"/>
      <c r="M121" s="6"/>
      <c r="N121" s="6"/>
      <c r="O121" s="6"/>
      <c r="P121" s="6"/>
      <c r="Q121" s="6"/>
      <c r="R121" s="6"/>
      <c r="S121" s="6"/>
      <c r="T121" s="6"/>
      <c r="U121" s="6"/>
      <c r="V121" s="6"/>
      <c r="W121" s="6"/>
      <c r="X121" s="6"/>
      <c r="Y121" s="6"/>
      <c r="Z121" s="6"/>
      <c r="AA121" s="6"/>
      <c r="AB121" s="6"/>
      <c r="AC121" s="6"/>
      <c r="AD121" s="6"/>
    </row>
    <row r="122" ht="21" customHeight="1" spans="1:30">
      <c r="A122" s="40"/>
      <c r="B122" s="6"/>
      <c r="C122" s="6"/>
      <c r="D122" s="6"/>
      <c r="E122" s="6"/>
      <c r="F122" s="40"/>
      <c r="G122" s="40"/>
      <c r="H122" s="40"/>
      <c r="I122" s="6"/>
      <c r="J122" s="6"/>
      <c r="K122" s="6"/>
      <c r="L122" s="6"/>
      <c r="M122" s="6"/>
      <c r="N122" s="6"/>
      <c r="O122" s="6"/>
      <c r="P122" s="6"/>
      <c r="Q122" s="6"/>
      <c r="R122" s="6"/>
      <c r="S122" s="6"/>
      <c r="T122" s="6"/>
      <c r="U122" s="6"/>
      <c r="V122" s="6"/>
      <c r="W122" s="6"/>
      <c r="X122" s="6"/>
      <c r="Y122" s="6"/>
      <c r="Z122" s="6"/>
      <c r="AA122" s="6"/>
      <c r="AB122" s="6"/>
      <c r="AC122" s="6"/>
      <c r="AD122" s="6"/>
    </row>
    <row r="123" ht="21" customHeight="1" spans="1:30">
      <c r="A123" s="40"/>
      <c r="B123" s="6"/>
      <c r="C123" s="6"/>
      <c r="D123" s="6"/>
      <c r="E123" s="6"/>
      <c r="F123" s="40"/>
      <c r="G123" s="40"/>
      <c r="H123" s="40"/>
      <c r="I123" s="6"/>
      <c r="J123" s="6"/>
      <c r="K123" s="6"/>
      <c r="L123" s="6"/>
      <c r="M123" s="6"/>
      <c r="N123" s="6"/>
      <c r="O123" s="6"/>
      <c r="P123" s="6"/>
      <c r="Q123" s="6"/>
      <c r="R123" s="6"/>
      <c r="S123" s="6"/>
      <c r="T123" s="6"/>
      <c r="U123" s="6"/>
      <c r="V123" s="6"/>
      <c r="W123" s="6"/>
      <c r="X123" s="6"/>
      <c r="Y123" s="6"/>
      <c r="Z123" s="6"/>
      <c r="AA123" s="6"/>
      <c r="AB123" s="6"/>
      <c r="AC123" s="6"/>
      <c r="AD123" s="6"/>
    </row>
    <row r="124" ht="21" customHeight="1" spans="1:30">
      <c r="A124" s="40"/>
      <c r="B124" s="6"/>
      <c r="C124" s="6"/>
      <c r="D124" s="6"/>
      <c r="E124" s="6"/>
      <c r="F124" s="40"/>
      <c r="G124" s="40"/>
      <c r="H124" s="40"/>
      <c r="I124" s="6"/>
      <c r="J124" s="6"/>
      <c r="K124" s="6"/>
      <c r="L124" s="6"/>
      <c r="M124" s="6"/>
      <c r="N124" s="6"/>
      <c r="O124" s="6"/>
      <c r="P124" s="6"/>
      <c r="Q124" s="6"/>
      <c r="R124" s="6"/>
      <c r="S124" s="6"/>
      <c r="T124" s="6"/>
      <c r="U124" s="6"/>
      <c r="V124" s="6"/>
      <c r="W124" s="6"/>
      <c r="X124" s="6"/>
      <c r="Y124" s="6"/>
      <c r="Z124" s="6"/>
      <c r="AA124" s="6"/>
      <c r="AB124" s="6"/>
      <c r="AC124" s="6"/>
      <c r="AD124" s="6"/>
    </row>
    <row r="125" ht="21" customHeight="1" spans="1:30">
      <c r="A125" s="40"/>
      <c r="B125" s="6"/>
      <c r="C125" s="6"/>
      <c r="D125" s="6"/>
      <c r="E125" s="6"/>
      <c r="F125" s="40"/>
      <c r="G125" s="40"/>
      <c r="H125" s="40"/>
      <c r="I125" s="6"/>
      <c r="J125" s="6"/>
      <c r="K125" s="6"/>
      <c r="L125" s="6"/>
      <c r="M125" s="6"/>
      <c r="N125" s="6"/>
      <c r="O125" s="6"/>
      <c r="P125" s="6"/>
      <c r="Q125" s="6"/>
      <c r="R125" s="6"/>
      <c r="S125" s="6"/>
      <c r="T125" s="6"/>
      <c r="U125" s="6"/>
      <c r="V125" s="6"/>
      <c r="W125" s="6"/>
      <c r="X125" s="6"/>
      <c r="Y125" s="6"/>
      <c r="Z125" s="6"/>
      <c r="AA125" s="6"/>
      <c r="AB125" s="6"/>
      <c r="AC125" s="6"/>
      <c r="AD125" s="6"/>
    </row>
    <row r="126" ht="21" customHeight="1" spans="1:30">
      <c r="A126" s="40"/>
      <c r="B126" s="6"/>
      <c r="C126" s="6"/>
      <c r="D126" s="6"/>
      <c r="E126" s="6"/>
      <c r="F126" s="40"/>
      <c r="G126" s="40"/>
      <c r="H126" s="40"/>
      <c r="I126" s="6"/>
      <c r="J126" s="6"/>
      <c r="K126" s="6"/>
      <c r="L126" s="6"/>
      <c r="M126" s="6"/>
      <c r="N126" s="6"/>
      <c r="O126" s="6"/>
      <c r="P126" s="6"/>
      <c r="Q126" s="6"/>
      <c r="R126" s="6"/>
      <c r="S126" s="6"/>
      <c r="T126" s="6"/>
      <c r="U126" s="6"/>
      <c r="V126" s="6"/>
      <c r="W126" s="6"/>
      <c r="X126" s="6"/>
      <c r="Y126" s="6"/>
      <c r="Z126" s="6"/>
      <c r="AA126" s="6"/>
      <c r="AB126" s="6"/>
      <c r="AC126" s="6"/>
      <c r="AD126" s="6"/>
    </row>
    <row r="127" ht="21" customHeight="1" spans="1:30">
      <c r="A127" s="40"/>
      <c r="B127" s="6"/>
      <c r="C127" s="6"/>
      <c r="D127" s="6"/>
      <c r="E127" s="6"/>
      <c r="F127" s="40"/>
      <c r="G127" s="40"/>
      <c r="H127" s="40"/>
      <c r="I127" s="6"/>
      <c r="J127" s="6"/>
      <c r="K127" s="6"/>
      <c r="L127" s="6"/>
      <c r="M127" s="6"/>
      <c r="N127" s="6"/>
      <c r="O127" s="6"/>
      <c r="P127" s="6"/>
      <c r="Q127" s="6"/>
      <c r="R127" s="6"/>
      <c r="S127" s="6"/>
      <c r="T127" s="6"/>
      <c r="U127" s="6"/>
      <c r="V127" s="6"/>
      <c r="W127" s="6"/>
      <c r="X127" s="6"/>
      <c r="Y127" s="6"/>
      <c r="Z127" s="6"/>
      <c r="AA127" s="6"/>
      <c r="AB127" s="6"/>
      <c r="AC127" s="6"/>
      <c r="AD127" s="6"/>
    </row>
    <row r="128" ht="21" customHeight="1" spans="1:30">
      <c r="A128" s="40"/>
      <c r="B128" s="6"/>
      <c r="C128" s="6"/>
      <c r="D128" s="6"/>
      <c r="E128" s="6"/>
      <c r="F128" s="40"/>
      <c r="G128" s="40"/>
      <c r="H128" s="40"/>
      <c r="I128" s="6"/>
      <c r="J128" s="6"/>
      <c r="K128" s="6"/>
      <c r="L128" s="6"/>
      <c r="M128" s="6"/>
      <c r="N128" s="6"/>
      <c r="O128" s="6"/>
      <c r="P128" s="6"/>
      <c r="Q128" s="6"/>
      <c r="R128" s="6"/>
      <c r="S128" s="6"/>
      <c r="T128" s="6"/>
      <c r="U128" s="6"/>
      <c r="V128" s="6"/>
      <c r="W128" s="6"/>
      <c r="X128" s="6"/>
      <c r="Y128" s="6"/>
      <c r="Z128" s="6"/>
      <c r="AA128" s="6"/>
      <c r="AB128" s="6"/>
      <c r="AC128" s="6"/>
      <c r="AD128" s="6"/>
    </row>
    <row r="129" ht="21" customHeight="1" spans="1:30">
      <c r="A129" s="40"/>
      <c r="B129" s="6"/>
      <c r="C129" s="6"/>
      <c r="D129" s="6"/>
      <c r="E129" s="6"/>
      <c r="F129" s="40"/>
      <c r="G129" s="40"/>
      <c r="H129" s="40"/>
      <c r="I129" s="6"/>
      <c r="J129" s="6"/>
      <c r="K129" s="6"/>
      <c r="L129" s="6"/>
      <c r="M129" s="6"/>
      <c r="N129" s="6"/>
      <c r="O129" s="6"/>
      <c r="P129" s="6"/>
      <c r="Q129" s="6"/>
      <c r="R129" s="6"/>
      <c r="S129" s="6"/>
      <c r="T129" s="6"/>
      <c r="U129" s="6"/>
      <c r="V129" s="6"/>
      <c r="W129" s="6"/>
      <c r="X129" s="6"/>
      <c r="Y129" s="6"/>
      <c r="Z129" s="6"/>
      <c r="AA129" s="6"/>
      <c r="AB129" s="6"/>
      <c r="AC129" s="6"/>
      <c r="AD129" s="6"/>
    </row>
    <row r="130" ht="21" customHeight="1" spans="1:30">
      <c r="A130" s="40"/>
      <c r="B130" s="6"/>
      <c r="C130" s="6"/>
      <c r="D130" s="6"/>
      <c r="E130" s="6"/>
      <c r="F130" s="40"/>
      <c r="G130" s="40"/>
      <c r="H130" s="40"/>
      <c r="I130" s="6"/>
      <c r="J130" s="6"/>
      <c r="K130" s="6"/>
      <c r="L130" s="6"/>
      <c r="M130" s="6"/>
      <c r="N130" s="6"/>
      <c r="O130" s="6"/>
      <c r="P130" s="6"/>
      <c r="Q130" s="6"/>
      <c r="R130" s="6"/>
      <c r="S130" s="6"/>
      <c r="T130" s="6"/>
      <c r="U130" s="6"/>
      <c r="V130" s="6"/>
      <c r="W130" s="6"/>
      <c r="X130" s="6"/>
      <c r="Y130" s="6"/>
      <c r="Z130" s="6"/>
      <c r="AA130" s="6"/>
      <c r="AB130" s="6"/>
      <c r="AC130" s="6"/>
      <c r="AD130" s="6"/>
    </row>
    <row r="131" ht="21" customHeight="1" spans="1:30">
      <c r="A131" s="40"/>
      <c r="B131" s="6"/>
      <c r="C131" s="6"/>
      <c r="D131" s="6"/>
      <c r="E131" s="6"/>
      <c r="F131" s="40"/>
      <c r="G131" s="40"/>
      <c r="H131" s="40"/>
      <c r="I131" s="6"/>
      <c r="J131" s="6"/>
      <c r="K131" s="6"/>
      <c r="L131" s="6"/>
      <c r="M131" s="6"/>
      <c r="N131" s="6"/>
      <c r="O131" s="6"/>
      <c r="P131" s="6"/>
      <c r="Q131" s="6"/>
      <c r="R131" s="6"/>
      <c r="S131" s="6"/>
      <c r="T131" s="6"/>
      <c r="U131" s="6"/>
      <c r="V131" s="6"/>
      <c r="W131" s="6"/>
      <c r="X131" s="6"/>
      <c r="Y131" s="6"/>
      <c r="Z131" s="6"/>
      <c r="AA131" s="6"/>
      <c r="AB131" s="6"/>
      <c r="AC131" s="6"/>
      <c r="AD131" s="6"/>
    </row>
    <row r="132" ht="21" customHeight="1" spans="1:30">
      <c r="A132" s="40"/>
      <c r="B132" s="6"/>
      <c r="C132" s="6"/>
      <c r="D132" s="6"/>
      <c r="E132" s="6"/>
      <c r="F132" s="40"/>
      <c r="G132" s="40"/>
      <c r="H132" s="40"/>
      <c r="I132" s="6"/>
      <c r="J132" s="6"/>
      <c r="K132" s="6"/>
      <c r="L132" s="6"/>
      <c r="M132" s="6"/>
      <c r="N132" s="6"/>
      <c r="O132" s="6"/>
      <c r="P132" s="6"/>
      <c r="Q132" s="6"/>
      <c r="R132" s="6"/>
      <c r="S132" s="6"/>
      <c r="T132" s="6"/>
      <c r="U132" s="6"/>
      <c r="V132" s="6"/>
      <c r="W132" s="6"/>
      <c r="X132" s="6"/>
      <c r="Y132" s="6"/>
      <c r="Z132" s="6"/>
      <c r="AA132" s="6"/>
      <c r="AB132" s="6"/>
      <c r="AC132" s="6"/>
      <c r="AD132" s="6"/>
    </row>
    <row r="133" ht="21" customHeight="1" spans="1:30">
      <c r="A133" s="40"/>
      <c r="B133" s="6"/>
      <c r="C133" s="6"/>
      <c r="D133" s="6"/>
      <c r="E133" s="6"/>
      <c r="F133" s="40"/>
      <c r="G133" s="40"/>
      <c r="H133" s="40"/>
      <c r="I133" s="6"/>
      <c r="J133" s="6"/>
      <c r="K133" s="6"/>
      <c r="L133" s="6"/>
      <c r="M133" s="6"/>
      <c r="N133" s="6"/>
      <c r="O133" s="6"/>
      <c r="P133" s="6"/>
      <c r="Q133" s="6"/>
      <c r="R133" s="6"/>
      <c r="S133" s="6"/>
      <c r="T133" s="6"/>
      <c r="U133" s="6"/>
      <c r="V133" s="6"/>
      <c r="W133" s="6"/>
      <c r="X133" s="6"/>
      <c r="Y133" s="6"/>
      <c r="Z133" s="6"/>
      <c r="AA133" s="6"/>
      <c r="AB133" s="6"/>
      <c r="AC133" s="6"/>
      <c r="AD133" s="6"/>
    </row>
    <row r="134" ht="21" customHeight="1" spans="1:30">
      <c r="A134" s="40"/>
      <c r="B134" s="6"/>
      <c r="C134" s="6"/>
      <c r="D134" s="6"/>
      <c r="E134" s="6"/>
      <c r="F134" s="40"/>
      <c r="G134" s="40"/>
      <c r="H134" s="40"/>
      <c r="I134" s="6"/>
      <c r="J134" s="6"/>
      <c r="K134" s="6"/>
      <c r="L134" s="6"/>
      <c r="M134" s="6"/>
      <c r="N134" s="6"/>
      <c r="O134" s="6"/>
      <c r="P134" s="6"/>
      <c r="Q134" s="6"/>
      <c r="R134" s="6"/>
      <c r="S134" s="6"/>
      <c r="T134" s="6"/>
      <c r="U134" s="6"/>
      <c r="V134" s="6"/>
      <c r="W134" s="6"/>
      <c r="X134" s="6"/>
      <c r="Y134" s="6"/>
      <c r="Z134" s="6"/>
      <c r="AA134" s="6"/>
      <c r="AB134" s="6"/>
      <c r="AC134" s="6"/>
      <c r="AD134" s="6"/>
    </row>
    <row r="135" ht="21" customHeight="1" spans="1:30">
      <c r="A135" s="40"/>
      <c r="B135" s="6"/>
      <c r="C135" s="6"/>
      <c r="D135" s="6"/>
      <c r="E135" s="6"/>
      <c r="F135" s="40"/>
      <c r="G135" s="40"/>
      <c r="H135" s="40"/>
      <c r="I135" s="6"/>
      <c r="J135" s="6"/>
      <c r="K135" s="6"/>
      <c r="L135" s="6"/>
      <c r="M135" s="6"/>
      <c r="N135" s="6"/>
      <c r="O135" s="6"/>
      <c r="P135" s="6"/>
      <c r="Q135" s="6"/>
      <c r="R135" s="6"/>
      <c r="S135" s="6"/>
      <c r="T135" s="6"/>
      <c r="U135" s="6"/>
      <c r="V135" s="6"/>
      <c r="W135" s="6"/>
      <c r="X135" s="6"/>
      <c r="Y135" s="6"/>
      <c r="Z135" s="6"/>
      <c r="AA135" s="6"/>
      <c r="AB135" s="6"/>
      <c r="AC135" s="6"/>
      <c r="AD135" s="6"/>
    </row>
    <row r="136" ht="21" customHeight="1" spans="1:30">
      <c r="A136" s="40"/>
      <c r="B136" s="6"/>
      <c r="C136" s="6"/>
      <c r="D136" s="6"/>
      <c r="E136" s="6"/>
      <c r="F136" s="40"/>
      <c r="G136" s="40"/>
      <c r="H136" s="40"/>
      <c r="I136" s="6"/>
      <c r="J136" s="6"/>
      <c r="K136" s="6"/>
      <c r="L136" s="6"/>
      <c r="M136" s="6"/>
      <c r="N136" s="6"/>
      <c r="O136" s="6"/>
      <c r="P136" s="6"/>
      <c r="Q136" s="6"/>
      <c r="R136" s="6"/>
      <c r="S136" s="6"/>
      <c r="T136" s="6"/>
      <c r="U136" s="6"/>
      <c r="V136" s="6"/>
      <c r="W136" s="6"/>
      <c r="X136" s="6"/>
      <c r="Y136" s="6"/>
      <c r="Z136" s="6"/>
      <c r="AA136" s="6"/>
      <c r="AB136" s="6"/>
      <c r="AC136" s="6"/>
      <c r="AD136" s="6"/>
    </row>
    <row r="137" ht="21" customHeight="1" spans="1:30">
      <c r="A137" s="40"/>
      <c r="B137" s="6"/>
      <c r="C137" s="6"/>
      <c r="D137" s="6"/>
      <c r="E137" s="6"/>
      <c r="F137" s="40"/>
      <c r="G137" s="40"/>
      <c r="H137" s="40"/>
      <c r="I137" s="6"/>
      <c r="J137" s="6"/>
      <c r="K137" s="6"/>
      <c r="L137" s="6"/>
      <c r="M137" s="6"/>
      <c r="N137" s="6"/>
      <c r="O137" s="6"/>
      <c r="P137" s="6"/>
      <c r="Q137" s="6"/>
      <c r="R137" s="6"/>
      <c r="S137" s="6"/>
      <c r="T137" s="6"/>
      <c r="U137" s="6"/>
      <c r="V137" s="6"/>
      <c r="W137" s="6"/>
      <c r="X137" s="6"/>
      <c r="Y137" s="6"/>
      <c r="Z137" s="6"/>
      <c r="AA137" s="6"/>
      <c r="AB137" s="6"/>
      <c r="AC137" s="6"/>
      <c r="AD137" s="6"/>
    </row>
    <row r="138" ht="21" customHeight="1" spans="1:30">
      <c r="A138" s="40"/>
      <c r="B138" s="6"/>
      <c r="C138" s="6"/>
      <c r="D138" s="6"/>
      <c r="E138" s="6"/>
      <c r="F138" s="40"/>
      <c r="G138" s="40"/>
      <c r="H138" s="40"/>
      <c r="I138" s="6"/>
      <c r="J138" s="6"/>
      <c r="K138" s="6"/>
      <c r="L138" s="6"/>
      <c r="M138" s="6"/>
      <c r="N138" s="6"/>
      <c r="O138" s="6"/>
      <c r="P138" s="6"/>
      <c r="Q138" s="6"/>
      <c r="R138" s="6"/>
      <c r="S138" s="6"/>
      <c r="T138" s="6"/>
      <c r="U138" s="6"/>
      <c r="V138" s="6"/>
      <c r="W138" s="6"/>
      <c r="X138" s="6"/>
      <c r="Y138" s="6"/>
      <c r="Z138" s="6"/>
      <c r="AA138" s="6"/>
      <c r="AB138" s="6"/>
      <c r="AC138" s="6"/>
      <c r="AD138" s="6"/>
    </row>
    <row r="139" ht="21" customHeight="1" spans="1:30">
      <c r="A139" s="40"/>
      <c r="B139" s="6"/>
      <c r="C139" s="6"/>
      <c r="D139" s="6"/>
      <c r="E139" s="6"/>
      <c r="F139" s="40"/>
      <c r="G139" s="40"/>
      <c r="H139" s="40"/>
      <c r="I139" s="6"/>
      <c r="J139" s="6"/>
      <c r="K139" s="6"/>
      <c r="L139" s="6"/>
      <c r="M139" s="6"/>
      <c r="N139" s="6"/>
      <c r="O139" s="6"/>
      <c r="P139" s="6"/>
      <c r="Q139" s="6"/>
      <c r="R139" s="6"/>
      <c r="S139" s="6"/>
      <c r="T139" s="6"/>
      <c r="U139" s="6"/>
      <c r="V139" s="6"/>
      <c r="W139" s="6"/>
      <c r="X139" s="6"/>
      <c r="Y139" s="6"/>
      <c r="Z139" s="6"/>
      <c r="AA139" s="6"/>
      <c r="AB139" s="6"/>
      <c r="AC139" s="6"/>
      <c r="AD139" s="6"/>
    </row>
    <row r="140" ht="21" customHeight="1" spans="1:30">
      <c r="A140" s="40"/>
      <c r="B140" s="6"/>
      <c r="C140" s="6"/>
      <c r="D140" s="6"/>
      <c r="E140" s="6"/>
      <c r="F140" s="40"/>
      <c r="G140" s="40"/>
      <c r="H140" s="40"/>
      <c r="I140" s="6"/>
      <c r="J140" s="6"/>
      <c r="K140" s="6"/>
      <c r="L140" s="6"/>
      <c r="M140" s="6"/>
      <c r="N140" s="6"/>
      <c r="O140" s="6"/>
      <c r="P140" s="6"/>
      <c r="Q140" s="6"/>
      <c r="R140" s="6"/>
      <c r="S140" s="6"/>
      <c r="T140" s="6"/>
      <c r="U140" s="6"/>
      <c r="V140" s="6"/>
      <c r="W140" s="6"/>
      <c r="X140" s="6"/>
      <c r="Y140" s="6"/>
      <c r="Z140" s="6"/>
      <c r="AA140" s="6"/>
      <c r="AB140" s="6"/>
      <c r="AC140" s="6"/>
      <c r="AD140" s="6"/>
    </row>
    <row r="141" ht="21" customHeight="1" spans="1:30">
      <c r="A141" s="40"/>
      <c r="B141" s="6"/>
      <c r="C141" s="6"/>
      <c r="D141" s="6"/>
      <c r="E141" s="6"/>
      <c r="F141" s="40"/>
      <c r="G141" s="40"/>
      <c r="H141" s="40"/>
      <c r="I141" s="6"/>
      <c r="J141" s="6"/>
      <c r="K141" s="6"/>
      <c r="L141" s="6"/>
      <c r="M141" s="6"/>
      <c r="N141" s="6"/>
      <c r="O141" s="6"/>
      <c r="P141" s="6"/>
      <c r="Q141" s="6"/>
      <c r="R141" s="6"/>
      <c r="S141" s="6"/>
      <c r="T141" s="6"/>
      <c r="U141" s="6"/>
      <c r="V141" s="6"/>
      <c r="W141" s="6"/>
      <c r="X141" s="6"/>
      <c r="Y141" s="6"/>
      <c r="Z141" s="6"/>
      <c r="AA141" s="6"/>
      <c r="AB141" s="6"/>
      <c r="AC141" s="6"/>
      <c r="AD141" s="6"/>
    </row>
    <row r="142" ht="21" customHeight="1" spans="1:30">
      <c r="A142" s="40"/>
      <c r="B142" s="6"/>
      <c r="C142" s="6"/>
      <c r="D142" s="6"/>
      <c r="E142" s="6"/>
      <c r="F142" s="40"/>
      <c r="G142" s="40"/>
      <c r="H142" s="40"/>
      <c r="I142" s="6"/>
      <c r="J142" s="6"/>
      <c r="K142" s="6"/>
      <c r="L142" s="6"/>
      <c r="M142" s="6"/>
      <c r="N142" s="6"/>
      <c r="O142" s="6"/>
      <c r="P142" s="6"/>
      <c r="Q142" s="6"/>
      <c r="R142" s="6"/>
      <c r="S142" s="6"/>
      <c r="T142" s="6"/>
      <c r="U142" s="6"/>
      <c r="V142" s="6"/>
      <c r="W142" s="6"/>
      <c r="X142" s="6"/>
      <c r="Y142" s="6"/>
      <c r="Z142" s="6"/>
      <c r="AA142" s="6"/>
      <c r="AB142" s="6"/>
      <c r="AC142" s="6"/>
      <c r="AD142" s="6"/>
    </row>
    <row r="143" ht="21" customHeight="1" spans="1:30">
      <c r="A143" s="40"/>
      <c r="B143" s="6"/>
      <c r="C143" s="6"/>
      <c r="D143" s="6"/>
      <c r="E143" s="6"/>
      <c r="F143" s="40"/>
      <c r="G143" s="40"/>
      <c r="H143" s="40"/>
      <c r="I143" s="6"/>
      <c r="J143" s="6"/>
      <c r="K143" s="6"/>
      <c r="L143" s="6"/>
      <c r="M143" s="6"/>
      <c r="N143" s="6"/>
      <c r="O143" s="6"/>
      <c r="P143" s="6"/>
      <c r="Q143" s="6"/>
      <c r="R143" s="6"/>
      <c r="S143" s="6"/>
      <c r="T143" s="6"/>
      <c r="U143" s="6"/>
      <c r="V143" s="6"/>
      <c r="W143" s="6"/>
      <c r="X143" s="6"/>
      <c r="Y143" s="6"/>
      <c r="Z143" s="6"/>
      <c r="AA143" s="6"/>
      <c r="AB143" s="6"/>
      <c r="AC143" s="6"/>
      <c r="AD143" s="6"/>
    </row>
    <row r="144" ht="21" customHeight="1" spans="1:30">
      <c r="A144" s="40"/>
      <c r="B144" s="6"/>
      <c r="C144" s="6"/>
      <c r="D144" s="6"/>
      <c r="E144" s="6"/>
      <c r="F144" s="40"/>
      <c r="G144" s="40"/>
      <c r="H144" s="40"/>
      <c r="I144" s="6"/>
      <c r="J144" s="6"/>
      <c r="K144" s="6"/>
      <c r="L144" s="6"/>
      <c r="M144" s="6"/>
      <c r="N144" s="6"/>
      <c r="O144" s="6"/>
      <c r="P144" s="6"/>
      <c r="Q144" s="6"/>
      <c r="R144" s="6"/>
      <c r="S144" s="6"/>
      <c r="T144" s="6"/>
      <c r="U144" s="6"/>
      <c r="V144" s="6"/>
      <c r="W144" s="6"/>
      <c r="X144" s="6"/>
      <c r="Y144" s="6"/>
      <c r="Z144" s="6"/>
      <c r="AA144" s="6"/>
      <c r="AB144" s="6"/>
      <c r="AC144" s="6"/>
      <c r="AD144" s="6"/>
    </row>
    <row r="145" ht="21" customHeight="1" spans="1:30">
      <c r="A145" s="40"/>
      <c r="B145" s="6"/>
      <c r="C145" s="6"/>
      <c r="D145" s="6"/>
      <c r="E145" s="6"/>
      <c r="F145" s="40"/>
      <c r="G145" s="40"/>
      <c r="H145" s="40"/>
      <c r="I145" s="6"/>
      <c r="J145" s="6"/>
      <c r="K145" s="6"/>
      <c r="L145" s="6"/>
      <c r="M145" s="6"/>
      <c r="N145" s="6"/>
      <c r="O145" s="6"/>
      <c r="P145" s="6"/>
      <c r="Q145" s="6"/>
      <c r="R145" s="6"/>
      <c r="S145" s="6"/>
      <c r="T145" s="6"/>
      <c r="U145" s="6"/>
      <c r="V145" s="6"/>
      <c r="W145" s="6"/>
      <c r="X145" s="6"/>
      <c r="Y145" s="6"/>
      <c r="Z145" s="6"/>
      <c r="AA145" s="6"/>
      <c r="AB145" s="6"/>
      <c r="AC145" s="6"/>
      <c r="AD145" s="6"/>
    </row>
    <row r="146" ht="21" customHeight="1" spans="1:30">
      <c r="A146" s="40"/>
      <c r="B146" s="6"/>
      <c r="C146" s="6"/>
      <c r="D146" s="6"/>
      <c r="E146" s="6"/>
      <c r="F146" s="40"/>
      <c r="G146" s="40"/>
      <c r="H146" s="40"/>
      <c r="I146" s="6"/>
      <c r="J146" s="6"/>
      <c r="K146" s="6"/>
      <c r="L146" s="6"/>
      <c r="M146" s="6"/>
      <c r="N146" s="6"/>
      <c r="O146" s="6"/>
      <c r="P146" s="6"/>
      <c r="Q146" s="6"/>
      <c r="R146" s="6"/>
      <c r="S146" s="6"/>
      <c r="T146" s="6"/>
      <c r="U146" s="6"/>
      <c r="V146" s="6"/>
      <c r="W146" s="6"/>
      <c r="X146" s="6"/>
      <c r="Y146" s="6"/>
      <c r="Z146" s="6"/>
      <c r="AA146" s="6"/>
      <c r="AB146" s="6"/>
      <c r="AC146" s="6"/>
      <c r="AD146" s="6"/>
    </row>
    <row r="147" ht="21" customHeight="1" spans="1:30">
      <c r="A147" s="40"/>
      <c r="B147" s="6"/>
      <c r="C147" s="6"/>
      <c r="D147" s="6"/>
      <c r="E147" s="6"/>
      <c r="F147" s="40"/>
      <c r="G147" s="40"/>
      <c r="H147" s="40"/>
      <c r="I147" s="6"/>
      <c r="J147" s="6"/>
      <c r="K147" s="6"/>
      <c r="L147" s="6"/>
      <c r="M147" s="6"/>
      <c r="N147" s="6"/>
      <c r="O147" s="6"/>
      <c r="P147" s="6"/>
      <c r="Q147" s="6"/>
      <c r="R147" s="6"/>
      <c r="S147" s="6"/>
      <c r="T147" s="6"/>
      <c r="U147" s="6"/>
      <c r="V147" s="6"/>
      <c r="W147" s="6"/>
      <c r="X147" s="6"/>
      <c r="Y147" s="6"/>
      <c r="Z147" s="6"/>
      <c r="AA147" s="6"/>
      <c r="AB147" s="6"/>
      <c r="AC147" s="6"/>
      <c r="AD147" s="6"/>
    </row>
    <row r="148" ht="21" customHeight="1" spans="1:30">
      <c r="A148" s="40"/>
      <c r="B148" s="6"/>
      <c r="C148" s="6"/>
      <c r="D148" s="6"/>
      <c r="E148" s="6"/>
      <c r="F148" s="40"/>
      <c r="G148" s="40"/>
      <c r="H148" s="40"/>
      <c r="I148" s="6"/>
      <c r="J148" s="6"/>
      <c r="K148" s="6"/>
      <c r="L148" s="6"/>
      <c r="M148" s="6"/>
      <c r="N148" s="6"/>
      <c r="O148" s="6"/>
      <c r="P148" s="6"/>
      <c r="Q148" s="6"/>
      <c r="R148" s="6"/>
      <c r="S148" s="6"/>
      <c r="T148" s="6"/>
      <c r="U148" s="6"/>
      <c r="V148" s="6"/>
      <c r="W148" s="6"/>
      <c r="X148" s="6"/>
      <c r="Y148" s="6"/>
      <c r="Z148" s="6"/>
      <c r="AA148" s="6"/>
      <c r="AB148" s="6"/>
      <c r="AC148" s="6"/>
      <c r="AD148" s="6"/>
    </row>
    <row r="149" ht="21" customHeight="1" spans="1:30">
      <c r="A149" s="40"/>
      <c r="B149" s="6"/>
      <c r="C149" s="6"/>
      <c r="D149" s="6"/>
      <c r="E149" s="6"/>
      <c r="F149" s="40"/>
      <c r="G149" s="40"/>
      <c r="H149" s="40"/>
      <c r="I149" s="6"/>
      <c r="J149" s="6"/>
      <c r="K149" s="6"/>
      <c r="L149" s="6"/>
      <c r="M149" s="6"/>
      <c r="N149" s="6"/>
      <c r="O149" s="6"/>
      <c r="P149" s="6"/>
      <c r="Q149" s="6"/>
      <c r="R149" s="6"/>
      <c r="S149" s="6"/>
      <c r="T149" s="6"/>
      <c r="U149" s="6"/>
      <c r="V149" s="6"/>
      <c r="W149" s="6"/>
      <c r="X149" s="6"/>
      <c r="Y149" s="6"/>
      <c r="Z149" s="6"/>
      <c r="AA149" s="6"/>
      <c r="AB149" s="6"/>
      <c r="AC149" s="6"/>
      <c r="AD149" s="6"/>
    </row>
    <row r="150" ht="21" customHeight="1" spans="1:30">
      <c r="A150" s="40"/>
      <c r="B150" s="6"/>
      <c r="C150" s="6"/>
      <c r="D150" s="6"/>
      <c r="E150" s="6"/>
      <c r="F150" s="40"/>
      <c r="G150" s="40"/>
      <c r="H150" s="40"/>
      <c r="I150" s="6"/>
      <c r="J150" s="6"/>
      <c r="K150" s="6"/>
      <c r="L150" s="6"/>
      <c r="M150" s="6"/>
      <c r="N150" s="6"/>
      <c r="O150" s="6"/>
      <c r="P150" s="6"/>
      <c r="Q150" s="6"/>
      <c r="R150" s="6"/>
      <c r="S150" s="6"/>
      <c r="T150" s="6"/>
      <c r="U150" s="6"/>
      <c r="V150" s="6"/>
      <c r="W150" s="6"/>
      <c r="X150" s="6"/>
      <c r="Y150" s="6"/>
      <c r="Z150" s="6"/>
      <c r="AA150" s="6"/>
      <c r="AB150" s="6"/>
      <c r="AC150" s="6"/>
      <c r="AD150" s="6"/>
    </row>
    <row r="151" ht="21" customHeight="1" spans="1:30">
      <c r="A151" s="40"/>
      <c r="B151" s="6"/>
      <c r="C151" s="6"/>
      <c r="D151" s="6"/>
      <c r="E151" s="6"/>
      <c r="F151" s="40"/>
      <c r="G151" s="40"/>
      <c r="H151" s="40"/>
      <c r="I151" s="6"/>
      <c r="J151" s="6"/>
      <c r="K151" s="6"/>
      <c r="L151" s="6"/>
      <c r="M151" s="6"/>
      <c r="N151" s="6"/>
      <c r="O151" s="6"/>
      <c r="P151" s="6"/>
      <c r="Q151" s="6"/>
      <c r="R151" s="6"/>
      <c r="S151" s="6"/>
      <c r="T151" s="6"/>
      <c r="U151" s="6"/>
      <c r="V151" s="6"/>
      <c r="W151" s="6"/>
      <c r="X151" s="6"/>
      <c r="Y151" s="6"/>
      <c r="Z151" s="6"/>
      <c r="AA151" s="6"/>
      <c r="AB151" s="6"/>
      <c r="AC151" s="6"/>
      <c r="AD151" s="6"/>
    </row>
    <row r="152" ht="21" customHeight="1" spans="1:30">
      <c r="A152" s="40"/>
      <c r="B152" s="6"/>
      <c r="C152" s="6"/>
      <c r="D152" s="6"/>
      <c r="E152" s="6"/>
      <c r="F152" s="40"/>
      <c r="G152" s="40"/>
      <c r="H152" s="40"/>
      <c r="I152" s="6"/>
      <c r="J152" s="6"/>
      <c r="K152" s="6"/>
      <c r="L152" s="6"/>
      <c r="M152" s="6"/>
      <c r="N152" s="6"/>
      <c r="O152" s="6"/>
      <c r="P152" s="6"/>
      <c r="Q152" s="6"/>
      <c r="R152" s="6"/>
      <c r="S152" s="6"/>
      <c r="T152" s="6"/>
      <c r="U152" s="6"/>
      <c r="V152" s="6"/>
      <c r="W152" s="6"/>
      <c r="X152" s="6"/>
      <c r="Y152" s="6"/>
      <c r="Z152" s="6"/>
      <c r="AA152" s="6"/>
      <c r="AB152" s="6"/>
      <c r="AC152" s="6"/>
      <c r="AD152" s="6"/>
    </row>
    <row r="153" ht="21" customHeight="1" spans="1:30">
      <c r="A153" s="40"/>
      <c r="B153" s="6"/>
      <c r="C153" s="6"/>
      <c r="D153" s="6"/>
      <c r="E153" s="6"/>
      <c r="F153" s="40"/>
      <c r="G153" s="40"/>
      <c r="H153" s="40"/>
      <c r="I153" s="6"/>
      <c r="J153" s="6"/>
      <c r="K153" s="6"/>
      <c r="L153" s="6"/>
      <c r="M153" s="6"/>
      <c r="N153" s="6"/>
      <c r="O153" s="6"/>
      <c r="P153" s="6"/>
      <c r="Q153" s="6"/>
      <c r="R153" s="6"/>
      <c r="S153" s="6"/>
      <c r="T153" s="6"/>
      <c r="U153" s="6"/>
      <c r="V153" s="6"/>
      <c r="W153" s="6"/>
      <c r="X153" s="6"/>
      <c r="Y153" s="6"/>
      <c r="Z153" s="6"/>
      <c r="AA153" s="6"/>
      <c r="AB153" s="6"/>
      <c r="AC153" s="6"/>
      <c r="AD153" s="6"/>
    </row>
    <row r="154" ht="21" customHeight="1" spans="1:30">
      <c r="A154" s="40"/>
      <c r="B154" s="6"/>
      <c r="C154" s="6"/>
      <c r="D154" s="6"/>
      <c r="E154" s="6"/>
      <c r="F154" s="40"/>
      <c r="G154" s="40"/>
      <c r="H154" s="40"/>
      <c r="I154" s="6"/>
      <c r="J154" s="6"/>
      <c r="K154" s="6"/>
      <c r="L154" s="6"/>
      <c r="M154" s="6"/>
      <c r="N154" s="6"/>
      <c r="O154" s="6"/>
      <c r="P154" s="6"/>
      <c r="Q154" s="6"/>
      <c r="R154" s="6"/>
      <c r="S154" s="6"/>
      <c r="T154" s="6"/>
      <c r="U154" s="6"/>
      <c r="V154" s="6"/>
      <c r="W154" s="6"/>
      <c r="X154" s="6"/>
      <c r="Y154" s="6"/>
      <c r="Z154" s="6"/>
      <c r="AA154" s="6"/>
      <c r="AB154" s="6"/>
      <c r="AC154" s="6"/>
      <c r="AD154" s="6"/>
    </row>
    <row r="155" ht="21" customHeight="1" spans="1:30">
      <c r="A155" s="40"/>
      <c r="B155" s="6"/>
      <c r="C155" s="6"/>
      <c r="D155" s="6"/>
      <c r="E155" s="6"/>
      <c r="F155" s="40"/>
      <c r="G155" s="40"/>
      <c r="H155" s="40"/>
      <c r="I155" s="6"/>
      <c r="J155" s="6"/>
      <c r="K155" s="6"/>
      <c r="L155" s="6"/>
      <c r="M155" s="6"/>
      <c r="N155" s="6"/>
      <c r="O155" s="6"/>
      <c r="P155" s="6"/>
      <c r="Q155" s="6"/>
      <c r="R155" s="6"/>
      <c r="S155" s="6"/>
      <c r="T155" s="6"/>
      <c r="U155" s="6"/>
      <c r="V155" s="6"/>
      <c r="W155" s="6"/>
      <c r="X155" s="6"/>
      <c r="Y155" s="6"/>
      <c r="Z155" s="6"/>
      <c r="AA155" s="6"/>
      <c r="AB155" s="6"/>
      <c r="AC155" s="6"/>
      <c r="AD155" s="6"/>
    </row>
    <row r="156" ht="21" customHeight="1" spans="1:30">
      <c r="A156" s="40"/>
      <c r="B156" s="6"/>
      <c r="C156" s="6"/>
      <c r="D156" s="6"/>
      <c r="E156" s="6"/>
      <c r="F156" s="40"/>
      <c r="G156" s="40"/>
      <c r="H156" s="40"/>
      <c r="I156" s="6"/>
      <c r="J156" s="6"/>
      <c r="K156" s="6"/>
      <c r="L156" s="6"/>
      <c r="M156" s="6"/>
      <c r="N156" s="6"/>
      <c r="O156" s="6"/>
      <c r="P156" s="6"/>
      <c r="Q156" s="6"/>
      <c r="R156" s="6"/>
      <c r="S156" s="6"/>
      <c r="T156" s="6"/>
      <c r="U156" s="6"/>
      <c r="V156" s="6"/>
      <c r="W156" s="6"/>
      <c r="X156" s="6"/>
      <c r="Y156" s="6"/>
      <c r="Z156" s="6"/>
      <c r="AA156" s="6"/>
      <c r="AB156" s="6"/>
      <c r="AC156" s="6"/>
      <c r="AD156" s="6"/>
    </row>
    <row r="157" ht="21" customHeight="1" spans="1:30">
      <c r="A157" s="40"/>
      <c r="B157" s="6"/>
      <c r="C157" s="6"/>
      <c r="D157" s="6"/>
      <c r="E157" s="6"/>
      <c r="F157" s="40"/>
      <c r="G157" s="40"/>
      <c r="H157" s="40"/>
      <c r="I157" s="6"/>
      <c r="J157" s="6"/>
      <c r="K157" s="6"/>
      <c r="L157" s="6"/>
      <c r="M157" s="6"/>
      <c r="N157" s="6"/>
      <c r="O157" s="6"/>
      <c r="P157" s="6"/>
      <c r="Q157" s="6"/>
      <c r="R157" s="6"/>
      <c r="S157" s="6"/>
      <c r="T157" s="6"/>
      <c r="U157" s="6"/>
      <c r="V157" s="6"/>
      <c r="W157" s="6"/>
      <c r="X157" s="6"/>
      <c r="Y157" s="6"/>
      <c r="Z157" s="6"/>
      <c r="AA157" s="6"/>
      <c r="AB157" s="6"/>
      <c r="AC157" s="6"/>
      <c r="AD157" s="6"/>
    </row>
    <row r="158" ht="21" customHeight="1" spans="1:30">
      <c r="A158" s="40"/>
      <c r="B158" s="6"/>
      <c r="C158" s="6"/>
      <c r="D158" s="6"/>
      <c r="E158" s="6"/>
      <c r="F158" s="40"/>
      <c r="G158" s="40"/>
      <c r="H158" s="40"/>
      <c r="I158" s="6"/>
      <c r="J158" s="6"/>
      <c r="K158" s="6"/>
      <c r="L158" s="6"/>
      <c r="M158" s="6"/>
      <c r="N158" s="6"/>
      <c r="O158" s="6"/>
      <c r="P158" s="6"/>
      <c r="Q158" s="6"/>
      <c r="R158" s="6"/>
      <c r="S158" s="6"/>
      <c r="T158" s="6"/>
      <c r="U158" s="6"/>
      <c r="V158" s="6"/>
      <c r="W158" s="6"/>
      <c r="X158" s="6"/>
      <c r="Y158" s="6"/>
      <c r="Z158" s="6"/>
      <c r="AA158" s="6"/>
      <c r="AB158" s="6"/>
      <c r="AC158" s="6"/>
      <c r="AD158" s="6"/>
    </row>
    <row r="159" ht="21" customHeight="1" spans="1:30">
      <c r="A159" s="40"/>
      <c r="B159" s="6"/>
      <c r="C159" s="6"/>
      <c r="D159" s="6"/>
      <c r="E159" s="6"/>
      <c r="F159" s="40"/>
      <c r="G159" s="40"/>
      <c r="H159" s="40"/>
      <c r="I159" s="6"/>
      <c r="J159" s="6"/>
      <c r="K159" s="6"/>
      <c r="L159" s="6"/>
      <c r="M159" s="6"/>
      <c r="N159" s="6"/>
      <c r="O159" s="6"/>
      <c r="P159" s="6"/>
      <c r="Q159" s="6"/>
      <c r="R159" s="6"/>
      <c r="S159" s="6"/>
      <c r="T159" s="6"/>
      <c r="U159" s="6"/>
      <c r="V159" s="6"/>
      <c r="W159" s="6"/>
      <c r="X159" s="6"/>
      <c r="Y159" s="6"/>
      <c r="Z159" s="6"/>
      <c r="AA159" s="6"/>
      <c r="AB159" s="6"/>
      <c r="AC159" s="6"/>
      <c r="AD159" s="6"/>
    </row>
    <row r="160" ht="21" customHeight="1" spans="1:30">
      <c r="A160" s="40"/>
      <c r="B160" s="6"/>
      <c r="C160" s="6"/>
      <c r="D160" s="6"/>
      <c r="E160" s="6"/>
      <c r="F160" s="40"/>
      <c r="G160" s="40"/>
      <c r="H160" s="40"/>
      <c r="I160" s="6"/>
      <c r="J160" s="6"/>
      <c r="K160" s="6"/>
      <c r="L160" s="6"/>
      <c r="M160" s="6"/>
      <c r="N160" s="6"/>
      <c r="O160" s="6"/>
      <c r="P160" s="6"/>
      <c r="Q160" s="6"/>
      <c r="R160" s="6"/>
      <c r="S160" s="6"/>
      <c r="T160" s="6"/>
      <c r="U160" s="6"/>
      <c r="V160" s="6"/>
      <c r="W160" s="6"/>
      <c r="X160" s="6"/>
      <c r="Y160" s="6"/>
      <c r="Z160" s="6"/>
      <c r="AA160" s="6"/>
      <c r="AB160" s="6"/>
      <c r="AC160" s="6"/>
      <c r="AD160" s="6"/>
    </row>
    <row r="161" ht="21" customHeight="1" spans="1:30">
      <c r="A161" s="40"/>
      <c r="B161" s="6"/>
      <c r="C161" s="6"/>
      <c r="D161" s="6"/>
      <c r="E161" s="6"/>
      <c r="F161" s="40"/>
      <c r="G161" s="40"/>
      <c r="H161" s="40"/>
      <c r="I161" s="6"/>
      <c r="J161" s="6"/>
      <c r="K161" s="6"/>
      <c r="L161" s="6"/>
      <c r="M161" s="6"/>
      <c r="N161" s="6"/>
      <c r="O161" s="6"/>
      <c r="P161" s="6"/>
      <c r="Q161" s="6"/>
      <c r="R161" s="6"/>
      <c r="S161" s="6"/>
      <c r="T161" s="6"/>
      <c r="U161" s="6"/>
      <c r="V161" s="6"/>
      <c r="W161" s="6"/>
      <c r="X161" s="6"/>
      <c r="Y161" s="6"/>
      <c r="Z161" s="6"/>
      <c r="AA161" s="6"/>
      <c r="AB161" s="6"/>
      <c r="AC161" s="6"/>
      <c r="AD161" s="6"/>
    </row>
    <row r="162" ht="21" customHeight="1" spans="1:30">
      <c r="A162" s="40"/>
      <c r="B162" s="6"/>
      <c r="C162" s="6"/>
      <c r="D162" s="6"/>
      <c r="E162" s="6"/>
      <c r="F162" s="40"/>
      <c r="G162" s="40"/>
      <c r="H162" s="40"/>
      <c r="I162" s="6"/>
      <c r="J162" s="6"/>
      <c r="K162" s="6"/>
      <c r="L162" s="6"/>
      <c r="M162" s="6"/>
      <c r="N162" s="6"/>
      <c r="O162" s="6"/>
      <c r="P162" s="6"/>
      <c r="Q162" s="6"/>
      <c r="R162" s="6"/>
      <c r="S162" s="6"/>
      <c r="T162" s="6"/>
      <c r="U162" s="6"/>
      <c r="V162" s="6"/>
      <c r="W162" s="6"/>
      <c r="X162" s="6"/>
      <c r="Y162" s="6"/>
      <c r="Z162" s="6"/>
      <c r="AA162" s="6"/>
      <c r="AB162" s="6"/>
      <c r="AC162" s="6"/>
      <c r="AD162" s="6"/>
    </row>
    <row r="163" ht="21" customHeight="1" spans="1:30">
      <c r="A163" s="40"/>
      <c r="B163" s="6"/>
      <c r="C163" s="6"/>
      <c r="D163" s="6"/>
      <c r="E163" s="6"/>
      <c r="F163" s="40"/>
      <c r="G163" s="40"/>
      <c r="H163" s="40"/>
      <c r="I163" s="6"/>
      <c r="J163" s="6"/>
      <c r="K163" s="6"/>
      <c r="L163" s="6"/>
      <c r="M163" s="6"/>
      <c r="N163" s="6"/>
      <c r="O163" s="6"/>
      <c r="P163" s="6"/>
      <c r="Q163" s="6"/>
      <c r="R163" s="6"/>
      <c r="S163" s="6"/>
      <c r="T163" s="6"/>
      <c r="U163" s="6"/>
      <c r="V163" s="6"/>
      <c r="W163" s="6"/>
      <c r="X163" s="6"/>
      <c r="Y163" s="6"/>
      <c r="Z163" s="6"/>
      <c r="AA163" s="6"/>
      <c r="AB163" s="6"/>
      <c r="AC163" s="6"/>
      <c r="AD163" s="6"/>
    </row>
    <row r="164" ht="21" customHeight="1" spans="1:30">
      <c r="A164" s="40"/>
      <c r="B164" s="6"/>
      <c r="C164" s="6"/>
      <c r="D164" s="6"/>
      <c r="E164" s="6"/>
      <c r="F164" s="40"/>
      <c r="G164" s="40"/>
      <c r="H164" s="40"/>
      <c r="I164" s="6"/>
      <c r="J164" s="6"/>
      <c r="K164" s="6"/>
      <c r="L164" s="6"/>
      <c r="M164" s="6"/>
      <c r="N164" s="6"/>
      <c r="O164" s="6"/>
      <c r="P164" s="6"/>
      <c r="Q164" s="6"/>
      <c r="R164" s="6"/>
      <c r="S164" s="6"/>
      <c r="T164" s="6"/>
      <c r="U164" s="6"/>
      <c r="V164" s="6"/>
      <c r="W164" s="6"/>
      <c r="X164" s="6"/>
      <c r="Y164" s="6"/>
      <c r="Z164" s="6"/>
      <c r="AA164" s="6"/>
      <c r="AB164" s="6"/>
      <c r="AC164" s="6"/>
      <c r="AD164" s="6"/>
    </row>
    <row r="165" ht="21" customHeight="1" spans="1:30">
      <c r="A165" s="40"/>
      <c r="B165" s="6"/>
      <c r="C165" s="6"/>
      <c r="D165" s="6"/>
      <c r="E165" s="6"/>
      <c r="F165" s="40"/>
      <c r="G165" s="40"/>
      <c r="H165" s="40"/>
      <c r="I165" s="6"/>
      <c r="J165" s="6"/>
      <c r="K165" s="6"/>
      <c r="L165" s="6"/>
      <c r="M165" s="6"/>
      <c r="N165" s="6"/>
      <c r="O165" s="6"/>
      <c r="P165" s="6"/>
      <c r="Q165" s="6"/>
      <c r="R165" s="6"/>
      <c r="S165" s="6"/>
      <c r="T165" s="6"/>
      <c r="U165" s="6"/>
      <c r="V165" s="6"/>
      <c r="W165" s="6"/>
      <c r="X165" s="6"/>
      <c r="Y165" s="6"/>
      <c r="Z165" s="6"/>
      <c r="AA165" s="6"/>
      <c r="AB165" s="6"/>
      <c r="AC165" s="6"/>
      <c r="AD165" s="6"/>
    </row>
    <row r="166" ht="21" customHeight="1" spans="1:30">
      <c r="A166" s="40"/>
      <c r="B166" s="6"/>
      <c r="C166" s="6"/>
      <c r="D166" s="6"/>
      <c r="E166" s="6"/>
      <c r="F166" s="40"/>
      <c r="G166" s="40"/>
      <c r="H166" s="40"/>
      <c r="I166" s="6"/>
      <c r="J166" s="6"/>
      <c r="K166" s="6"/>
      <c r="L166" s="6"/>
      <c r="M166" s="6"/>
      <c r="N166" s="6"/>
      <c r="O166" s="6"/>
      <c r="P166" s="6"/>
      <c r="Q166" s="6"/>
      <c r="R166" s="6"/>
      <c r="S166" s="6"/>
      <c r="T166" s="6"/>
      <c r="U166" s="6"/>
      <c r="V166" s="6"/>
      <c r="W166" s="6"/>
      <c r="X166" s="6"/>
      <c r="Y166" s="6"/>
      <c r="Z166" s="6"/>
      <c r="AA166" s="6"/>
      <c r="AB166" s="6"/>
      <c r="AC166" s="6"/>
      <c r="AD166" s="6"/>
    </row>
    <row r="167" ht="21" customHeight="1" spans="1:30">
      <c r="A167" s="40"/>
      <c r="B167" s="6"/>
      <c r="C167" s="6"/>
      <c r="D167" s="6"/>
      <c r="E167" s="6"/>
      <c r="F167" s="40"/>
      <c r="G167" s="40"/>
      <c r="H167" s="40"/>
      <c r="I167" s="6"/>
      <c r="J167" s="6"/>
      <c r="K167" s="6"/>
      <c r="L167" s="6"/>
      <c r="M167" s="6"/>
      <c r="N167" s="6"/>
      <c r="O167" s="6"/>
      <c r="P167" s="6"/>
      <c r="Q167" s="6"/>
      <c r="R167" s="6"/>
      <c r="S167" s="6"/>
      <c r="T167" s="6"/>
      <c r="U167" s="6"/>
      <c r="V167" s="6"/>
      <c r="W167" s="6"/>
      <c r="X167" s="6"/>
      <c r="Y167" s="6"/>
      <c r="Z167" s="6"/>
      <c r="AA167" s="6"/>
      <c r="AB167" s="6"/>
      <c r="AC167" s="6"/>
      <c r="AD167" s="6"/>
    </row>
    <row r="168" ht="21" customHeight="1" spans="1:30">
      <c r="A168" s="40"/>
      <c r="B168" s="6"/>
      <c r="C168" s="6"/>
      <c r="D168" s="6"/>
      <c r="E168" s="6"/>
      <c r="F168" s="40"/>
      <c r="G168" s="40"/>
      <c r="H168" s="40"/>
      <c r="I168" s="6"/>
      <c r="J168" s="6"/>
      <c r="K168" s="6"/>
      <c r="L168" s="6"/>
      <c r="M168" s="6"/>
      <c r="N168" s="6"/>
      <c r="O168" s="6"/>
      <c r="P168" s="6"/>
      <c r="Q168" s="6"/>
      <c r="R168" s="6"/>
      <c r="S168" s="6"/>
      <c r="T168" s="6"/>
      <c r="U168" s="6"/>
      <c r="V168" s="6"/>
      <c r="W168" s="6"/>
      <c r="X168" s="6"/>
      <c r="Y168" s="6"/>
      <c r="Z168" s="6"/>
      <c r="AA168" s="6"/>
      <c r="AB168" s="6"/>
      <c r="AC168" s="6"/>
      <c r="AD168" s="6"/>
    </row>
    <row r="169" ht="21" customHeight="1" spans="1:30">
      <c r="A169" s="40"/>
      <c r="B169" s="6"/>
      <c r="C169" s="6"/>
      <c r="D169" s="6"/>
      <c r="E169" s="6"/>
      <c r="F169" s="40"/>
      <c r="G169" s="40"/>
      <c r="H169" s="40"/>
      <c r="I169" s="6"/>
      <c r="J169" s="6"/>
      <c r="K169" s="6"/>
      <c r="L169" s="6"/>
      <c r="M169" s="6"/>
      <c r="N169" s="6"/>
      <c r="O169" s="6"/>
      <c r="P169" s="6"/>
      <c r="Q169" s="6"/>
      <c r="R169" s="6"/>
      <c r="S169" s="6"/>
      <c r="T169" s="6"/>
      <c r="U169" s="6"/>
      <c r="V169" s="6"/>
      <c r="W169" s="6"/>
      <c r="X169" s="6"/>
      <c r="Y169" s="6"/>
      <c r="Z169" s="6"/>
      <c r="AA169" s="6"/>
      <c r="AB169" s="6"/>
      <c r="AC169" s="6"/>
      <c r="AD169" s="6"/>
    </row>
    <row r="170" ht="21" customHeight="1" spans="1:30">
      <c r="A170" s="40"/>
      <c r="B170" s="6"/>
      <c r="C170" s="6"/>
      <c r="D170" s="6"/>
      <c r="E170" s="6"/>
      <c r="F170" s="40"/>
      <c r="G170" s="40"/>
      <c r="H170" s="40"/>
      <c r="I170" s="6"/>
      <c r="J170" s="6"/>
      <c r="K170" s="6"/>
      <c r="L170" s="6"/>
      <c r="M170" s="6"/>
      <c r="N170" s="6"/>
      <c r="O170" s="6"/>
      <c r="P170" s="6"/>
      <c r="Q170" s="6"/>
      <c r="R170" s="6"/>
      <c r="S170" s="6"/>
      <c r="T170" s="6"/>
      <c r="U170" s="6"/>
      <c r="V170" s="6"/>
      <c r="W170" s="6"/>
      <c r="X170" s="6"/>
      <c r="Y170" s="6"/>
      <c r="Z170" s="6"/>
      <c r="AA170" s="6"/>
      <c r="AB170" s="6"/>
      <c r="AC170" s="6"/>
      <c r="AD170" s="6"/>
    </row>
    <row r="171" ht="21" customHeight="1" spans="1:30">
      <c r="A171" s="40"/>
      <c r="B171" s="6"/>
      <c r="C171" s="6"/>
      <c r="D171" s="6"/>
      <c r="E171" s="6"/>
      <c r="F171" s="40"/>
      <c r="G171" s="40"/>
      <c r="H171" s="40"/>
      <c r="I171" s="6"/>
      <c r="J171" s="6"/>
      <c r="K171" s="6"/>
      <c r="L171" s="6"/>
      <c r="M171" s="6"/>
      <c r="N171" s="6"/>
      <c r="O171" s="6"/>
      <c r="P171" s="6"/>
      <c r="Q171" s="6"/>
      <c r="R171" s="6"/>
      <c r="S171" s="6"/>
      <c r="T171" s="6"/>
      <c r="U171" s="6"/>
      <c r="V171" s="6"/>
      <c r="W171" s="6"/>
      <c r="X171" s="6"/>
      <c r="Y171" s="6"/>
      <c r="Z171" s="6"/>
      <c r="AA171" s="6"/>
      <c r="AB171" s="6"/>
      <c r="AC171" s="6"/>
      <c r="AD171" s="6"/>
    </row>
    <row r="172" ht="21" customHeight="1" spans="1:30">
      <c r="A172" s="40"/>
      <c r="B172" s="6"/>
      <c r="C172" s="6"/>
      <c r="D172" s="6"/>
      <c r="E172" s="6"/>
      <c r="F172" s="40"/>
      <c r="G172" s="40"/>
      <c r="H172" s="40"/>
      <c r="I172" s="6"/>
      <c r="J172" s="6"/>
      <c r="K172" s="6"/>
      <c r="L172" s="6"/>
      <c r="M172" s="6"/>
      <c r="N172" s="6"/>
      <c r="O172" s="6"/>
      <c r="P172" s="6"/>
      <c r="Q172" s="6"/>
      <c r="R172" s="6"/>
      <c r="S172" s="6"/>
      <c r="T172" s="6"/>
      <c r="U172" s="6"/>
      <c r="V172" s="6"/>
      <c r="W172" s="6"/>
      <c r="X172" s="6"/>
      <c r="Y172" s="6"/>
      <c r="Z172" s="6"/>
      <c r="AA172" s="6"/>
      <c r="AB172" s="6"/>
      <c r="AC172" s="6"/>
      <c r="AD172" s="6"/>
    </row>
    <row r="173" ht="21" customHeight="1" spans="1:30">
      <c r="A173" s="40"/>
      <c r="B173" s="6"/>
      <c r="C173" s="6"/>
      <c r="D173" s="6"/>
      <c r="E173" s="6"/>
      <c r="F173" s="40"/>
      <c r="G173" s="40"/>
      <c r="H173" s="40"/>
      <c r="I173" s="6"/>
      <c r="J173" s="6"/>
      <c r="K173" s="6"/>
      <c r="L173" s="6"/>
      <c r="M173" s="6"/>
      <c r="N173" s="6"/>
      <c r="O173" s="6"/>
      <c r="P173" s="6"/>
      <c r="Q173" s="6"/>
      <c r="R173" s="6"/>
      <c r="S173" s="6"/>
      <c r="T173" s="6"/>
      <c r="U173" s="6"/>
      <c r="V173" s="6"/>
      <c r="W173" s="6"/>
      <c r="X173" s="6"/>
      <c r="Y173" s="6"/>
      <c r="Z173" s="6"/>
      <c r="AA173" s="6"/>
      <c r="AB173" s="6"/>
      <c r="AC173" s="6"/>
      <c r="AD173" s="6"/>
    </row>
    <row r="174" ht="21" customHeight="1" spans="1:30">
      <c r="A174" s="40"/>
      <c r="B174" s="6"/>
      <c r="C174" s="6"/>
      <c r="D174" s="6"/>
      <c r="E174" s="6"/>
      <c r="F174" s="40"/>
      <c r="G174" s="40"/>
      <c r="H174" s="40"/>
      <c r="I174" s="6"/>
      <c r="J174" s="6"/>
      <c r="K174" s="6"/>
      <c r="L174" s="6"/>
      <c r="M174" s="6"/>
      <c r="N174" s="6"/>
      <c r="O174" s="6"/>
      <c r="P174" s="6"/>
      <c r="Q174" s="6"/>
      <c r="R174" s="6"/>
      <c r="S174" s="6"/>
      <c r="T174" s="6"/>
      <c r="U174" s="6"/>
      <c r="V174" s="6"/>
      <c r="W174" s="6"/>
      <c r="X174" s="6"/>
      <c r="Y174" s="6"/>
      <c r="Z174" s="6"/>
      <c r="AA174" s="6"/>
      <c r="AB174" s="6"/>
      <c r="AC174" s="6"/>
      <c r="AD174" s="6"/>
    </row>
    <row r="175" ht="21" customHeight="1" spans="1:30">
      <c r="A175" s="40"/>
      <c r="B175" s="6"/>
      <c r="C175" s="6"/>
      <c r="D175" s="6"/>
      <c r="E175" s="6"/>
      <c r="F175" s="40"/>
      <c r="G175" s="40"/>
      <c r="H175" s="40"/>
      <c r="I175" s="6"/>
      <c r="J175" s="6"/>
      <c r="K175" s="6"/>
      <c r="L175" s="6"/>
      <c r="M175" s="6"/>
      <c r="N175" s="6"/>
      <c r="O175" s="6"/>
      <c r="P175" s="6"/>
      <c r="Q175" s="6"/>
      <c r="R175" s="6"/>
      <c r="S175" s="6"/>
      <c r="T175" s="6"/>
      <c r="U175" s="6"/>
      <c r="V175" s="6"/>
      <c r="W175" s="6"/>
      <c r="X175" s="6"/>
      <c r="Y175" s="6"/>
      <c r="Z175" s="6"/>
      <c r="AA175" s="6"/>
      <c r="AB175" s="6"/>
      <c r="AC175" s="6"/>
      <c r="AD175" s="6"/>
    </row>
    <row r="176" ht="21" customHeight="1" spans="1:30">
      <c r="A176" s="40"/>
      <c r="B176" s="6"/>
      <c r="C176" s="6"/>
      <c r="D176" s="6"/>
      <c r="E176" s="6"/>
      <c r="F176" s="40"/>
      <c r="G176" s="40"/>
      <c r="H176" s="40"/>
      <c r="I176" s="6"/>
      <c r="J176" s="6"/>
      <c r="K176" s="6"/>
      <c r="L176" s="6"/>
      <c r="M176" s="6"/>
      <c r="N176" s="6"/>
      <c r="O176" s="6"/>
      <c r="P176" s="6"/>
      <c r="Q176" s="6"/>
      <c r="R176" s="6"/>
      <c r="S176" s="6"/>
      <c r="T176" s="6"/>
      <c r="U176" s="6"/>
      <c r="V176" s="6"/>
      <c r="W176" s="6"/>
      <c r="X176" s="6"/>
      <c r="Y176" s="6"/>
      <c r="Z176" s="6"/>
      <c r="AA176" s="6"/>
      <c r="AB176" s="6"/>
      <c r="AC176" s="6"/>
      <c r="AD176" s="6"/>
    </row>
    <row r="177" ht="21" customHeight="1" spans="1:30">
      <c r="A177" s="40"/>
      <c r="B177" s="6"/>
      <c r="C177" s="6"/>
      <c r="D177" s="6"/>
      <c r="E177" s="6"/>
      <c r="F177" s="40"/>
      <c r="G177" s="40"/>
      <c r="H177" s="40"/>
      <c r="I177" s="6"/>
      <c r="J177" s="6"/>
      <c r="K177" s="6"/>
      <c r="L177" s="6"/>
      <c r="M177" s="6"/>
      <c r="N177" s="6"/>
      <c r="O177" s="6"/>
      <c r="P177" s="6"/>
      <c r="Q177" s="6"/>
      <c r="R177" s="6"/>
      <c r="S177" s="6"/>
      <c r="T177" s="6"/>
      <c r="U177" s="6"/>
      <c r="V177" s="6"/>
      <c r="W177" s="6"/>
      <c r="X177" s="6"/>
      <c r="Y177" s="6"/>
      <c r="Z177" s="6"/>
      <c r="AA177" s="6"/>
      <c r="AB177" s="6"/>
      <c r="AC177" s="6"/>
      <c r="AD177" s="6"/>
    </row>
    <row r="178" ht="21" customHeight="1" spans="1:30">
      <c r="A178" s="40"/>
      <c r="B178" s="6"/>
      <c r="C178" s="6"/>
      <c r="D178" s="6"/>
      <c r="E178" s="6"/>
      <c r="F178" s="40"/>
      <c r="G178" s="40"/>
      <c r="H178" s="40"/>
      <c r="I178" s="6"/>
      <c r="J178" s="6"/>
      <c r="K178" s="6"/>
      <c r="L178" s="6"/>
      <c r="M178" s="6"/>
      <c r="N178" s="6"/>
      <c r="O178" s="6"/>
      <c r="P178" s="6"/>
      <c r="Q178" s="6"/>
      <c r="R178" s="6"/>
      <c r="S178" s="6"/>
      <c r="T178" s="6"/>
      <c r="U178" s="6"/>
      <c r="V178" s="6"/>
      <c r="W178" s="6"/>
      <c r="X178" s="6"/>
      <c r="Y178" s="6"/>
      <c r="Z178" s="6"/>
      <c r="AA178" s="6"/>
      <c r="AB178" s="6"/>
      <c r="AC178" s="6"/>
      <c r="AD178" s="6"/>
    </row>
    <row r="179" ht="21" customHeight="1" spans="1:30">
      <c r="A179" s="40"/>
      <c r="B179" s="6"/>
      <c r="C179" s="6"/>
      <c r="D179" s="6"/>
      <c r="E179" s="6"/>
      <c r="F179" s="40"/>
      <c r="G179" s="40"/>
      <c r="H179" s="40"/>
      <c r="I179" s="6"/>
      <c r="J179" s="6"/>
      <c r="K179" s="6"/>
      <c r="L179" s="6"/>
      <c r="M179" s="6"/>
      <c r="N179" s="6"/>
      <c r="O179" s="6"/>
      <c r="P179" s="6"/>
      <c r="Q179" s="6"/>
      <c r="R179" s="6"/>
      <c r="S179" s="6"/>
      <c r="T179" s="6"/>
      <c r="U179" s="6"/>
      <c r="V179" s="6"/>
      <c r="W179" s="6"/>
      <c r="X179" s="6"/>
      <c r="Y179" s="6"/>
      <c r="Z179" s="6"/>
      <c r="AA179" s="6"/>
      <c r="AB179" s="6"/>
      <c r="AC179" s="6"/>
      <c r="AD179" s="6"/>
    </row>
    <row r="180" ht="21" customHeight="1" spans="1:30">
      <c r="A180" s="40"/>
      <c r="B180" s="6"/>
      <c r="C180" s="6"/>
      <c r="D180" s="6"/>
      <c r="E180" s="6"/>
      <c r="F180" s="40"/>
      <c r="G180" s="40"/>
      <c r="H180" s="40"/>
      <c r="I180" s="6"/>
      <c r="J180" s="6"/>
      <c r="K180" s="6"/>
      <c r="L180" s="6"/>
      <c r="M180" s="6"/>
      <c r="N180" s="6"/>
      <c r="O180" s="6"/>
      <c r="P180" s="6"/>
      <c r="Q180" s="6"/>
      <c r="R180" s="6"/>
      <c r="S180" s="6"/>
      <c r="T180" s="6"/>
      <c r="U180" s="6"/>
      <c r="V180" s="6"/>
      <c r="W180" s="6"/>
      <c r="X180" s="6"/>
      <c r="Y180" s="6"/>
      <c r="Z180" s="6"/>
      <c r="AA180" s="6"/>
      <c r="AB180" s="6"/>
      <c r="AC180" s="6"/>
      <c r="AD180" s="6"/>
    </row>
    <row r="181" ht="21" customHeight="1" spans="1:30">
      <c r="A181" s="40"/>
      <c r="B181" s="6"/>
      <c r="C181" s="6"/>
      <c r="D181" s="6"/>
      <c r="E181" s="6"/>
      <c r="F181" s="40"/>
      <c r="G181" s="40"/>
      <c r="H181" s="40"/>
      <c r="I181" s="6"/>
      <c r="J181" s="6"/>
      <c r="K181" s="6"/>
      <c r="L181" s="6"/>
      <c r="M181" s="6"/>
      <c r="N181" s="6"/>
      <c r="O181" s="6"/>
      <c r="P181" s="6"/>
      <c r="Q181" s="6"/>
      <c r="R181" s="6"/>
      <c r="S181" s="6"/>
      <c r="T181" s="6"/>
      <c r="U181" s="6"/>
      <c r="V181" s="6"/>
      <c r="W181" s="6"/>
      <c r="X181" s="6"/>
      <c r="Y181" s="6"/>
      <c r="Z181" s="6"/>
      <c r="AA181" s="6"/>
      <c r="AB181" s="6"/>
      <c r="AC181" s="6"/>
      <c r="AD181" s="6"/>
    </row>
    <row r="182" ht="21" customHeight="1" spans="1:30">
      <c r="A182" s="40"/>
      <c r="B182" s="6"/>
      <c r="C182" s="6"/>
      <c r="D182" s="6"/>
      <c r="E182" s="6"/>
      <c r="F182" s="40"/>
      <c r="G182" s="40"/>
      <c r="H182" s="40"/>
      <c r="I182" s="6"/>
      <c r="J182" s="6"/>
      <c r="K182" s="6"/>
      <c r="L182" s="6"/>
      <c r="M182" s="6"/>
      <c r="N182" s="6"/>
      <c r="O182" s="6"/>
      <c r="P182" s="6"/>
      <c r="Q182" s="6"/>
      <c r="R182" s="6"/>
      <c r="S182" s="6"/>
      <c r="T182" s="6"/>
      <c r="U182" s="6"/>
      <c r="V182" s="6"/>
      <c r="W182" s="6"/>
      <c r="X182" s="6"/>
      <c r="Y182" s="6"/>
      <c r="Z182" s="6"/>
      <c r="AA182" s="6"/>
      <c r="AB182" s="6"/>
      <c r="AC182" s="6"/>
      <c r="AD182" s="6"/>
    </row>
    <row r="183" ht="21" customHeight="1" spans="1:30">
      <c r="A183" s="40"/>
      <c r="B183" s="6"/>
      <c r="C183" s="6"/>
      <c r="D183" s="6"/>
      <c r="E183" s="6"/>
      <c r="F183" s="40"/>
      <c r="G183" s="40"/>
      <c r="H183" s="40"/>
      <c r="I183" s="6"/>
      <c r="J183" s="6"/>
      <c r="K183" s="6"/>
      <c r="L183" s="6"/>
      <c r="M183" s="6"/>
      <c r="N183" s="6"/>
      <c r="O183" s="6"/>
      <c r="P183" s="6"/>
      <c r="Q183" s="6"/>
      <c r="R183" s="6"/>
      <c r="S183" s="6"/>
      <c r="T183" s="6"/>
      <c r="U183" s="6"/>
      <c r="V183" s="6"/>
      <c r="W183" s="6"/>
      <c r="X183" s="6"/>
      <c r="Y183" s="6"/>
      <c r="Z183" s="6"/>
      <c r="AA183" s="6"/>
      <c r="AB183" s="6"/>
      <c r="AC183" s="6"/>
      <c r="AD183" s="6"/>
    </row>
    <row r="184" ht="21" customHeight="1" spans="1:30">
      <c r="A184" s="40"/>
      <c r="B184" s="6"/>
      <c r="C184" s="6"/>
      <c r="D184" s="6"/>
      <c r="E184" s="6"/>
      <c r="F184" s="40"/>
      <c r="G184" s="40"/>
      <c r="H184" s="40"/>
      <c r="I184" s="6"/>
      <c r="J184" s="6"/>
      <c r="K184" s="6"/>
      <c r="L184" s="6"/>
      <c r="M184" s="6"/>
      <c r="N184" s="6"/>
      <c r="O184" s="6"/>
      <c r="P184" s="6"/>
      <c r="Q184" s="6"/>
      <c r="R184" s="6"/>
      <c r="S184" s="6"/>
      <c r="T184" s="6"/>
      <c r="U184" s="6"/>
      <c r="V184" s="6"/>
      <c r="W184" s="6"/>
      <c r="X184" s="6"/>
      <c r="Y184" s="6"/>
      <c r="Z184" s="6"/>
      <c r="AA184" s="6"/>
      <c r="AB184" s="6"/>
      <c r="AC184" s="6"/>
      <c r="AD184" s="6"/>
    </row>
    <row r="185" ht="21" customHeight="1" spans="1:30">
      <c r="A185" s="40"/>
      <c r="B185" s="6"/>
      <c r="C185" s="6"/>
      <c r="D185" s="6"/>
      <c r="E185" s="6"/>
      <c r="F185" s="40"/>
      <c r="G185" s="40"/>
      <c r="H185" s="40"/>
      <c r="I185" s="6"/>
      <c r="J185" s="6"/>
      <c r="K185" s="6"/>
      <c r="L185" s="6"/>
      <c r="M185" s="6"/>
      <c r="N185" s="6"/>
      <c r="O185" s="6"/>
      <c r="P185" s="6"/>
      <c r="Q185" s="6"/>
      <c r="R185" s="6"/>
      <c r="S185" s="6"/>
      <c r="T185" s="6"/>
      <c r="U185" s="6"/>
      <c r="V185" s="6"/>
      <c r="W185" s="6"/>
      <c r="X185" s="6"/>
      <c r="Y185" s="6"/>
      <c r="Z185" s="6"/>
      <c r="AA185" s="6"/>
      <c r="AB185" s="6"/>
      <c r="AC185" s="6"/>
      <c r="AD185" s="6"/>
    </row>
    <row r="186" ht="21" customHeight="1" spans="1:30">
      <c r="A186" s="40"/>
      <c r="B186" s="6"/>
      <c r="C186" s="6"/>
      <c r="D186" s="6"/>
      <c r="E186" s="6"/>
      <c r="F186" s="40"/>
      <c r="G186" s="40"/>
      <c r="H186" s="40"/>
      <c r="I186" s="6"/>
      <c r="J186" s="6"/>
      <c r="K186" s="6"/>
      <c r="L186" s="6"/>
      <c r="M186" s="6"/>
      <c r="N186" s="6"/>
      <c r="O186" s="6"/>
      <c r="P186" s="6"/>
      <c r="Q186" s="6"/>
      <c r="R186" s="6"/>
      <c r="S186" s="6"/>
      <c r="T186" s="6"/>
      <c r="U186" s="6"/>
      <c r="V186" s="6"/>
      <c r="W186" s="6"/>
      <c r="X186" s="6"/>
      <c r="Y186" s="6"/>
      <c r="Z186" s="6"/>
      <c r="AA186" s="6"/>
      <c r="AB186" s="6"/>
      <c r="AC186" s="6"/>
      <c r="AD186" s="6"/>
    </row>
    <row r="187" ht="21" customHeight="1" spans="1:30">
      <c r="A187" s="40"/>
      <c r="B187" s="6"/>
      <c r="C187" s="6"/>
      <c r="D187" s="6"/>
      <c r="E187" s="6"/>
      <c r="F187" s="40"/>
      <c r="G187" s="40"/>
      <c r="H187" s="40"/>
      <c r="I187" s="6"/>
      <c r="J187" s="6"/>
      <c r="K187" s="6"/>
      <c r="L187" s="6"/>
      <c r="M187" s="6"/>
      <c r="N187" s="6"/>
      <c r="O187" s="6"/>
      <c r="P187" s="6"/>
      <c r="Q187" s="6"/>
      <c r="R187" s="6"/>
      <c r="S187" s="6"/>
      <c r="T187" s="6"/>
      <c r="U187" s="6"/>
      <c r="V187" s="6"/>
      <c r="W187" s="6"/>
      <c r="X187" s="6"/>
      <c r="Y187" s="6"/>
      <c r="Z187" s="6"/>
      <c r="AA187" s="6"/>
      <c r="AB187" s="6"/>
      <c r="AC187" s="6"/>
      <c r="AD187" s="6"/>
    </row>
    <row r="188" ht="21" customHeight="1" spans="1:30">
      <c r="A188" s="40"/>
      <c r="B188" s="6"/>
      <c r="C188" s="6"/>
      <c r="D188" s="6"/>
      <c r="E188" s="6"/>
      <c r="F188" s="40"/>
      <c r="G188" s="40"/>
      <c r="H188" s="40"/>
      <c r="I188" s="6"/>
      <c r="J188" s="6"/>
      <c r="K188" s="6"/>
      <c r="L188" s="6"/>
      <c r="M188" s="6"/>
      <c r="N188" s="6"/>
      <c r="O188" s="6"/>
      <c r="P188" s="6"/>
      <c r="Q188" s="6"/>
      <c r="R188" s="6"/>
      <c r="S188" s="6"/>
      <c r="T188" s="6"/>
      <c r="U188" s="6"/>
      <c r="V188" s="6"/>
      <c r="W188" s="6"/>
      <c r="X188" s="6"/>
      <c r="Y188" s="6"/>
      <c r="Z188" s="6"/>
      <c r="AA188" s="6"/>
      <c r="AB188" s="6"/>
      <c r="AC188" s="6"/>
      <c r="AD188" s="6"/>
    </row>
    <row r="189" ht="21" customHeight="1" spans="1:30">
      <c r="A189" s="40"/>
      <c r="B189" s="6"/>
      <c r="C189" s="6"/>
      <c r="D189" s="6"/>
      <c r="E189" s="6"/>
      <c r="F189" s="40"/>
      <c r="G189" s="40"/>
      <c r="H189" s="40"/>
      <c r="I189" s="6"/>
      <c r="J189" s="6"/>
      <c r="K189" s="6"/>
      <c r="L189" s="6"/>
      <c r="M189" s="6"/>
      <c r="N189" s="6"/>
      <c r="O189" s="6"/>
      <c r="P189" s="6"/>
      <c r="Q189" s="6"/>
      <c r="R189" s="6"/>
      <c r="S189" s="6"/>
      <c r="T189" s="6"/>
      <c r="U189" s="6"/>
      <c r="V189" s="6"/>
      <c r="W189" s="6"/>
      <c r="X189" s="6"/>
      <c r="Y189" s="6"/>
      <c r="Z189" s="6"/>
      <c r="AA189" s="6"/>
      <c r="AB189" s="6"/>
      <c r="AC189" s="6"/>
      <c r="AD189" s="6"/>
    </row>
    <row r="190" ht="21" customHeight="1" spans="1:30">
      <c r="A190" s="40"/>
      <c r="B190" s="6"/>
      <c r="C190" s="6"/>
      <c r="D190" s="6"/>
      <c r="E190" s="6"/>
      <c r="F190" s="40"/>
      <c r="G190" s="40"/>
      <c r="H190" s="40"/>
      <c r="I190" s="6"/>
      <c r="J190" s="6"/>
      <c r="K190" s="6"/>
      <c r="L190" s="6"/>
      <c r="M190" s="6"/>
      <c r="N190" s="6"/>
      <c r="O190" s="6"/>
      <c r="P190" s="6"/>
      <c r="Q190" s="6"/>
      <c r="R190" s="6"/>
      <c r="S190" s="6"/>
      <c r="T190" s="6"/>
      <c r="U190" s="6"/>
      <c r="V190" s="6"/>
      <c r="W190" s="6"/>
      <c r="X190" s="6"/>
      <c r="Y190" s="6"/>
      <c r="Z190" s="6"/>
      <c r="AA190" s="6"/>
      <c r="AB190" s="6"/>
      <c r="AC190" s="6"/>
      <c r="AD190" s="6"/>
    </row>
    <row r="191" ht="21" customHeight="1" spans="1:30">
      <c r="A191" s="40"/>
      <c r="B191" s="6"/>
      <c r="C191" s="6"/>
      <c r="D191" s="6"/>
      <c r="E191" s="6"/>
      <c r="F191" s="40"/>
      <c r="G191" s="40"/>
      <c r="H191" s="40"/>
      <c r="I191" s="6"/>
      <c r="J191" s="6"/>
      <c r="K191" s="6"/>
      <c r="L191" s="6"/>
      <c r="M191" s="6"/>
      <c r="N191" s="6"/>
      <c r="O191" s="6"/>
      <c r="P191" s="6"/>
      <c r="Q191" s="6"/>
      <c r="R191" s="6"/>
      <c r="S191" s="6"/>
      <c r="T191" s="6"/>
      <c r="U191" s="6"/>
      <c r="V191" s="6"/>
      <c r="W191" s="6"/>
      <c r="X191" s="6"/>
      <c r="Y191" s="6"/>
      <c r="Z191" s="6"/>
      <c r="AA191" s="6"/>
      <c r="AB191" s="6"/>
      <c r="AC191" s="6"/>
      <c r="AD191" s="6"/>
    </row>
    <row r="192" ht="21" customHeight="1" spans="1:30">
      <c r="A192" s="40"/>
      <c r="B192" s="6"/>
      <c r="C192" s="6"/>
      <c r="D192" s="6"/>
      <c r="E192" s="6"/>
      <c r="F192" s="40"/>
      <c r="G192" s="40"/>
      <c r="H192" s="40"/>
      <c r="I192" s="6"/>
      <c r="J192" s="6"/>
      <c r="K192" s="6"/>
      <c r="L192" s="6"/>
      <c r="M192" s="6"/>
      <c r="N192" s="6"/>
      <c r="O192" s="6"/>
      <c r="P192" s="6"/>
      <c r="Q192" s="6"/>
      <c r="R192" s="6"/>
      <c r="S192" s="6"/>
      <c r="T192" s="6"/>
      <c r="U192" s="6"/>
      <c r="V192" s="6"/>
      <c r="W192" s="6"/>
      <c r="X192" s="6"/>
      <c r="Y192" s="6"/>
      <c r="Z192" s="6"/>
      <c r="AA192" s="6"/>
      <c r="AB192" s="6"/>
      <c r="AC192" s="6"/>
      <c r="AD192" s="6"/>
    </row>
    <row r="193" ht="21" customHeight="1" spans="1:30">
      <c r="A193" s="40"/>
      <c r="B193" s="6"/>
      <c r="C193" s="6"/>
      <c r="D193" s="6"/>
      <c r="E193" s="6"/>
      <c r="F193" s="40"/>
      <c r="G193" s="40"/>
      <c r="H193" s="40"/>
      <c r="I193" s="6"/>
      <c r="J193" s="6"/>
      <c r="K193" s="6"/>
      <c r="L193" s="6"/>
      <c r="M193" s="6"/>
      <c r="N193" s="6"/>
      <c r="O193" s="6"/>
      <c r="P193" s="6"/>
      <c r="Q193" s="6"/>
      <c r="R193" s="6"/>
      <c r="S193" s="6"/>
      <c r="T193" s="6"/>
      <c r="U193" s="6"/>
      <c r="V193" s="6"/>
      <c r="W193" s="6"/>
      <c r="X193" s="6"/>
      <c r="Y193" s="6"/>
      <c r="Z193" s="6"/>
      <c r="AA193" s="6"/>
      <c r="AB193" s="6"/>
      <c r="AC193" s="6"/>
      <c r="AD193" s="6"/>
    </row>
    <row r="194" ht="21" customHeight="1" spans="1:30">
      <c r="A194" s="40"/>
      <c r="B194" s="6"/>
      <c r="C194" s="6"/>
      <c r="D194" s="6"/>
      <c r="E194" s="6"/>
      <c r="F194" s="40"/>
      <c r="G194" s="40"/>
      <c r="H194" s="40"/>
      <c r="I194" s="6"/>
      <c r="J194" s="6"/>
      <c r="K194" s="6"/>
      <c r="L194" s="6"/>
      <c r="M194" s="6"/>
      <c r="N194" s="6"/>
      <c r="O194" s="6"/>
      <c r="P194" s="6"/>
      <c r="Q194" s="6"/>
      <c r="R194" s="6"/>
      <c r="S194" s="6"/>
      <c r="T194" s="6"/>
      <c r="U194" s="6"/>
      <c r="V194" s="6"/>
      <c r="W194" s="6"/>
      <c r="X194" s="6"/>
      <c r="Y194" s="6"/>
      <c r="Z194" s="6"/>
      <c r="AA194" s="6"/>
      <c r="AB194" s="6"/>
      <c r="AC194" s="6"/>
      <c r="AD194" s="6"/>
    </row>
    <row r="195" ht="21" customHeight="1" spans="1:30">
      <c r="A195" s="40"/>
      <c r="B195" s="6"/>
      <c r="C195" s="6"/>
      <c r="D195" s="6"/>
      <c r="E195" s="6"/>
      <c r="F195" s="40"/>
      <c r="G195" s="40"/>
      <c r="H195" s="40"/>
      <c r="I195" s="6"/>
      <c r="J195" s="6"/>
      <c r="K195" s="6"/>
      <c r="L195" s="6"/>
      <c r="M195" s="6"/>
      <c r="N195" s="6"/>
      <c r="O195" s="6"/>
      <c r="P195" s="6"/>
      <c r="Q195" s="6"/>
      <c r="R195" s="6"/>
      <c r="S195" s="6"/>
      <c r="T195" s="6"/>
      <c r="U195" s="6"/>
      <c r="V195" s="6"/>
      <c r="W195" s="6"/>
      <c r="X195" s="6"/>
      <c r="Y195" s="6"/>
      <c r="Z195" s="6"/>
      <c r="AA195" s="6"/>
      <c r="AB195" s="6"/>
      <c r="AC195" s="6"/>
      <c r="AD195" s="6"/>
    </row>
    <row r="196" ht="21" customHeight="1" spans="1:30">
      <c r="A196" s="40"/>
      <c r="B196" s="6"/>
      <c r="C196" s="6"/>
      <c r="D196" s="6"/>
      <c r="E196" s="6"/>
      <c r="F196" s="40"/>
      <c r="G196" s="40"/>
      <c r="H196" s="40"/>
      <c r="I196" s="6"/>
      <c r="J196" s="6"/>
      <c r="K196" s="6"/>
      <c r="L196" s="6"/>
      <c r="M196" s="6"/>
      <c r="N196" s="6"/>
      <c r="O196" s="6"/>
      <c r="P196" s="6"/>
      <c r="Q196" s="6"/>
      <c r="R196" s="6"/>
      <c r="S196" s="6"/>
      <c r="T196" s="6"/>
      <c r="U196" s="6"/>
      <c r="V196" s="6"/>
      <c r="W196" s="6"/>
      <c r="X196" s="6"/>
      <c r="Y196" s="6"/>
      <c r="Z196" s="6"/>
      <c r="AA196" s="6"/>
      <c r="AB196" s="6"/>
      <c r="AC196" s="6"/>
      <c r="AD196" s="6"/>
    </row>
    <row r="197" ht="21" customHeight="1" spans="1:30">
      <c r="A197" s="40"/>
      <c r="B197" s="6"/>
      <c r="C197" s="6"/>
      <c r="D197" s="6"/>
      <c r="E197" s="6"/>
      <c r="F197" s="40"/>
      <c r="G197" s="40"/>
      <c r="H197" s="40"/>
      <c r="I197" s="6"/>
      <c r="J197" s="6"/>
      <c r="K197" s="6"/>
      <c r="L197" s="6"/>
      <c r="M197" s="6"/>
      <c r="N197" s="6"/>
      <c r="O197" s="6"/>
      <c r="P197" s="6"/>
      <c r="Q197" s="6"/>
      <c r="R197" s="6"/>
      <c r="S197" s="6"/>
      <c r="T197" s="6"/>
      <c r="U197" s="6"/>
      <c r="V197" s="6"/>
      <c r="W197" s="6"/>
      <c r="X197" s="6"/>
      <c r="Y197" s="6"/>
      <c r="Z197" s="6"/>
      <c r="AA197" s="6"/>
      <c r="AB197" s="6"/>
      <c r="AC197" s="6"/>
      <c r="AD197" s="6"/>
    </row>
    <row r="198" ht="21" customHeight="1" spans="1:30">
      <c r="A198" s="40"/>
      <c r="B198" s="6"/>
      <c r="C198" s="6"/>
      <c r="D198" s="6"/>
      <c r="E198" s="6"/>
      <c r="F198" s="40"/>
      <c r="G198" s="40"/>
      <c r="H198" s="40"/>
      <c r="I198" s="6"/>
      <c r="J198" s="6"/>
      <c r="K198" s="6"/>
      <c r="L198" s="6"/>
      <c r="M198" s="6"/>
      <c r="N198" s="6"/>
      <c r="O198" s="6"/>
      <c r="P198" s="6"/>
      <c r="Q198" s="6"/>
      <c r="R198" s="6"/>
      <c r="S198" s="6"/>
      <c r="T198" s="6"/>
      <c r="U198" s="6"/>
      <c r="V198" s="6"/>
      <c r="W198" s="6"/>
      <c r="X198" s="6"/>
      <c r="Y198" s="6"/>
      <c r="Z198" s="6"/>
      <c r="AA198" s="6"/>
      <c r="AB198" s="6"/>
      <c r="AC198" s="6"/>
      <c r="AD198" s="6"/>
    </row>
    <row r="199" ht="21" customHeight="1" spans="1:30">
      <c r="A199" s="40"/>
      <c r="B199" s="6"/>
      <c r="C199" s="6"/>
      <c r="D199" s="6"/>
      <c r="E199" s="6"/>
      <c r="F199" s="40"/>
      <c r="G199" s="40"/>
      <c r="H199" s="40"/>
      <c r="I199" s="6"/>
      <c r="J199" s="6"/>
      <c r="K199" s="6"/>
      <c r="L199" s="6"/>
      <c r="M199" s="6"/>
      <c r="N199" s="6"/>
      <c r="O199" s="6"/>
      <c r="P199" s="6"/>
      <c r="Q199" s="6"/>
      <c r="R199" s="6"/>
      <c r="S199" s="6"/>
      <c r="T199" s="6"/>
      <c r="U199" s="6"/>
      <c r="V199" s="6"/>
      <c r="W199" s="6"/>
      <c r="X199" s="6"/>
      <c r="Y199" s="6"/>
      <c r="Z199" s="6"/>
      <c r="AA199" s="6"/>
      <c r="AB199" s="6"/>
      <c r="AC199" s="6"/>
      <c r="AD199" s="6"/>
    </row>
    <row r="200" ht="21" customHeight="1" spans="1:30">
      <c r="A200" s="40"/>
      <c r="B200" s="6"/>
      <c r="C200" s="6"/>
      <c r="D200" s="6"/>
      <c r="E200" s="6"/>
      <c r="F200" s="40"/>
      <c r="G200" s="40"/>
      <c r="H200" s="40"/>
      <c r="I200" s="6"/>
      <c r="J200" s="6"/>
      <c r="K200" s="6"/>
      <c r="L200" s="6"/>
      <c r="M200" s="6"/>
      <c r="N200" s="6"/>
      <c r="O200" s="6"/>
      <c r="P200" s="6"/>
      <c r="Q200" s="6"/>
      <c r="R200" s="6"/>
      <c r="S200" s="6"/>
      <c r="T200" s="6"/>
      <c r="U200" s="6"/>
      <c r="V200" s="6"/>
      <c r="W200" s="6"/>
      <c r="X200" s="6"/>
      <c r="Y200" s="6"/>
      <c r="Z200" s="6"/>
      <c r="AA200" s="6"/>
      <c r="AB200" s="6"/>
      <c r="AC200" s="6"/>
      <c r="AD200" s="6"/>
    </row>
    <row r="201" ht="21" customHeight="1" spans="1:30">
      <c r="A201" s="40"/>
      <c r="B201" s="6"/>
      <c r="C201" s="6"/>
      <c r="D201" s="6"/>
      <c r="E201" s="6"/>
      <c r="F201" s="40"/>
      <c r="G201" s="40"/>
      <c r="H201" s="40"/>
      <c r="I201" s="6"/>
      <c r="J201" s="6"/>
      <c r="K201" s="6"/>
      <c r="L201" s="6"/>
      <c r="M201" s="6"/>
      <c r="N201" s="6"/>
      <c r="O201" s="6"/>
      <c r="P201" s="6"/>
      <c r="Q201" s="6"/>
      <c r="R201" s="6"/>
      <c r="S201" s="6"/>
      <c r="T201" s="6"/>
      <c r="U201" s="6"/>
      <c r="V201" s="6"/>
      <c r="W201" s="6"/>
      <c r="X201" s="6"/>
      <c r="Y201" s="6"/>
      <c r="Z201" s="6"/>
      <c r="AA201" s="6"/>
      <c r="AB201" s="6"/>
      <c r="AC201" s="6"/>
      <c r="AD201" s="6"/>
    </row>
    <row r="202" ht="21" customHeight="1" spans="1:30">
      <c r="A202" s="40"/>
      <c r="B202" s="6"/>
      <c r="C202" s="6"/>
      <c r="D202" s="6"/>
      <c r="E202" s="6"/>
      <c r="F202" s="40"/>
      <c r="G202" s="40"/>
      <c r="H202" s="40"/>
      <c r="I202" s="6"/>
      <c r="J202" s="6"/>
      <c r="K202" s="6"/>
      <c r="L202" s="6"/>
      <c r="M202" s="6"/>
      <c r="N202" s="6"/>
      <c r="O202" s="6"/>
      <c r="P202" s="6"/>
      <c r="Q202" s="6"/>
      <c r="R202" s="6"/>
      <c r="S202" s="6"/>
      <c r="T202" s="6"/>
      <c r="U202" s="6"/>
      <c r="V202" s="6"/>
      <c r="W202" s="6"/>
      <c r="X202" s="6"/>
      <c r="Y202" s="6"/>
      <c r="Z202" s="6"/>
      <c r="AA202" s="6"/>
      <c r="AB202" s="6"/>
      <c r="AC202" s="6"/>
      <c r="AD202" s="6"/>
    </row>
    <row r="203" ht="14" spans="1:30">
      <c r="C203" s="6"/>
      <c r="F203" s="47"/>
      <c r="G203" s="47"/>
      <c r="H203" s="47"/>
    </row>
    <row r="204" ht="14" spans="1:30">
      <c r="C204" s="6"/>
      <c r="F204" s="47"/>
      <c r="G204" s="47"/>
      <c r="H204" s="47"/>
    </row>
    <row r="205" ht="14" spans="1:30">
      <c r="C205" s="6"/>
      <c r="F205" s="47"/>
      <c r="G205" s="47"/>
      <c r="H205" s="47"/>
    </row>
    <row r="206" ht="14" spans="1:30">
      <c r="C206" s="6"/>
      <c r="F206" s="47"/>
      <c r="G206" s="47"/>
      <c r="H206" s="47"/>
    </row>
    <row r="207" ht="14" spans="1:30">
      <c r="C207" s="6"/>
      <c r="F207" s="47"/>
      <c r="G207" s="47"/>
      <c r="H207" s="47"/>
    </row>
    <row r="208" ht="14" spans="1:30">
      <c r="C208" s="6"/>
      <c r="F208" s="47"/>
      <c r="G208" s="47"/>
      <c r="H208" s="47"/>
    </row>
    <row r="209" ht="14" spans="3:8">
      <c r="C209" s="6"/>
      <c r="F209" s="47"/>
      <c r="G209" s="47"/>
      <c r="H209" s="47"/>
    </row>
    <row r="210" ht="14" spans="3:8">
      <c r="C210" s="6"/>
      <c r="F210" s="47"/>
      <c r="G210" s="47"/>
      <c r="H210" s="47"/>
    </row>
    <row r="211" ht="14" spans="3:8">
      <c r="C211" s="6"/>
      <c r="F211" s="47"/>
      <c r="G211" s="47"/>
      <c r="H211" s="47"/>
    </row>
    <row r="212" ht="14" spans="3:8">
      <c r="C212" s="6"/>
      <c r="F212" s="47"/>
      <c r="G212" s="47"/>
      <c r="H212" s="47"/>
    </row>
    <row r="213" ht="14" spans="3:8">
      <c r="C213" s="6"/>
      <c r="F213" s="47"/>
      <c r="G213" s="47"/>
      <c r="H213" s="47"/>
    </row>
    <row r="214" ht="14" spans="3:8">
      <c r="C214" s="6"/>
      <c r="F214" s="47"/>
      <c r="G214" s="47"/>
      <c r="H214" s="47"/>
    </row>
    <row r="215" ht="14" spans="3:8">
      <c r="C215" s="6"/>
      <c r="F215" s="47"/>
      <c r="G215" s="47"/>
      <c r="H215" s="47"/>
    </row>
    <row r="216" ht="14" spans="3:8">
      <c r="C216" s="6"/>
      <c r="F216" s="47"/>
      <c r="G216" s="47"/>
      <c r="H216" s="47"/>
    </row>
    <row r="217" ht="14" spans="3:8">
      <c r="C217" s="6"/>
      <c r="F217" s="47"/>
      <c r="G217" s="47"/>
      <c r="H217" s="47"/>
    </row>
    <row r="218" ht="14" spans="3:8">
      <c r="C218" s="6"/>
      <c r="F218" s="47"/>
      <c r="G218" s="47"/>
      <c r="H218" s="47"/>
    </row>
    <row r="219" ht="14" spans="3:8">
      <c r="C219" s="6"/>
      <c r="F219" s="47"/>
      <c r="G219" s="47"/>
      <c r="H219" s="47"/>
    </row>
    <row r="220" ht="14" spans="3:8">
      <c r="C220" s="6"/>
      <c r="F220" s="47"/>
      <c r="G220" s="47"/>
      <c r="H220" s="47"/>
    </row>
  </sheetData>
  <mergeCells count="8">
    <mergeCell ref="A24:A28"/>
    <mergeCell ref="B24:B28"/>
    <mergeCell ref="C24:C28"/>
    <mergeCell ref="H24:H28"/>
    <mergeCell ref="I24:I28"/>
    <mergeCell ref="J24:J28"/>
    <mergeCell ref="L24:L28"/>
    <mergeCell ref="M24:M28"/>
  </mergeCells>
  <dataValidations count="6">
    <dataValidation type="date" operator="between" showInputMessage="1" showErrorMessage="1" sqref="N6:O6 N8:O8 B2:B24 B29:B32"/>
    <dataValidation type="list" allowBlank="1" showInputMessage="1" showErrorMessage="1" sqref="H24 F2:H23 F29:H220">
      <formula1>"汇付,新生,易宝,中行,"</formula1>
    </dataValidation>
    <dataValidation type="list" allowBlank="1" showInputMessage="1" showErrorMessage="1" sqref="A$1:A$1048576">
      <formula1>"李凯,戈燕,李源,陈一涵,蔡丽娜,王伊丽,"</formula1>
    </dataValidation>
    <dataValidation type="list" allowBlank="1" showInputMessage="1" showErrorMessage="1" sqref="C$1:C$1048576">
      <formula1>"B2B,电商,服贸,汇兑,机构客户,KYC,"</formula1>
    </dataValidation>
    <dataValidation type="list" showInputMessage="1" showErrorMessage="1" sqref="E2:E3 E5:E7 E17:E20">
      <formula1>"汇付,新生,"</formula1>
    </dataValidation>
    <dataValidation type="list" showInputMessage="1" showErrorMessage="1" sqref="J2:J24 J29:J32">
      <formula1>"目前状态,待处理,已完成,等待材料,不处理了,"</formula1>
    </dataValidation>
  </dataValidations>
  <hyperlinks>
    <hyperlink ref="K3" r:id="rId1" display="解密后.xls"/>
    <hyperlink ref="E29" r:id="rId2" display="中行调单对应关系整理"/>
    <hyperlink ref="E31" r:id="rId3" display="易宝调单关系梳理"/>
    <hyperlink ref="E32" r:id="rId4" display="中行调单对应关系整理"/>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警方协查">
    <tabColor rgb="FFFFFFFF"/>
  </sheetPr>
  <dimension ref="A1:AM316"/>
  <sheetViews>
    <sheetView workbookViewId="0">
      <pane ySplit="1" topLeftCell="A2" activePane="bottomLeft" state="frozen"/>
      <selection/>
      <selection pane="bottomLeft" activeCell="A1" sqref="A1"/>
    </sheetView>
  </sheetViews>
  <sheetFormatPr defaultColWidth="9.81818181818182" defaultRowHeight="16.5"/>
  <cols>
    <col min="1" max="1" width="11.1909090909091" style="48" customWidth="1"/>
    <col min="2" max="2" width="13.3545454545455" style="10" customWidth="1"/>
    <col min="3" max="3" width="13.7545454545455" style="49" customWidth="1"/>
    <col min="4" max="4" width="35.4727272727273" style="10" customWidth="1"/>
    <col min="5" max="5" width="16.8636363636364" style="100" customWidth="1"/>
    <col min="6" max="6" width="12.6818181818182" style="100" customWidth="1"/>
    <col min="7" max="7" width="27.5090909090909" style="48" customWidth="1"/>
    <col min="8" max="8" width="20.0909090909091" style="48" customWidth="1"/>
    <col min="9" max="9" width="26.5727272727273" style="48" customWidth="1"/>
    <col min="10" max="10" width="24.8272727272727" style="48" customWidth="1"/>
    <col min="11" max="12" width="13.3545454545455" style="48" customWidth="1"/>
    <col min="13" max="13" width="20.2363636363636" style="48" customWidth="1"/>
    <col min="14" max="14" width="11.8727272727273" style="48" customWidth="1"/>
    <col min="15" max="15" width="38.0272727272727" style="48" customWidth="1"/>
    <col min="16" max="16" width="19.5545454545455" style="61" customWidth="1"/>
    <col min="17" max="17" width="26.0272727272727" style="48" customWidth="1"/>
    <col min="18" max="18" width="35.0727272727273" style="10" customWidth="1"/>
    <col min="19" max="20" width="13.3545454545455" style="10" customWidth="1"/>
    <col min="21" max="21" width="29.6727272727273" style="10" customWidth="1"/>
    <col min="22" max="39" width="13.6181818181818" style="10" customWidth="1"/>
  </cols>
  <sheetData>
    <row r="1" ht="22.5" customHeight="1" spans="1:39">
      <c r="A1" s="2" t="s">
        <v>56</v>
      </c>
      <c r="B1" s="101" t="s">
        <v>57</v>
      </c>
      <c r="C1" s="3" t="s">
        <v>58</v>
      </c>
      <c r="D1" s="101" t="s">
        <v>3489</v>
      </c>
      <c r="E1" s="101" t="s">
        <v>60</v>
      </c>
      <c r="F1" s="3" t="s">
        <v>59</v>
      </c>
      <c r="G1" s="101" t="s">
        <v>3490</v>
      </c>
      <c r="H1" s="101" t="s">
        <v>64</v>
      </c>
      <c r="I1" s="101" t="s">
        <v>3491</v>
      </c>
      <c r="J1" s="102" t="s">
        <v>3492</v>
      </c>
      <c r="K1" s="101" t="s">
        <v>2766</v>
      </c>
      <c r="L1" s="101" t="s">
        <v>3493</v>
      </c>
      <c r="M1" s="101" t="s">
        <v>3494</v>
      </c>
      <c r="N1" s="101" t="s">
        <v>3495</v>
      </c>
      <c r="O1" s="101" t="s">
        <v>3496</v>
      </c>
      <c r="P1" s="101" t="s">
        <v>3497</v>
      </c>
      <c r="Q1" s="101" t="s">
        <v>70</v>
      </c>
      <c r="R1" s="101" t="s">
        <v>69</v>
      </c>
      <c r="S1" s="101" t="s">
        <v>3498</v>
      </c>
      <c r="T1" s="101" t="s">
        <v>3499</v>
      </c>
      <c r="U1" s="101" t="s">
        <v>71</v>
      </c>
      <c r="V1" s="57" t="s">
        <v>72</v>
      </c>
      <c r="W1" s="57" t="s">
        <v>73</v>
      </c>
      <c r="X1" s="57" t="s">
        <v>74</v>
      </c>
      <c r="Y1" s="57" t="s">
        <v>75</v>
      </c>
      <c r="Z1" s="103"/>
      <c r="AA1" s="103"/>
      <c r="AB1" s="103"/>
      <c r="AC1" s="103"/>
      <c r="AD1" s="103"/>
      <c r="AE1" s="103"/>
      <c r="AF1" s="103"/>
      <c r="AG1" s="103"/>
      <c r="AH1" s="103"/>
      <c r="AI1" s="103"/>
      <c r="AJ1" s="103"/>
      <c r="AK1" s="103"/>
      <c r="AL1" s="103"/>
      <c r="AM1" s="103"/>
    </row>
    <row r="2" ht="30" customHeight="1" spans="1:39">
      <c r="A2" s="6" t="s">
        <v>78</v>
      </c>
      <c r="B2" s="7">
        <v>45602</v>
      </c>
      <c r="C2" s="6" t="str">
        <f t="shared" ref="C2:C8" si="0">YEAR(B2)&amp;"年"&amp;MONTH(B2)&amp;"月"</f>
        <v>2024年11月</v>
      </c>
      <c r="D2" s="6" t="s">
        <v>3500</v>
      </c>
      <c r="E2" s="40" t="s">
        <v>40</v>
      </c>
      <c r="F2" s="6" t="s">
        <v>10</v>
      </c>
      <c r="G2" s="95" t="s">
        <v>3501</v>
      </c>
      <c r="H2" s="104" t="s">
        <v>82</v>
      </c>
      <c r="I2" s="95" t="s">
        <v>3502</v>
      </c>
      <c r="J2" s="68" t="s">
        <v>3503</v>
      </c>
      <c r="K2" s="61"/>
      <c r="L2" s="61"/>
      <c r="M2" s="61"/>
      <c r="N2" s="61"/>
      <c r="O2" s="61">
        <v>51230815</v>
      </c>
      <c r="Q2" s="61" t="s">
        <v>85</v>
      </c>
      <c r="R2" s="6" t="s">
        <v>3504</v>
      </c>
      <c r="S2" s="6" t="s">
        <v>3505</v>
      </c>
      <c r="T2" s="6" t="s">
        <v>3506</v>
      </c>
      <c r="U2" s="6"/>
      <c r="V2" s="6" t="s">
        <v>3507</v>
      </c>
      <c r="W2" s="6"/>
      <c r="X2" s="6"/>
      <c r="Y2" s="6"/>
      <c r="Z2" s="6"/>
      <c r="AA2" s="6"/>
      <c r="AB2" s="6"/>
      <c r="AC2" s="6"/>
      <c r="AD2" s="6"/>
      <c r="AE2" s="6"/>
      <c r="AF2" s="6"/>
      <c r="AG2" s="6"/>
      <c r="AH2" s="6"/>
      <c r="AI2" s="6"/>
      <c r="AJ2" s="6"/>
      <c r="AK2" s="6"/>
      <c r="AL2" s="6"/>
      <c r="AM2" s="6"/>
    </row>
    <row r="3" ht="30" customHeight="1" spans="1:39">
      <c r="A3" s="6" t="s">
        <v>78</v>
      </c>
      <c r="B3" s="7">
        <v>45607</v>
      </c>
      <c r="C3" s="6" t="str">
        <f t="shared" si="0"/>
        <v>2024年11月</v>
      </c>
      <c r="D3" s="6" t="s">
        <v>3508</v>
      </c>
      <c r="E3" s="40"/>
      <c r="F3" s="6" t="s">
        <v>10</v>
      </c>
      <c r="G3" s="61"/>
      <c r="H3" s="104" t="s">
        <v>82</v>
      </c>
      <c r="I3" s="61"/>
      <c r="J3" s="61"/>
      <c r="K3" s="61"/>
      <c r="L3" s="61"/>
      <c r="M3" s="61"/>
      <c r="N3" s="61"/>
      <c r="O3" s="61"/>
      <c r="Q3" s="61"/>
      <c r="R3" s="6"/>
      <c r="S3" s="6" t="s">
        <v>3505</v>
      </c>
      <c r="T3" s="6" t="s">
        <v>3506</v>
      </c>
      <c r="U3" s="6"/>
      <c r="V3" s="6"/>
      <c r="W3" s="6"/>
      <c r="X3" s="6"/>
      <c r="Y3" s="6"/>
      <c r="Z3" s="6"/>
      <c r="AA3" s="6"/>
      <c r="AB3" s="6"/>
      <c r="AC3" s="6"/>
      <c r="AD3" s="6"/>
      <c r="AE3" s="6"/>
      <c r="AF3" s="6"/>
      <c r="AG3" s="6"/>
      <c r="AH3" s="6"/>
      <c r="AI3" s="6"/>
      <c r="AJ3" s="6"/>
      <c r="AK3" s="6"/>
      <c r="AL3" s="6"/>
      <c r="AM3" s="6"/>
    </row>
    <row r="4" ht="30" customHeight="1" spans="1:39">
      <c r="A4" s="6" t="s">
        <v>78</v>
      </c>
      <c r="B4" s="7">
        <v>45615</v>
      </c>
      <c r="C4" s="6" t="str">
        <f t="shared" si="0"/>
        <v>2024年11月</v>
      </c>
      <c r="D4" s="6" t="s">
        <v>3509</v>
      </c>
      <c r="E4" s="40" t="s">
        <v>40</v>
      </c>
      <c r="F4" s="6" t="s">
        <v>10</v>
      </c>
      <c r="G4" s="95" t="s">
        <v>3510</v>
      </c>
      <c r="H4" s="104" t="s">
        <v>82</v>
      </c>
      <c r="I4" s="95" t="s">
        <v>3511</v>
      </c>
      <c r="J4" s="68" t="s">
        <v>3512</v>
      </c>
      <c r="K4" s="61"/>
      <c r="L4" s="61"/>
      <c r="M4" s="61"/>
      <c r="N4" s="61"/>
      <c r="O4" s="61" t="s">
        <v>3513</v>
      </c>
      <c r="Q4" s="61" t="s">
        <v>120</v>
      </c>
      <c r="R4" s="6" t="s">
        <v>3514</v>
      </c>
      <c r="S4" s="6" t="s">
        <v>3505</v>
      </c>
      <c r="T4" s="6" t="s">
        <v>3506</v>
      </c>
      <c r="U4" s="6"/>
      <c r="V4" s="6"/>
      <c r="W4" s="6"/>
      <c r="X4" s="6"/>
      <c r="Y4" s="6"/>
      <c r="Z4" s="6"/>
      <c r="AA4" s="6"/>
      <c r="AB4" s="6"/>
      <c r="AC4" s="6"/>
      <c r="AD4" s="6"/>
      <c r="AE4" s="6"/>
      <c r="AF4" s="6"/>
      <c r="AG4" s="6"/>
      <c r="AH4" s="6"/>
      <c r="AI4" s="6"/>
      <c r="AJ4" s="6"/>
      <c r="AK4" s="6"/>
      <c r="AL4" s="6"/>
      <c r="AM4" s="6"/>
    </row>
    <row r="5" ht="30" customHeight="1" spans="1:39">
      <c r="A5" s="6" t="s">
        <v>78</v>
      </c>
      <c r="B5" s="7">
        <v>45665</v>
      </c>
      <c r="C5" s="6" t="str">
        <f t="shared" si="0"/>
        <v>2025年1月</v>
      </c>
      <c r="D5" s="6" t="s">
        <v>3515</v>
      </c>
      <c r="E5" s="40" t="s">
        <v>40</v>
      </c>
      <c r="F5" s="6" t="s">
        <v>10</v>
      </c>
      <c r="G5" s="95" t="s">
        <v>3516</v>
      </c>
      <c r="H5" s="104" t="s">
        <v>82</v>
      </c>
      <c r="I5" s="61" t="s">
        <v>3517</v>
      </c>
      <c r="J5" s="68" t="s">
        <v>3518</v>
      </c>
      <c r="K5" s="61"/>
      <c r="L5" s="61"/>
      <c r="M5" s="61">
        <v>13.3</v>
      </c>
      <c r="N5" s="61" t="s">
        <v>139</v>
      </c>
      <c r="O5" s="61" t="s">
        <v>3519</v>
      </c>
      <c r="P5" s="61" t="s">
        <v>3520</v>
      </c>
      <c r="Q5" s="61" t="s">
        <v>89</v>
      </c>
      <c r="R5" s="6" t="s">
        <v>3514</v>
      </c>
      <c r="S5" s="6" t="s">
        <v>3505</v>
      </c>
      <c r="T5" s="6" t="s">
        <v>3506</v>
      </c>
      <c r="U5" s="6"/>
      <c r="V5" s="6"/>
      <c r="W5" s="6"/>
      <c r="X5" s="6"/>
      <c r="Y5" s="6"/>
      <c r="Z5" s="6"/>
      <c r="AA5" s="6"/>
      <c r="AB5" s="6"/>
      <c r="AC5" s="6"/>
      <c r="AD5" s="6"/>
      <c r="AE5" s="6"/>
      <c r="AF5" s="6"/>
      <c r="AG5" s="6"/>
      <c r="AH5" s="6"/>
      <c r="AI5" s="6"/>
      <c r="AJ5" s="6"/>
      <c r="AK5" s="6"/>
      <c r="AL5" s="6"/>
      <c r="AM5" s="6"/>
    </row>
    <row r="6" ht="30" customHeight="1" spans="1:39">
      <c r="A6" s="6" t="s">
        <v>78</v>
      </c>
      <c r="B6" s="7">
        <v>45677</v>
      </c>
      <c r="C6" s="6" t="str">
        <f t="shared" si="0"/>
        <v>2025年1月</v>
      </c>
      <c r="D6" s="6" t="s">
        <v>3521</v>
      </c>
      <c r="E6" s="40" t="s">
        <v>40</v>
      </c>
      <c r="F6" s="6" t="s">
        <v>10</v>
      </c>
      <c r="G6" s="95" t="s">
        <v>3522</v>
      </c>
      <c r="H6" s="104" t="s">
        <v>82</v>
      </c>
      <c r="I6" s="95" t="s">
        <v>3523</v>
      </c>
      <c r="J6" s="68" t="s">
        <v>3524</v>
      </c>
      <c r="K6" s="61"/>
      <c r="L6" s="61"/>
      <c r="M6" s="61" t="s">
        <v>2232</v>
      </c>
      <c r="N6" s="61" t="s">
        <v>2232</v>
      </c>
      <c r="O6" s="61" t="s">
        <v>3525</v>
      </c>
      <c r="P6" s="61" t="s">
        <v>3526</v>
      </c>
      <c r="Q6" s="95" t="s">
        <v>194</v>
      </c>
      <c r="R6" s="6" t="s">
        <v>3514</v>
      </c>
      <c r="S6" s="6" t="s">
        <v>3505</v>
      </c>
      <c r="T6" s="6" t="s">
        <v>3506</v>
      </c>
      <c r="U6" s="6" t="s">
        <v>3527</v>
      </c>
      <c r="V6" s="6"/>
      <c r="W6" s="6"/>
      <c r="X6" s="6"/>
      <c r="Y6" s="6"/>
      <c r="Z6" s="6"/>
      <c r="AA6" s="6"/>
      <c r="AB6" s="6"/>
      <c r="AC6" s="6"/>
      <c r="AD6" s="6"/>
      <c r="AE6" s="6"/>
      <c r="AF6" s="6"/>
      <c r="AG6" s="6"/>
      <c r="AH6" s="6"/>
      <c r="AI6" s="6"/>
      <c r="AJ6" s="6"/>
      <c r="AK6" s="6"/>
      <c r="AL6" s="6"/>
      <c r="AM6" s="6"/>
    </row>
    <row r="7" ht="30" customHeight="1" spans="1:39">
      <c r="A7" s="6" t="s">
        <v>78</v>
      </c>
      <c r="B7" s="7">
        <v>45678</v>
      </c>
      <c r="C7" s="6" t="str">
        <f t="shared" si="0"/>
        <v>2025年1月</v>
      </c>
      <c r="D7" s="6" t="s">
        <v>3528</v>
      </c>
      <c r="E7" s="40" t="s">
        <v>40</v>
      </c>
      <c r="F7" s="6" t="s">
        <v>10</v>
      </c>
      <c r="G7" s="95" t="s">
        <v>3529</v>
      </c>
      <c r="H7" s="104" t="s">
        <v>82</v>
      </c>
      <c r="I7" s="95" t="s">
        <v>3530</v>
      </c>
      <c r="J7" s="68" t="s">
        <v>3531</v>
      </c>
      <c r="K7" s="61"/>
      <c r="L7" s="61"/>
      <c r="M7" s="61" t="s">
        <v>2232</v>
      </c>
      <c r="N7" s="61" t="s">
        <v>2232</v>
      </c>
      <c r="O7" s="61" t="s">
        <v>3532</v>
      </c>
      <c r="P7" s="61" t="s">
        <v>3520</v>
      </c>
      <c r="Q7" s="61" t="s">
        <v>261</v>
      </c>
      <c r="R7" s="6" t="s">
        <v>3504</v>
      </c>
      <c r="S7" s="6" t="s">
        <v>3505</v>
      </c>
      <c r="T7" s="6" t="s">
        <v>3506</v>
      </c>
      <c r="U7" s="6"/>
      <c r="V7" s="6"/>
      <c r="W7" s="6"/>
      <c r="X7" s="6"/>
      <c r="Y7" s="6"/>
      <c r="Z7" s="6"/>
      <c r="AA7" s="6"/>
      <c r="AB7" s="6"/>
      <c r="AC7" s="6"/>
      <c r="AD7" s="6"/>
      <c r="AE7" s="6"/>
      <c r="AF7" s="6"/>
      <c r="AG7" s="6"/>
      <c r="AH7" s="6"/>
      <c r="AI7" s="6"/>
      <c r="AJ7" s="6"/>
      <c r="AK7" s="6"/>
      <c r="AL7" s="6"/>
      <c r="AM7" s="6"/>
    </row>
    <row r="8" ht="30" customHeight="1" spans="1:39">
      <c r="A8" s="6" t="s">
        <v>78</v>
      </c>
      <c r="B8" s="7">
        <v>45678</v>
      </c>
      <c r="C8" s="6" t="str">
        <f t="shared" si="0"/>
        <v>2025年1月</v>
      </c>
      <c r="D8" s="6" t="s">
        <v>3533</v>
      </c>
      <c r="E8" s="40" t="s">
        <v>40</v>
      </c>
      <c r="F8" s="6" t="s">
        <v>10</v>
      </c>
      <c r="G8" s="95" t="s">
        <v>3534</v>
      </c>
      <c r="H8" s="104" t="s">
        <v>82</v>
      </c>
      <c r="I8" s="95" t="s">
        <v>3535</v>
      </c>
      <c r="J8" s="68" t="s">
        <v>3536</v>
      </c>
      <c r="K8" s="61"/>
      <c r="L8" s="61"/>
      <c r="M8" s="61" t="s">
        <v>2232</v>
      </c>
      <c r="N8" s="61" t="s">
        <v>2232</v>
      </c>
      <c r="O8" s="61" t="s">
        <v>3537</v>
      </c>
      <c r="P8" s="61" t="s">
        <v>3526</v>
      </c>
      <c r="Q8" s="61" t="s">
        <v>136</v>
      </c>
      <c r="R8" s="6" t="s">
        <v>3514</v>
      </c>
      <c r="S8" s="6" t="s">
        <v>3505</v>
      </c>
      <c r="T8" s="6" t="s">
        <v>3506</v>
      </c>
      <c r="U8" s="6"/>
      <c r="V8" s="6"/>
      <c r="W8" s="6"/>
      <c r="X8" s="6"/>
      <c r="Y8" s="6"/>
      <c r="Z8" s="6"/>
      <c r="AA8" s="6"/>
      <c r="AB8" s="6"/>
      <c r="AC8" s="6"/>
      <c r="AD8" s="6"/>
      <c r="AE8" s="6"/>
      <c r="AF8" s="6"/>
      <c r="AG8" s="6"/>
      <c r="AH8" s="6"/>
      <c r="AI8" s="6"/>
      <c r="AJ8" s="6"/>
      <c r="AK8" s="6"/>
      <c r="AL8" s="6"/>
      <c r="AM8" s="6"/>
    </row>
    <row r="9" ht="30" customHeight="1" spans="1:39">
      <c r="A9" s="6" t="s">
        <v>78</v>
      </c>
      <c r="C9" s="10"/>
      <c r="E9" s="40" t="s">
        <v>40</v>
      </c>
      <c r="F9" s="6" t="s">
        <v>10</v>
      </c>
      <c r="G9" s="95" t="s">
        <v>3534</v>
      </c>
      <c r="H9" s="104" t="s">
        <v>82</v>
      </c>
      <c r="I9" s="95" t="s">
        <v>3535</v>
      </c>
      <c r="J9" s="68" t="s">
        <v>3538</v>
      </c>
      <c r="K9" s="61"/>
      <c r="L9" s="61"/>
      <c r="M9" s="10"/>
      <c r="N9" s="10"/>
      <c r="O9" s="61" t="s">
        <v>3539</v>
      </c>
      <c r="P9" s="61" t="s">
        <v>3526</v>
      </c>
      <c r="Q9" s="10"/>
      <c r="S9" s="6" t="s">
        <v>3505</v>
      </c>
      <c r="T9" s="6" t="s">
        <v>3506</v>
      </c>
      <c r="U9" s="6"/>
      <c r="V9" s="6"/>
      <c r="W9" s="6"/>
      <c r="X9" s="6"/>
      <c r="Y9" s="6"/>
      <c r="Z9" s="6"/>
      <c r="AA9" s="6"/>
      <c r="AB9" s="6"/>
      <c r="AC9" s="6"/>
      <c r="AD9" s="6"/>
      <c r="AE9" s="6"/>
      <c r="AF9" s="6"/>
      <c r="AG9" s="6"/>
      <c r="AH9" s="6"/>
      <c r="AI9" s="6"/>
      <c r="AJ9" s="6"/>
      <c r="AK9" s="6"/>
      <c r="AL9" s="6"/>
      <c r="AM9" s="6"/>
    </row>
    <row r="10" ht="30" customHeight="1" spans="1:39">
      <c r="A10" s="6" t="s">
        <v>78</v>
      </c>
      <c r="C10" s="10"/>
      <c r="E10" s="40" t="s">
        <v>40</v>
      </c>
      <c r="F10" s="6" t="s">
        <v>10</v>
      </c>
      <c r="G10" s="95" t="s">
        <v>3540</v>
      </c>
      <c r="H10" s="104" t="s">
        <v>82</v>
      </c>
      <c r="I10" s="95" t="s">
        <v>3541</v>
      </c>
      <c r="J10" s="68" t="s">
        <v>3542</v>
      </c>
      <c r="K10" s="61"/>
      <c r="L10" s="61"/>
      <c r="M10" s="10"/>
      <c r="N10" s="10"/>
      <c r="O10" s="61" t="s">
        <v>3543</v>
      </c>
      <c r="P10" s="61" t="s">
        <v>3544</v>
      </c>
      <c r="Q10" s="61" t="s">
        <v>85</v>
      </c>
      <c r="S10" s="6" t="s">
        <v>3545</v>
      </c>
      <c r="T10" s="6" t="s">
        <v>3506</v>
      </c>
      <c r="U10" s="6"/>
      <c r="V10" s="6"/>
      <c r="W10" s="6"/>
      <c r="X10" s="6"/>
      <c r="Y10" s="6"/>
      <c r="Z10" s="6"/>
      <c r="AA10" s="6"/>
      <c r="AB10" s="6"/>
      <c r="AC10" s="6"/>
      <c r="AD10" s="6"/>
      <c r="AE10" s="6"/>
      <c r="AF10" s="6"/>
      <c r="AG10" s="6"/>
      <c r="AH10" s="6"/>
      <c r="AI10" s="6"/>
      <c r="AJ10" s="6"/>
      <c r="AK10" s="6"/>
      <c r="AL10" s="6"/>
      <c r="AM10" s="6"/>
    </row>
    <row r="11" ht="30" customHeight="1" spans="1:39">
      <c r="A11" s="6" t="s">
        <v>78</v>
      </c>
      <c r="C11" s="10"/>
      <c r="E11" s="40" t="s">
        <v>40</v>
      </c>
      <c r="F11" s="6" t="s">
        <v>10</v>
      </c>
      <c r="G11" s="95" t="s">
        <v>3540</v>
      </c>
      <c r="H11" s="104" t="s">
        <v>82</v>
      </c>
      <c r="I11" s="95" t="s">
        <v>3541</v>
      </c>
      <c r="J11" s="68" t="s">
        <v>3546</v>
      </c>
      <c r="K11" s="61"/>
      <c r="L11" s="61"/>
      <c r="M11" s="10"/>
      <c r="N11" s="10"/>
      <c r="O11" s="61" t="s">
        <v>3547</v>
      </c>
      <c r="P11" s="61" t="s">
        <v>3544</v>
      </c>
      <c r="Q11" s="10"/>
      <c r="S11" s="6" t="s">
        <v>3545</v>
      </c>
      <c r="T11" s="6" t="s">
        <v>3506</v>
      </c>
      <c r="U11" s="6"/>
      <c r="V11" s="6"/>
      <c r="W11" s="6"/>
      <c r="X11" s="6"/>
      <c r="Y11" s="6"/>
      <c r="Z11" s="6"/>
      <c r="AA11" s="6"/>
      <c r="AB11" s="6"/>
      <c r="AC11" s="6"/>
      <c r="AD11" s="6"/>
      <c r="AE11" s="6"/>
      <c r="AF11" s="6"/>
      <c r="AG11" s="6"/>
      <c r="AH11" s="6"/>
      <c r="AI11" s="6"/>
      <c r="AJ11" s="6"/>
      <c r="AK11" s="6"/>
      <c r="AL11" s="6"/>
      <c r="AM11" s="6"/>
    </row>
    <row r="12" ht="30" customHeight="1" spans="1:39">
      <c r="A12" s="6" t="s">
        <v>78</v>
      </c>
      <c r="C12" s="10"/>
      <c r="E12" s="40" t="s">
        <v>40</v>
      </c>
      <c r="F12" s="6" t="s">
        <v>10</v>
      </c>
      <c r="G12" s="95" t="s">
        <v>3540</v>
      </c>
      <c r="H12" s="104" t="s">
        <v>82</v>
      </c>
      <c r="I12" s="95" t="s">
        <v>3541</v>
      </c>
      <c r="J12" s="68" t="s">
        <v>3548</v>
      </c>
      <c r="K12" s="61"/>
      <c r="L12" s="61"/>
      <c r="M12" s="10"/>
      <c r="N12" s="10"/>
      <c r="O12" s="61" t="s">
        <v>3549</v>
      </c>
      <c r="P12" s="61" t="s">
        <v>3544</v>
      </c>
      <c r="Q12" s="10"/>
      <c r="S12" s="6" t="s">
        <v>3545</v>
      </c>
      <c r="T12" s="6" t="s">
        <v>3506</v>
      </c>
      <c r="U12" s="6"/>
      <c r="V12" s="6"/>
      <c r="W12" s="6"/>
      <c r="X12" s="6"/>
      <c r="Y12" s="6"/>
      <c r="Z12" s="6"/>
      <c r="AA12" s="6"/>
      <c r="AB12" s="6"/>
      <c r="AC12" s="6"/>
      <c r="AD12" s="6"/>
      <c r="AE12" s="6"/>
      <c r="AF12" s="6"/>
      <c r="AG12" s="6"/>
      <c r="AH12" s="6"/>
      <c r="AI12" s="6"/>
      <c r="AJ12" s="6"/>
      <c r="AK12" s="6"/>
      <c r="AL12" s="6"/>
      <c r="AM12" s="6"/>
    </row>
    <row r="13" ht="30" customHeight="1" spans="1:39">
      <c r="A13" s="6" t="s">
        <v>78</v>
      </c>
      <c r="C13" s="10"/>
      <c r="E13" s="40" t="s">
        <v>40</v>
      </c>
      <c r="F13" s="6" t="s">
        <v>10</v>
      </c>
      <c r="G13" s="95" t="s">
        <v>3540</v>
      </c>
      <c r="H13" s="104" t="s">
        <v>82</v>
      </c>
      <c r="I13" s="95" t="s">
        <v>3541</v>
      </c>
      <c r="J13" s="68" t="s">
        <v>3550</v>
      </c>
      <c r="K13" s="61"/>
      <c r="L13" s="61"/>
      <c r="M13" s="10"/>
      <c r="N13" s="10"/>
      <c r="O13" s="61" t="s">
        <v>3551</v>
      </c>
      <c r="P13" s="61" t="s">
        <v>3544</v>
      </c>
      <c r="Q13" s="10"/>
      <c r="S13" s="6" t="s">
        <v>3545</v>
      </c>
      <c r="T13" s="6" t="s">
        <v>3506</v>
      </c>
      <c r="U13" s="6"/>
      <c r="V13" s="6"/>
      <c r="W13" s="6"/>
      <c r="X13" s="6"/>
      <c r="Y13" s="6"/>
      <c r="Z13" s="6"/>
      <c r="AA13" s="6"/>
      <c r="AB13" s="6"/>
      <c r="AC13" s="6"/>
      <c r="AD13" s="6"/>
      <c r="AE13" s="6"/>
      <c r="AF13" s="6"/>
      <c r="AG13" s="6"/>
      <c r="AH13" s="6"/>
      <c r="AI13" s="6"/>
      <c r="AJ13" s="6"/>
      <c r="AK13" s="6"/>
      <c r="AL13" s="6"/>
      <c r="AM13" s="6"/>
    </row>
    <row r="14" ht="30" customHeight="1" spans="1:39">
      <c r="A14" s="6" t="s">
        <v>78</v>
      </c>
      <c r="C14" s="10"/>
      <c r="E14" s="40" t="s">
        <v>40</v>
      </c>
      <c r="F14" s="6" t="s">
        <v>10</v>
      </c>
      <c r="G14" s="95" t="s">
        <v>3540</v>
      </c>
      <c r="H14" s="104" t="s">
        <v>82</v>
      </c>
      <c r="I14" s="95" t="s">
        <v>3541</v>
      </c>
      <c r="J14" s="68" t="s">
        <v>3552</v>
      </c>
      <c r="K14" s="61"/>
      <c r="L14" s="61"/>
      <c r="M14" s="10"/>
      <c r="N14" s="10"/>
      <c r="O14" s="61" t="s">
        <v>3553</v>
      </c>
      <c r="P14" s="61" t="s">
        <v>3544</v>
      </c>
      <c r="Q14" s="10"/>
      <c r="S14" s="6" t="s">
        <v>3505</v>
      </c>
      <c r="T14" s="6" t="s">
        <v>3506</v>
      </c>
      <c r="U14" s="6"/>
      <c r="V14" s="6"/>
      <c r="W14" s="6"/>
      <c r="X14" s="6"/>
      <c r="Y14" s="6"/>
      <c r="Z14" s="6"/>
      <c r="AA14" s="6"/>
      <c r="AB14" s="6"/>
      <c r="AC14" s="6"/>
      <c r="AD14" s="6"/>
      <c r="AE14" s="6"/>
      <c r="AF14" s="6"/>
      <c r="AG14" s="6"/>
      <c r="AH14" s="6"/>
      <c r="AI14" s="6"/>
      <c r="AJ14" s="6"/>
      <c r="AK14" s="6"/>
      <c r="AL14" s="6"/>
      <c r="AM14" s="6"/>
    </row>
    <row r="15" ht="30" customHeight="1" spans="1:39">
      <c r="A15" s="6" t="s">
        <v>78</v>
      </c>
      <c r="C15" s="10"/>
      <c r="E15" s="40" t="s">
        <v>40</v>
      </c>
      <c r="F15" s="6" t="s">
        <v>10</v>
      </c>
      <c r="G15" s="95" t="s">
        <v>3554</v>
      </c>
      <c r="H15" s="104" t="s">
        <v>82</v>
      </c>
      <c r="I15" s="95" t="s">
        <v>3523</v>
      </c>
      <c r="J15" s="68" t="s">
        <v>3555</v>
      </c>
      <c r="K15" s="61"/>
      <c r="L15" s="61"/>
      <c r="M15" s="10"/>
      <c r="N15" s="10"/>
      <c r="O15" s="61" t="s">
        <v>3556</v>
      </c>
      <c r="P15" s="61" t="s">
        <v>3520</v>
      </c>
      <c r="Q15" s="61" t="s">
        <v>111</v>
      </c>
      <c r="S15" s="6" t="s">
        <v>3505</v>
      </c>
      <c r="T15" s="6" t="s">
        <v>3557</v>
      </c>
      <c r="U15" s="6" t="s">
        <v>3558</v>
      </c>
      <c r="V15" s="6"/>
      <c r="W15" s="6"/>
      <c r="X15" s="6"/>
      <c r="Y15" s="6"/>
      <c r="Z15" s="6"/>
      <c r="AA15" s="6"/>
      <c r="AB15" s="6"/>
      <c r="AC15" s="6"/>
      <c r="AD15" s="6"/>
      <c r="AE15" s="6"/>
      <c r="AF15" s="6"/>
      <c r="AG15" s="6"/>
      <c r="AH15" s="6"/>
      <c r="AI15" s="6"/>
      <c r="AJ15" s="6"/>
      <c r="AK15" s="6"/>
      <c r="AL15" s="6"/>
      <c r="AM15" s="6"/>
    </row>
    <row r="16" ht="30" customHeight="1" spans="1:39">
      <c r="A16" s="6" t="s">
        <v>78</v>
      </c>
      <c r="C16" s="10"/>
      <c r="E16" s="40" t="s">
        <v>40</v>
      </c>
      <c r="F16" s="6" t="s">
        <v>10</v>
      </c>
      <c r="G16" s="95" t="s">
        <v>3554</v>
      </c>
      <c r="H16" s="104" t="s">
        <v>82</v>
      </c>
      <c r="I16" s="95" t="s">
        <v>3523</v>
      </c>
      <c r="J16" s="68" t="s">
        <v>3559</v>
      </c>
      <c r="K16" s="61"/>
      <c r="L16" s="61"/>
      <c r="M16" s="10"/>
      <c r="N16" s="10"/>
      <c r="O16" s="61" t="s">
        <v>3560</v>
      </c>
      <c r="P16" s="61" t="s">
        <v>3520</v>
      </c>
      <c r="Q16" s="10"/>
      <c r="S16" s="6" t="s">
        <v>3505</v>
      </c>
      <c r="T16" s="6" t="s">
        <v>3557</v>
      </c>
      <c r="V16" s="6"/>
      <c r="W16" s="6"/>
      <c r="X16" s="6"/>
      <c r="Y16" s="6"/>
      <c r="Z16" s="6"/>
      <c r="AA16" s="6"/>
      <c r="AB16" s="6"/>
      <c r="AC16" s="6"/>
      <c r="AD16" s="6"/>
      <c r="AE16" s="6"/>
      <c r="AF16" s="6"/>
      <c r="AG16" s="6"/>
      <c r="AH16" s="6"/>
      <c r="AI16" s="6"/>
      <c r="AJ16" s="6"/>
      <c r="AK16" s="6"/>
      <c r="AL16" s="6"/>
      <c r="AM16" s="6"/>
    </row>
    <row r="17" ht="30" customHeight="1" spans="1:39">
      <c r="A17" s="6" t="s">
        <v>78</v>
      </c>
      <c r="C17" s="10"/>
      <c r="E17" s="40" t="s">
        <v>40</v>
      </c>
      <c r="F17" s="6" t="s">
        <v>10</v>
      </c>
      <c r="G17" s="95" t="s">
        <v>3554</v>
      </c>
      <c r="H17" s="104" t="s">
        <v>82</v>
      </c>
      <c r="I17" s="95" t="s">
        <v>3523</v>
      </c>
      <c r="J17" s="68" t="s">
        <v>3561</v>
      </c>
      <c r="K17" s="61"/>
      <c r="L17" s="61"/>
      <c r="M17" s="10"/>
      <c r="N17" s="10"/>
      <c r="O17" s="61" t="s">
        <v>3562</v>
      </c>
      <c r="P17" s="61" t="s">
        <v>3520</v>
      </c>
      <c r="Q17" s="10"/>
      <c r="S17" s="6" t="s">
        <v>3505</v>
      </c>
      <c r="T17" s="6" t="s">
        <v>3557</v>
      </c>
      <c r="V17" s="6"/>
      <c r="W17" s="6"/>
      <c r="X17" s="6"/>
      <c r="Y17" s="6"/>
      <c r="Z17" s="6"/>
      <c r="AA17" s="6"/>
      <c r="AB17" s="6"/>
      <c r="AC17" s="6"/>
      <c r="AD17" s="6"/>
      <c r="AE17" s="6"/>
      <c r="AF17" s="6"/>
      <c r="AG17" s="6"/>
      <c r="AH17" s="6"/>
      <c r="AI17" s="6"/>
      <c r="AJ17" s="6"/>
      <c r="AK17" s="6"/>
      <c r="AL17" s="6"/>
      <c r="AM17" s="6"/>
    </row>
    <row r="18" ht="30" customHeight="1" spans="1:39">
      <c r="A18" s="6" t="s">
        <v>78</v>
      </c>
      <c r="C18" s="10"/>
      <c r="E18" s="40" t="s">
        <v>40</v>
      </c>
      <c r="F18" s="6" t="s">
        <v>10</v>
      </c>
      <c r="G18" s="95" t="s">
        <v>3554</v>
      </c>
      <c r="H18" s="104" t="s">
        <v>82</v>
      </c>
      <c r="I18" s="95" t="s">
        <v>3523</v>
      </c>
      <c r="J18" s="68" t="s">
        <v>3563</v>
      </c>
      <c r="K18" s="61"/>
      <c r="L18" s="61"/>
      <c r="M18" s="10"/>
      <c r="N18" s="10"/>
      <c r="O18" s="61" t="s">
        <v>3564</v>
      </c>
      <c r="P18" s="61" t="s">
        <v>3520</v>
      </c>
      <c r="Q18" s="10"/>
      <c r="S18" s="6" t="s">
        <v>3505</v>
      </c>
      <c r="T18" s="6" t="s">
        <v>3557</v>
      </c>
      <c r="V18" s="6"/>
      <c r="W18" s="6"/>
      <c r="X18" s="6"/>
      <c r="Y18" s="6"/>
      <c r="Z18" s="6"/>
      <c r="AA18" s="6"/>
      <c r="AB18" s="6"/>
      <c r="AC18" s="6"/>
      <c r="AD18" s="6"/>
      <c r="AE18" s="6"/>
      <c r="AF18" s="6"/>
      <c r="AG18" s="6"/>
      <c r="AH18" s="6"/>
      <c r="AI18" s="6"/>
      <c r="AJ18" s="6"/>
      <c r="AK18" s="6"/>
      <c r="AL18" s="6"/>
      <c r="AM18" s="6"/>
    </row>
    <row r="19" ht="30" customHeight="1" spans="1:39">
      <c r="A19" s="6" t="s">
        <v>78</v>
      </c>
      <c r="C19" s="10"/>
      <c r="E19" s="40" t="s">
        <v>40</v>
      </c>
      <c r="F19" s="6" t="s">
        <v>10</v>
      </c>
      <c r="G19" s="95" t="s">
        <v>3565</v>
      </c>
      <c r="H19" s="104" t="s">
        <v>82</v>
      </c>
      <c r="I19" s="95" t="s">
        <v>3535</v>
      </c>
      <c r="J19" s="68" t="s">
        <v>3566</v>
      </c>
      <c r="K19" s="61"/>
      <c r="L19" s="61"/>
      <c r="M19" s="10"/>
      <c r="N19" s="10"/>
      <c r="O19" s="61" t="s">
        <v>3567</v>
      </c>
      <c r="P19" s="61" t="s">
        <v>3544</v>
      </c>
      <c r="Q19" s="61" t="s">
        <v>194</v>
      </c>
      <c r="S19" s="6" t="s">
        <v>3545</v>
      </c>
      <c r="T19" s="6" t="s">
        <v>3506</v>
      </c>
      <c r="U19" s="6"/>
      <c r="V19" s="6"/>
      <c r="W19" s="6"/>
      <c r="X19" s="6"/>
      <c r="Y19" s="6"/>
      <c r="Z19" s="6"/>
      <c r="AA19" s="6"/>
      <c r="AB19" s="6"/>
      <c r="AC19" s="6"/>
      <c r="AD19" s="6"/>
      <c r="AE19" s="6"/>
      <c r="AF19" s="6"/>
      <c r="AG19" s="6"/>
      <c r="AH19" s="6"/>
      <c r="AI19" s="6"/>
      <c r="AJ19" s="6"/>
      <c r="AK19" s="6"/>
      <c r="AL19" s="6"/>
      <c r="AM19" s="6"/>
    </row>
    <row r="20" ht="30" customHeight="1" spans="1:39">
      <c r="A20" s="6" t="s">
        <v>78</v>
      </c>
      <c r="C20" s="10"/>
      <c r="E20" s="40" t="s">
        <v>40</v>
      </c>
      <c r="F20" s="6" t="s">
        <v>10</v>
      </c>
      <c r="G20" s="105" t="s">
        <v>3568</v>
      </c>
      <c r="H20" s="104" t="s">
        <v>82</v>
      </c>
      <c r="I20" s="61"/>
      <c r="J20" s="61"/>
      <c r="K20" s="61"/>
      <c r="L20" s="61"/>
      <c r="M20" s="10"/>
      <c r="N20" s="10"/>
      <c r="O20" s="61" t="s">
        <v>3569</v>
      </c>
      <c r="Q20" s="61"/>
      <c r="S20" s="6" t="s">
        <v>3505</v>
      </c>
      <c r="T20" s="6" t="s">
        <v>3506</v>
      </c>
      <c r="U20" s="6"/>
      <c r="V20" s="6"/>
      <c r="W20" s="6"/>
      <c r="X20" s="6"/>
      <c r="Y20" s="6"/>
      <c r="Z20" s="6"/>
      <c r="AA20" s="6"/>
      <c r="AB20" s="6"/>
      <c r="AC20" s="6"/>
      <c r="AD20" s="6"/>
      <c r="AE20" s="6"/>
      <c r="AF20" s="6"/>
      <c r="AG20" s="6"/>
      <c r="AH20" s="6"/>
      <c r="AI20" s="6"/>
      <c r="AJ20" s="6"/>
      <c r="AK20" s="6"/>
      <c r="AL20" s="6"/>
      <c r="AM20" s="6"/>
    </row>
    <row r="21" ht="30" customHeight="1" spans="1:39">
      <c r="A21" s="6" t="s">
        <v>78</v>
      </c>
      <c r="C21" s="10"/>
      <c r="E21" s="40" t="s">
        <v>40</v>
      </c>
      <c r="F21" s="6" t="s">
        <v>10</v>
      </c>
      <c r="G21" s="95" t="s">
        <v>3570</v>
      </c>
      <c r="H21" s="104" t="s">
        <v>82</v>
      </c>
      <c r="I21" s="95" t="s">
        <v>3541</v>
      </c>
      <c r="J21" s="68" t="s">
        <v>3571</v>
      </c>
      <c r="K21" s="61"/>
      <c r="L21" s="61"/>
      <c r="M21" s="10"/>
      <c r="N21" s="10"/>
      <c r="O21" s="61" t="s">
        <v>3572</v>
      </c>
      <c r="P21" s="61" t="s">
        <v>3520</v>
      </c>
      <c r="Q21" s="61" t="s">
        <v>120</v>
      </c>
      <c r="S21" s="6" t="s">
        <v>3505</v>
      </c>
      <c r="T21" s="6" t="s">
        <v>3557</v>
      </c>
      <c r="U21" s="6" t="s">
        <v>3558</v>
      </c>
      <c r="V21" s="6"/>
      <c r="W21" s="6"/>
      <c r="X21" s="6"/>
      <c r="Y21" s="6"/>
      <c r="Z21" s="6"/>
      <c r="AA21" s="6"/>
      <c r="AB21" s="6"/>
      <c r="AC21" s="6"/>
      <c r="AD21" s="6"/>
      <c r="AE21" s="6"/>
      <c r="AF21" s="6"/>
      <c r="AG21" s="6"/>
      <c r="AH21" s="6"/>
      <c r="AI21" s="6"/>
      <c r="AJ21" s="6"/>
      <c r="AK21" s="6"/>
      <c r="AL21" s="6"/>
      <c r="AM21" s="6"/>
    </row>
    <row r="22" ht="30" customHeight="1" spans="1:39">
      <c r="A22" s="6" t="s">
        <v>78</v>
      </c>
      <c r="B22" s="7">
        <v>45678</v>
      </c>
      <c r="C22" s="6" t="str">
        <f>YEAR(B22)&amp;"年"&amp;MONTH(B22)&amp;"月"</f>
        <v>2025年1月</v>
      </c>
      <c r="D22" s="6" t="s">
        <v>3573</v>
      </c>
      <c r="E22" s="40" t="s">
        <v>40</v>
      </c>
      <c r="F22" s="6" t="s">
        <v>10</v>
      </c>
      <c r="G22" s="106" t="s">
        <v>3574</v>
      </c>
      <c r="H22" s="104" t="s">
        <v>82</v>
      </c>
      <c r="I22" s="106"/>
      <c r="J22" s="106"/>
      <c r="K22" s="106"/>
      <c r="L22" s="106"/>
      <c r="M22" s="106" t="s">
        <v>2232</v>
      </c>
      <c r="N22" s="106" t="s">
        <v>2232</v>
      </c>
      <c r="O22" s="106"/>
      <c r="Q22" s="61" t="s">
        <v>111</v>
      </c>
      <c r="R22" s="6"/>
      <c r="S22" s="6" t="s">
        <v>3505</v>
      </c>
      <c r="T22" s="6" t="s">
        <v>3557</v>
      </c>
      <c r="U22" s="6" t="s">
        <v>3575</v>
      </c>
      <c r="V22" s="6"/>
      <c r="W22" s="6"/>
      <c r="X22" s="6"/>
      <c r="Y22" s="6"/>
      <c r="Z22" s="6"/>
      <c r="AA22" s="6"/>
      <c r="AB22" s="6"/>
      <c r="AC22" s="6"/>
      <c r="AD22" s="6"/>
      <c r="AE22" s="6"/>
      <c r="AF22" s="6"/>
      <c r="AG22" s="6"/>
      <c r="AH22" s="6"/>
      <c r="AI22" s="6"/>
      <c r="AJ22" s="6"/>
      <c r="AK22" s="6"/>
      <c r="AL22" s="6"/>
      <c r="AM22" s="6"/>
    </row>
    <row r="23" ht="45.75" customHeight="1" spans="1:39">
      <c r="A23" s="6" t="s">
        <v>142</v>
      </c>
      <c r="B23" s="7">
        <v>45674</v>
      </c>
      <c r="C23" s="6" t="str">
        <f>YEAR(B23)&amp;"年"&amp;MONTH(B23)&amp;"月"</f>
        <v>2025年1月</v>
      </c>
      <c r="D23" s="6" t="s">
        <v>3576</v>
      </c>
      <c r="E23" s="40" t="s">
        <v>3577</v>
      </c>
      <c r="F23" s="6" t="s">
        <v>11</v>
      </c>
      <c r="G23" s="95" t="s">
        <v>3578</v>
      </c>
      <c r="H23" s="104" t="s">
        <v>82</v>
      </c>
      <c r="I23" s="61"/>
      <c r="J23" s="61"/>
      <c r="K23" s="61"/>
      <c r="L23" s="61"/>
      <c r="M23" s="61" t="s">
        <v>2232</v>
      </c>
      <c r="N23" s="61" t="s">
        <v>2232</v>
      </c>
      <c r="O23" s="61" t="s">
        <v>3579</v>
      </c>
      <c r="P23" s="61" t="s">
        <v>3520</v>
      </c>
      <c r="Q23" s="61" t="s">
        <v>111</v>
      </c>
      <c r="R23" s="6"/>
      <c r="S23" s="6" t="s">
        <v>3545</v>
      </c>
      <c r="T23" s="6" t="s">
        <v>3506</v>
      </c>
      <c r="V23" s="6"/>
      <c r="W23" s="6"/>
      <c r="X23" s="6"/>
      <c r="Y23" s="6"/>
      <c r="Z23" s="6"/>
      <c r="AA23" s="6"/>
      <c r="AB23" s="6"/>
      <c r="AC23" s="6"/>
      <c r="AD23" s="6"/>
      <c r="AE23" s="6"/>
      <c r="AF23" s="6"/>
      <c r="AG23" s="6"/>
      <c r="AH23" s="6"/>
      <c r="AI23" s="6"/>
      <c r="AJ23" s="6"/>
      <c r="AK23" s="6"/>
      <c r="AL23" s="6"/>
      <c r="AM23" s="6"/>
    </row>
    <row r="24" ht="45.75" customHeight="1" spans="1:39">
      <c r="A24" s="6" t="s">
        <v>142</v>
      </c>
      <c r="C24" s="10"/>
      <c r="E24" s="40"/>
      <c r="F24" s="6" t="s">
        <v>11</v>
      </c>
      <c r="G24" s="95" t="s">
        <v>3580</v>
      </c>
      <c r="H24" s="104" t="s">
        <v>82</v>
      </c>
      <c r="I24" s="10"/>
      <c r="J24" s="10"/>
      <c r="K24" s="61"/>
      <c r="L24" s="61"/>
      <c r="M24" s="10"/>
      <c r="N24" s="10"/>
      <c r="O24" s="61" t="s">
        <v>3581</v>
      </c>
      <c r="P24" s="61" t="s">
        <v>3520</v>
      </c>
      <c r="Q24" s="61" t="s">
        <v>111</v>
      </c>
      <c r="R24" s="6"/>
      <c r="S24" s="6" t="s">
        <v>3545</v>
      </c>
      <c r="T24" s="6" t="s">
        <v>3506</v>
      </c>
      <c r="V24" s="6"/>
      <c r="W24" s="6"/>
      <c r="X24" s="6"/>
      <c r="Y24" s="6"/>
      <c r="Z24" s="6"/>
      <c r="AA24" s="6"/>
      <c r="AB24" s="6"/>
      <c r="AC24" s="6"/>
      <c r="AD24" s="6"/>
      <c r="AE24" s="6"/>
      <c r="AF24" s="6"/>
      <c r="AG24" s="6"/>
      <c r="AH24" s="6"/>
      <c r="AI24" s="6"/>
      <c r="AJ24" s="6"/>
      <c r="AK24" s="6"/>
      <c r="AL24" s="6"/>
      <c r="AM24" s="6"/>
    </row>
    <row r="25" ht="45.75" customHeight="1" spans="1:39">
      <c r="A25" s="6" t="s">
        <v>142</v>
      </c>
      <c r="C25" s="10"/>
      <c r="E25" s="40"/>
      <c r="F25" s="6" t="s">
        <v>11</v>
      </c>
      <c r="G25" s="95" t="s">
        <v>3582</v>
      </c>
      <c r="H25" s="104" t="s">
        <v>82</v>
      </c>
      <c r="I25" s="10"/>
      <c r="J25" s="10"/>
      <c r="K25" s="61"/>
      <c r="L25" s="61"/>
      <c r="M25" s="10"/>
      <c r="N25" s="10"/>
      <c r="O25" s="61" t="s">
        <v>3583</v>
      </c>
      <c r="P25" s="61" t="s">
        <v>3520</v>
      </c>
      <c r="Q25" s="61" t="s">
        <v>111</v>
      </c>
      <c r="R25" s="6"/>
      <c r="S25" s="6" t="s">
        <v>3545</v>
      </c>
      <c r="T25" s="6" t="s">
        <v>3506</v>
      </c>
      <c r="V25" s="6"/>
      <c r="W25" s="6"/>
      <c r="X25" s="6"/>
      <c r="Y25" s="6"/>
      <c r="Z25" s="6"/>
      <c r="AA25" s="6"/>
      <c r="AB25" s="6"/>
      <c r="AC25" s="6"/>
      <c r="AD25" s="6"/>
      <c r="AE25" s="6"/>
      <c r="AF25" s="6"/>
      <c r="AG25" s="6"/>
      <c r="AH25" s="6"/>
      <c r="AI25" s="6"/>
      <c r="AJ25" s="6"/>
      <c r="AK25" s="6"/>
      <c r="AL25" s="6"/>
      <c r="AM25" s="6"/>
    </row>
    <row r="26" ht="30.75" customHeight="1" spans="1:39">
      <c r="A26" s="6" t="s">
        <v>142</v>
      </c>
      <c r="C26" s="10"/>
      <c r="E26" s="40"/>
      <c r="F26" s="6" t="s">
        <v>11</v>
      </c>
      <c r="G26" s="95" t="s">
        <v>3584</v>
      </c>
      <c r="H26" s="104" t="s">
        <v>82</v>
      </c>
      <c r="I26" s="10"/>
      <c r="J26" s="10"/>
      <c r="K26" s="61"/>
      <c r="L26" s="61"/>
      <c r="M26" s="10"/>
      <c r="N26" s="10"/>
      <c r="O26" s="61" t="s">
        <v>3585</v>
      </c>
      <c r="P26" s="61" t="s">
        <v>3520</v>
      </c>
      <c r="Q26" s="61" t="s">
        <v>111</v>
      </c>
      <c r="R26" s="6"/>
      <c r="S26" s="6" t="s">
        <v>3545</v>
      </c>
      <c r="T26" s="6" t="s">
        <v>3506</v>
      </c>
      <c r="V26" s="6"/>
      <c r="W26" s="6"/>
      <c r="X26" s="6"/>
      <c r="Y26" s="6"/>
      <c r="Z26" s="6"/>
      <c r="AA26" s="6"/>
      <c r="AB26" s="6"/>
      <c r="AC26" s="6"/>
      <c r="AD26" s="6"/>
      <c r="AE26" s="6"/>
      <c r="AF26" s="6"/>
      <c r="AG26" s="6"/>
      <c r="AH26" s="6"/>
      <c r="AI26" s="6"/>
      <c r="AJ26" s="6"/>
      <c r="AK26" s="6"/>
      <c r="AL26" s="6"/>
      <c r="AM26" s="6"/>
    </row>
    <row r="27" ht="45.75" customHeight="1" spans="1:39">
      <c r="A27" s="6" t="s">
        <v>142</v>
      </c>
      <c r="C27" s="10"/>
      <c r="E27" s="40"/>
      <c r="F27" s="6" t="s">
        <v>11</v>
      </c>
      <c r="G27" s="95" t="s">
        <v>3582</v>
      </c>
      <c r="H27" s="104" t="s">
        <v>82</v>
      </c>
      <c r="I27" s="10"/>
      <c r="J27" s="10"/>
      <c r="K27" s="61"/>
      <c r="L27" s="61"/>
      <c r="M27" s="10"/>
      <c r="N27" s="10"/>
      <c r="O27" s="61" t="s">
        <v>3586</v>
      </c>
      <c r="P27" s="61" t="s">
        <v>3520</v>
      </c>
      <c r="Q27" s="61" t="s">
        <v>111</v>
      </c>
      <c r="R27" s="6"/>
      <c r="S27" s="6" t="s">
        <v>3545</v>
      </c>
      <c r="T27" s="6" t="s">
        <v>3506</v>
      </c>
      <c r="V27" s="6"/>
      <c r="W27" s="6"/>
      <c r="X27" s="6"/>
      <c r="Y27" s="6"/>
      <c r="Z27" s="6"/>
      <c r="AA27" s="6"/>
      <c r="AB27" s="6"/>
      <c r="AC27" s="6"/>
      <c r="AD27" s="6"/>
      <c r="AE27" s="6"/>
      <c r="AF27" s="6"/>
      <c r="AG27" s="6"/>
      <c r="AH27" s="6"/>
      <c r="AI27" s="6"/>
      <c r="AJ27" s="6"/>
      <c r="AK27" s="6"/>
      <c r="AL27" s="6"/>
      <c r="AM27" s="6"/>
    </row>
    <row r="28" ht="35.25" customHeight="1" spans="1:39">
      <c r="A28" s="6" t="s">
        <v>78</v>
      </c>
      <c r="B28" s="7">
        <v>45720</v>
      </c>
      <c r="C28" s="6" t="str">
        <f t="shared" ref="C28:C33" si="1">YEAR(B28)&amp;"年"&amp;MONTH(B28)&amp;"月"</f>
        <v>2025年3月</v>
      </c>
      <c r="D28" s="6" t="s">
        <v>3587</v>
      </c>
      <c r="E28" s="40" t="s">
        <v>42</v>
      </c>
      <c r="F28" s="6" t="s">
        <v>10</v>
      </c>
      <c r="G28" s="95" t="s">
        <v>3588</v>
      </c>
      <c r="H28" s="104" t="s">
        <v>82</v>
      </c>
      <c r="I28" s="61" t="s">
        <v>3589</v>
      </c>
      <c r="J28" s="68" t="s">
        <v>3590</v>
      </c>
      <c r="K28" s="68"/>
      <c r="L28" s="68"/>
      <c r="M28" s="68" t="s">
        <v>3591</v>
      </c>
      <c r="N28" s="68" t="s">
        <v>1172</v>
      </c>
      <c r="O28" s="68" t="s">
        <v>3592</v>
      </c>
      <c r="P28" s="61" t="s">
        <v>3526</v>
      </c>
      <c r="Q28" s="61" t="s">
        <v>85</v>
      </c>
      <c r="R28" s="6"/>
      <c r="S28" s="6" t="s">
        <v>3505</v>
      </c>
      <c r="T28" s="6" t="s">
        <v>3506</v>
      </c>
      <c r="U28" s="6"/>
      <c r="V28" s="6"/>
      <c r="W28" s="6"/>
      <c r="X28" s="6"/>
      <c r="Y28" s="6"/>
      <c r="Z28" s="6"/>
      <c r="AA28" s="6"/>
      <c r="AB28" s="6"/>
      <c r="AC28" s="6"/>
      <c r="AD28" s="6"/>
      <c r="AE28" s="6"/>
      <c r="AF28" s="6"/>
      <c r="AG28" s="6"/>
      <c r="AH28" s="6"/>
      <c r="AI28" s="6"/>
      <c r="AJ28" s="6"/>
      <c r="AK28" s="6"/>
      <c r="AL28" s="6"/>
      <c r="AM28" s="6"/>
    </row>
    <row r="29" ht="33.75" customHeight="1" spans="1:39">
      <c r="A29" s="6" t="s">
        <v>78</v>
      </c>
      <c r="B29" s="7">
        <v>45720</v>
      </c>
      <c r="C29" s="6" t="str">
        <f t="shared" si="1"/>
        <v>2025年3月</v>
      </c>
      <c r="D29" s="6" t="s">
        <v>3593</v>
      </c>
      <c r="E29" s="40" t="s">
        <v>40</v>
      </c>
      <c r="F29" s="6" t="s">
        <v>10</v>
      </c>
      <c r="G29" s="95" t="s">
        <v>3594</v>
      </c>
      <c r="H29" s="104" t="s">
        <v>82</v>
      </c>
      <c r="I29" s="61" t="s">
        <v>3595</v>
      </c>
      <c r="J29" s="68" t="s">
        <v>3596</v>
      </c>
      <c r="K29" s="61"/>
      <c r="L29" s="61"/>
      <c r="M29" s="61" t="s">
        <v>2232</v>
      </c>
      <c r="N29" s="61" t="s">
        <v>2232</v>
      </c>
      <c r="O29" s="61">
        <v>52079737</v>
      </c>
      <c r="P29" s="61" t="s">
        <v>3520</v>
      </c>
      <c r="Q29" s="61" t="s">
        <v>194</v>
      </c>
      <c r="R29" s="6"/>
      <c r="S29" s="6" t="s">
        <v>3505</v>
      </c>
      <c r="T29" s="6" t="s">
        <v>3506</v>
      </c>
      <c r="U29" s="6"/>
      <c r="V29" s="6"/>
      <c r="W29" s="6"/>
      <c r="X29" s="6"/>
      <c r="Y29" s="6"/>
      <c r="Z29" s="6"/>
      <c r="AA29" s="6"/>
      <c r="AB29" s="6"/>
      <c r="AC29" s="6"/>
      <c r="AD29" s="6"/>
      <c r="AE29" s="6"/>
      <c r="AF29" s="6"/>
      <c r="AG29" s="6"/>
      <c r="AH29" s="6"/>
      <c r="AI29" s="6"/>
      <c r="AJ29" s="6"/>
      <c r="AK29" s="6"/>
      <c r="AL29" s="6"/>
      <c r="AM29" s="6"/>
    </row>
    <row r="30" ht="34.5" customHeight="1" spans="1:39">
      <c r="A30" s="6" t="s">
        <v>78</v>
      </c>
      <c r="B30" s="7">
        <v>45749</v>
      </c>
      <c r="C30" s="6" t="str">
        <f t="shared" si="1"/>
        <v>2025年4月</v>
      </c>
      <c r="D30" s="6" t="s">
        <v>3597</v>
      </c>
      <c r="E30" s="40" t="s">
        <v>40</v>
      </c>
      <c r="F30" s="6" t="s">
        <v>10</v>
      </c>
      <c r="G30" s="95" t="s">
        <v>3598</v>
      </c>
      <c r="H30" s="104" t="s">
        <v>82</v>
      </c>
      <c r="I30" s="95" t="s">
        <v>3599</v>
      </c>
      <c r="J30" s="68" t="s">
        <v>3600</v>
      </c>
      <c r="K30" s="68"/>
      <c r="L30" s="68"/>
      <c r="M30" s="68"/>
      <c r="N30" s="68"/>
      <c r="O30" s="68" t="s">
        <v>3601</v>
      </c>
      <c r="P30" s="107" t="s">
        <v>3602</v>
      </c>
      <c r="Q30" s="61" t="s">
        <v>161</v>
      </c>
      <c r="R30" s="6"/>
      <c r="S30" s="6" t="s">
        <v>3505</v>
      </c>
      <c r="T30" s="6" t="s">
        <v>3506</v>
      </c>
      <c r="U30" s="6"/>
      <c r="V30" s="6"/>
      <c r="W30" s="6"/>
      <c r="X30" s="6"/>
      <c r="Y30" s="6"/>
      <c r="Z30" s="6"/>
      <c r="AA30" s="6"/>
      <c r="AB30" s="6"/>
      <c r="AC30" s="6"/>
      <c r="AD30" s="6"/>
      <c r="AE30" s="6"/>
      <c r="AF30" s="6"/>
      <c r="AG30" s="6"/>
      <c r="AH30" s="6"/>
      <c r="AI30" s="6"/>
      <c r="AJ30" s="6"/>
      <c r="AK30" s="6"/>
      <c r="AL30" s="6"/>
      <c r="AM30" s="6"/>
    </row>
    <row r="31" ht="35.25" customHeight="1" spans="1:39">
      <c r="A31" s="6" t="s">
        <v>78</v>
      </c>
      <c r="B31" s="7">
        <v>45754</v>
      </c>
      <c r="C31" s="6" t="str">
        <f t="shared" si="1"/>
        <v>2025年4月</v>
      </c>
      <c r="D31" s="6" t="s">
        <v>3603</v>
      </c>
      <c r="E31" s="40" t="s">
        <v>40</v>
      </c>
      <c r="F31" s="6" t="s">
        <v>10</v>
      </c>
      <c r="G31" s="95" t="s">
        <v>3604</v>
      </c>
      <c r="H31" s="104" t="s">
        <v>82</v>
      </c>
      <c r="I31" s="61" t="s">
        <v>3605</v>
      </c>
      <c r="J31" s="68" t="s">
        <v>3606</v>
      </c>
      <c r="K31" s="61"/>
      <c r="L31" s="61"/>
      <c r="M31" s="61"/>
      <c r="N31" s="61"/>
      <c r="O31" s="61" t="s">
        <v>3607</v>
      </c>
      <c r="P31" s="61" t="s">
        <v>3520</v>
      </c>
      <c r="Q31" s="61" t="s">
        <v>111</v>
      </c>
      <c r="R31" s="6"/>
      <c r="S31" s="6" t="s">
        <v>3505</v>
      </c>
      <c r="T31" s="6" t="s">
        <v>3506</v>
      </c>
      <c r="U31" s="6" t="s">
        <v>3608</v>
      </c>
      <c r="V31" s="6"/>
      <c r="W31" s="6"/>
      <c r="X31" s="6"/>
      <c r="Y31" s="6"/>
      <c r="Z31" s="6"/>
      <c r="AA31" s="6"/>
      <c r="AB31" s="6"/>
      <c r="AC31" s="6"/>
      <c r="AD31" s="6"/>
      <c r="AE31" s="6"/>
      <c r="AF31" s="6"/>
      <c r="AG31" s="6"/>
      <c r="AH31" s="6"/>
      <c r="AI31" s="6"/>
      <c r="AJ31" s="6"/>
      <c r="AK31" s="6"/>
      <c r="AL31" s="6"/>
      <c r="AM31" s="6"/>
    </row>
    <row r="32" ht="35.25" customHeight="1" spans="1:39">
      <c r="A32" s="6" t="s">
        <v>78</v>
      </c>
      <c r="B32" s="7">
        <v>45757</v>
      </c>
      <c r="C32" s="6" t="str">
        <f t="shared" si="1"/>
        <v>2025年4月</v>
      </c>
      <c r="D32" s="6" t="s">
        <v>3609</v>
      </c>
      <c r="E32" s="40" t="s">
        <v>42</v>
      </c>
      <c r="F32" s="6" t="s">
        <v>10</v>
      </c>
      <c r="G32" s="95" t="s">
        <v>3610</v>
      </c>
      <c r="H32" s="104" t="s">
        <v>82</v>
      </c>
      <c r="I32" s="61" t="s">
        <v>3611</v>
      </c>
      <c r="J32" s="68" t="s">
        <v>3612</v>
      </c>
      <c r="K32" s="68"/>
      <c r="L32" s="68"/>
      <c r="M32" s="68"/>
      <c r="N32" s="68"/>
      <c r="O32" s="68" t="s">
        <v>3613</v>
      </c>
      <c r="P32" s="61" t="s">
        <v>3526</v>
      </c>
      <c r="Q32" s="61" t="s">
        <v>85</v>
      </c>
      <c r="R32" s="6"/>
      <c r="S32" s="6" t="s">
        <v>3505</v>
      </c>
      <c r="T32" s="6" t="s">
        <v>3506</v>
      </c>
      <c r="U32" s="6"/>
      <c r="V32" s="6"/>
      <c r="W32" s="6"/>
      <c r="X32" s="6"/>
      <c r="Y32" s="6"/>
      <c r="Z32" s="6"/>
      <c r="AA32" s="6"/>
      <c r="AB32" s="6"/>
      <c r="AC32" s="6"/>
      <c r="AD32" s="6"/>
      <c r="AE32" s="6"/>
      <c r="AF32" s="6"/>
      <c r="AG32" s="6"/>
      <c r="AH32" s="6"/>
      <c r="AI32" s="6"/>
      <c r="AJ32" s="6"/>
      <c r="AK32" s="6"/>
      <c r="AL32" s="6"/>
      <c r="AM32" s="6"/>
    </row>
    <row r="33" ht="33" customHeight="1" spans="1:39">
      <c r="A33" s="6" t="s">
        <v>207</v>
      </c>
      <c r="B33" s="7">
        <v>45762</v>
      </c>
      <c r="C33" s="6" t="str">
        <f t="shared" si="1"/>
        <v>2025年4月</v>
      </c>
      <c r="D33" s="6" t="s">
        <v>3614</v>
      </c>
      <c r="E33" s="40" t="s">
        <v>40</v>
      </c>
      <c r="F33" s="6" t="s">
        <v>11</v>
      </c>
      <c r="G33" s="95" t="s">
        <v>3615</v>
      </c>
      <c r="H33" s="104" t="s">
        <v>82</v>
      </c>
      <c r="I33" s="61"/>
      <c r="J33" s="61"/>
      <c r="K33" s="61"/>
      <c r="L33" s="61"/>
      <c r="M33" s="61"/>
      <c r="N33" s="61"/>
      <c r="O33" s="61"/>
      <c r="P33" s="61" t="s">
        <v>3544</v>
      </c>
      <c r="Q33" s="61" t="s">
        <v>111</v>
      </c>
      <c r="R33" s="6" t="s">
        <v>3616</v>
      </c>
      <c r="S33" s="6" t="s">
        <v>3545</v>
      </c>
      <c r="T33" s="6" t="s">
        <v>3506</v>
      </c>
      <c r="U33" s="6"/>
      <c r="V33" s="6"/>
      <c r="W33" s="6"/>
      <c r="X33" s="6"/>
      <c r="Y33" s="6"/>
      <c r="Z33" s="6"/>
      <c r="AA33" s="6"/>
      <c r="AB33" s="6"/>
      <c r="AC33" s="6"/>
      <c r="AD33" s="6"/>
      <c r="AE33" s="6"/>
      <c r="AF33" s="6"/>
      <c r="AG33" s="6"/>
      <c r="AH33" s="6"/>
      <c r="AI33" s="6"/>
      <c r="AJ33" s="6"/>
      <c r="AK33" s="6"/>
      <c r="AL33" s="6"/>
      <c r="AM33" s="6"/>
    </row>
    <row r="34" ht="45.75" customHeight="1" spans="1:39">
      <c r="A34" s="10"/>
      <c r="C34" s="10"/>
      <c r="E34" s="40"/>
      <c r="F34" s="40"/>
      <c r="G34" s="95" t="s">
        <v>3617</v>
      </c>
      <c r="H34" s="104" t="s">
        <v>82</v>
      </c>
      <c r="I34" s="61"/>
      <c r="J34" s="61"/>
      <c r="K34" s="61"/>
      <c r="L34" s="61"/>
      <c r="M34" s="61"/>
      <c r="N34" s="61"/>
      <c r="O34" s="61"/>
      <c r="P34" s="61" t="s">
        <v>3526</v>
      </c>
      <c r="Q34" s="61" t="s">
        <v>111</v>
      </c>
      <c r="S34" s="6" t="s">
        <v>3505</v>
      </c>
      <c r="T34" s="6" t="s">
        <v>3557</v>
      </c>
      <c r="U34" s="6"/>
      <c r="V34" s="6"/>
      <c r="W34" s="6"/>
      <c r="X34" s="6"/>
      <c r="Y34" s="6"/>
      <c r="Z34" s="6"/>
      <c r="AA34" s="6"/>
      <c r="AB34" s="6"/>
      <c r="AC34" s="6"/>
      <c r="AD34" s="6"/>
      <c r="AE34" s="6"/>
      <c r="AF34" s="6"/>
      <c r="AG34" s="6"/>
      <c r="AH34" s="6"/>
      <c r="AI34" s="6"/>
      <c r="AJ34" s="6"/>
      <c r="AK34" s="6"/>
      <c r="AL34" s="6"/>
      <c r="AM34" s="6"/>
    </row>
    <row r="35" ht="28" spans="1:39">
      <c r="A35" s="6" t="s">
        <v>78</v>
      </c>
      <c r="B35" s="7">
        <v>45770</v>
      </c>
      <c r="C35" s="6" t="str">
        <f>YEAR(B35)&amp;"年"&amp;MONTH(B35)&amp;"月"</f>
        <v>2025年4月</v>
      </c>
      <c r="D35" s="6" t="s">
        <v>3618</v>
      </c>
      <c r="E35" s="40" t="s">
        <v>42</v>
      </c>
      <c r="F35" s="6" t="s">
        <v>10</v>
      </c>
      <c r="G35" s="95" t="s">
        <v>3619</v>
      </c>
      <c r="H35" s="104" t="s">
        <v>82</v>
      </c>
      <c r="I35" s="95" t="s">
        <v>3611</v>
      </c>
      <c r="J35" s="68" t="s">
        <v>3620</v>
      </c>
      <c r="K35" s="68"/>
      <c r="L35" s="68"/>
      <c r="M35" s="68"/>
      <c r="N35" s="68"/>
      <c r="O35" s="68" t="s">
        <v>3621</v>
      </c>
      <c r="P35" s="61" t="s">
        <v>3520</v>
      </c>
      <c r="Q35" s="61" t="s">
        <v>120</v>
      </c>
      <c r="R35" s="6"/>
      <c r="S35" s="6" t="s">
        <v>3505</v>
      </c>
      <c r="T35" s="6" t="s">
        <v>3506</v>
      </c>
      <c r="U35" s="6"/>
      <c r="V35" s="7">
        <v>45784</v>
      </c>
      <c r="W35" s="6" t="s">
        <v>3622</v>
      </c>
      <c r="X35" s="6"/>
      <c r="Y35" s="6"/>
      <c r="Z35" s="6"/>
      <c r="AA35" s="6"/>
      <c r="AB35" s="6"/>
      <c r="AC35" s="6"/>
      <c r="AD35" s="6"/>
      <c r="AE35" s="6"/>
      <c r="AF35" s="6"/>
      <c r="AG35" s="6"/>
      <c r="AH35" s="6"/>
      <c r="AI35" s="6"/>
      <c r="AJ35" s="6"/>
      <c r="AK35" s="6"/>
      <c r="AL35" s="6"/>
      <c r="AM35" s="6"/>
    </row>
    <row r="36" ht="27" customHeight="1" spans="1:39">
      <c r="A36" s="6" t="s">
        <v>78</v>
      </c>
      <c r="B36" s="7">
        <v>45784</v>
      </c>
      <c r="C36" s="6" t="str">
        <f>YEAR(B36)&amp;"年"&amp;MONTH(B36)&amp;"月"</f>
        <v>2025年5月</v>
      </c>
      <c r="D36" s="6" t="s">
        <v>3623</v>
      </c>
      <c r="E36" s="40" t="s">
        <v>42</v>
      </c>
      <c r="F36" s="6" t="s">
        <v>10</v>
      </c>
      <c r="G36" s="95" t="s">
        <v>3610</v>
      </c>
      <c r="H36" s="104" t="s">
        <v>82</v>
      </c>
      <c r="I36" s="95" t="s">
        <v>3611</v>
      </c>
      <c r="J36" s="68" t="s">
        <v>3624</v>
      </c>
      <c r="K36" s="68"/>
      <c r="L36" s="68"/>
      <c r="M36" s="68"/>
      <c r="N36" s="68"/>
      <c r="O36" s="68" t="s">
        <v>3625</v>
      </c>
      <c r="P36" s="61" t="s">
        <v>3520</v>
      </c>
      <c r="Q36" s="61" t="s">
        <v>85</v>
      </c>
      <c r="R36" s="6"/>
      <c r="S36" s="6" t="s">
        <v>3505</v>
      </c>
      <c r="T36" s="6" t="s">
        <v>3506</v>
      </c>
      <c r="U36" s="6" t="s">
        <v>3626</v>
      </c>
      <c r="V36" s="7">
        <v>45784</v>
      </c>
      <c r="W36" s="6"/>
      <c r="X36" s="6"/>
      <c r="Y36" s="6"/>
      <c r="Z36" s="6"/>
      <c r="AA36" s="6"/>
      <c r="AB36" s="6"/>
      <c r="AC36" s="6"/>
      <c r="AD36" s="6"/>
      <c r="AE36" s="6"/>
      <c r="AF36" s="6"/>
      <c r="AG36" s="6"/>
      <c r="AH36" s="6"/>
      <c r="AI36" s="6"/>
      <c r="AJ36" s="6"/>
      <c r="AK36" s="6"/>
      <c r="AL36" s="6"/>
      <c r="AM36" s="6"/>
    </row>
    <row r="37" ht="33.75" customHeight="1" spans="1:39">
      <c r="A37" s="6" t="s">
        <v>207</v>
      </c>
      <c r="B37" s="7">
        <v>45810</v>
      </c>
      <c r="C37" s="6" t="str">
        <f>YEAR(B37)&amp;"年"&amp;MONTH(B37)&amp;"月"</f>
        <v>2025年6月</v>
      </c>
      <c r="D37" s="41" t="s">
        <v>3627</v>
      </c>
      <c r="E37" s="40" t="s">
        <v>40</v>
      </c>
      <c r="F37" s="6" t="s">
        <v>11</v>
      </c>
      <c r="G37" s="108" t="s">
        <v>3628</v>
      </c>
      <c r="H37" s="104" t="s">
        <v>82</v>
      </c>
      <c r="I37" s="61"/>
      <c r="J37" s="61"/>
      <c r="K37" s="61"/>
      <c r="L37" s="61"/>
      <c r="M37" s="61"/>
      <c r="N37" s="61"/>
      <c r="O37" s="61"/>
      <c r="P37" s="61" t="s">
        <v>3520</v>
      </c>
      <c r="Q37" s="61" t="s">
        <v>111</v>
      </c>
      <c r="R37" s="6" t="s">
        <v>3629</v>
      </c>
      <c r="S37" s="6" t="s">
        <v>3505</v>
      </c>
      <c r="T37" s="6" t="s">
        <v>3506</v>
      </c>
      <c r="U37" s="6"/>
      <c r="V37" s="6"/>
      <c r="W37" s="6"/>
      <c r="X37" s="6"/>
      <c r="Y37" s="6"/>
      <c r="Z37" s="6"/>
      <c r="AA37" s="6"/>
      <c r="AB37" s="6"/>
      <c r="AC37" s="6"/>
      <c r="AD37" s="6"/>
      <c r="AE37" s="6"/>
      <c r="AF37" s="6"/>
      <c r="AG37" s="6"/>
      <c r="AH37" s="6"/>
      <c r="AI37" s="6"/>
      <c r="AJ37" s="6"/>
      <c r="AK37" s="6"/>
      <c r="AL37" s="6"/>
      <c r="AM37" s="6"/>
    </row>
    <row r="38" ht="33" customHeight="1" spans="1:39">
      <c r="A38" s="6" t="s">
        <v>78</v>
      </c>
      <c r="B38" s="7">
        <v>45817</v>
      </c>
      <c r="C38" s="6" t="str">
        <f>YEAR(B38)&amp;"年"&amp;MONTH(B38)&amp;"月"</f>
        <v>2025年6月</v>
      </c>
      <c r="D38" s="6" t="s">
        <v>3630</v>
      </c>
      <c r="E38" s="40" t="s">
        <v>42</v>
      </c>
      <c r="F38" s="6" t="s">
        <v>10</v>
      </c>
      <c r="G38" s="108" t="s">
        <v>3631</v>
      </c>
      <c r="H38" s="104" t="s">
        <v>82</v>
      </c>
      <c r="I38" s="95" t="s">
        <v>3611</v>
      </c>
      <c r="J38" s="68" t="s">
        <v>3632</v>
      </c>
      <c r="K38" s="68"/>
      <c r="L38" s="68"/>
      <c r="M38" s="68"/>
      <c r="N38" s="68"/>
      <c r="O38" s="68" t="s">
        <v>3633</v>
      </c>
      <c r="P38" s="61" t="s">
        <v>3520</v>
      </c>
      <c r="Q38" s="61" t="s">
        <v>85</v>
      </c>
      <c r="R38" s="6"/>
      <c r="S38" s="6" t="s">
        <v>3505</v>
      </c>
      <c r="T38" s="6" t="s">
        <v>3506</v>
      </c>
      <c r="U38" s="6"/>
      <c r="V38" s="7">
        <v>45971</v>
      </c>
      <c r="W38" s="6" t="s">
        <v>3634</v>
      </c>
      <c r="X38" s="6"/>
      <c r="Y38" s="6"/>
      <c r="Z38" s="6"/>
      <c r="AA38" s="6"/>
      <c r="AB38" s="6"/>
      <c r="AC38" s="6"/>
      <c r="AD38" s="6"/>
      <c r="AE38" s="6"/>
      <c r="AF38" s="6"/>
      <c r="AG38" s="6"/>
      <c r="AH38" s="6"/>
      <c r="AI38" s="6"/>
      <c r="AJ38" s="6"/>
      <c r="AK38" s="6"/>
      <c r="AL38" s="6"/>
      <c r="AM38" s="6"/>
    </row>
    <row r="39" ht="33" customHeight="1" spans="1:39">
      <c r="A39" s="10"/>
      <c r="C39" s="10"/>
      <c r="E39" s="40"/>
      <c r="F39" s="40"/>
      <c r="G39" s="108" t="s">
        <v>3635</v>
      </c>
      <c r="H39" s="104" t="s">
        <v>82</v>
      </c>
      <c r="I39" s="95" t="s">
        <v>3611</v>
      </c>
      <c r="J39" s="68" t="s">
        <v>3636</v>
      </c>
      <c r="K39" s="68"/>
      <c r="L39" s="68"/>
      <c r="M39" s="68"/>
      <c r="N39" s="68"/>
      <c r="O39" s="68" t="s">
        <v>3637</v>
      </c>
      <c r="P39" s="61" t="s">
        <v>3526</v>
      </c>
      <c r="Q39" s="61" t="s">
        <v>194</v>
      </c>
      <c r="R39" s="6"/>
      <c r="S39" s="6" t="s">
        <v>3505</v>
      </c>
      <c r="T39" s="6" t="s">
        <v>3506</v>
      </c>
      <c r="U39" s="6"/>
      <c r="V39" s="109"/>
      <c r="X39" s="6"/>
      <c r="Y39" s="6"/>
      <c r="Z39" s="6"/>
      <c r="AA39" s="6"/>
      <c r="AB39" s="6"/>
      <c r="AC39" s="6"/>
      <c r="AD39" s="6"/>
      <c r="AE39" s="6"/>
      <c r="AF39" s="6"/>
      <c r="AG39" s="6"/>
      <c r="AH39" s="6"/>
      <c r="AI39" s="6"/>
      <c r="AJ39" s="6"/>
      <c r="AK39" s="6"/>
      <c r="AL39" s="6"/>
      <c r="AM39" s="6"/>
    </row>
    <row r="40" ht="168" spans="1:39">
      <c r="A40" s="6" t="s">
        <v>207</v>
      </c>
      <c r="B40" s="7">
        <v>45818</v>
      </c>
      <c r="C40" s="6" t="str">
        <f t="shared" ref="C40:C60" si="2">YEAR(B40)&amp;"年"&amp;MONTH(B40)&amp;"月"</f>
        <v>2025年6月</v>
      </c>
      <c r="D40" s="41" t="s">
        <v>3638</v>
      </c>
      <c r="E40" s="40" t="s">
        <v>40</v>
      </c>
      <c r="F40" s="6" t="s">
        <v>11</v>
      </c>
      <c r="G40" s="95" t="s">
        <v>3639</v>
      </c>
      <c r="H40" s="104" t="s">
        <v>82</v>
      </c>
      <c r="I40" s="61"/>
      <c r="J40" s="61"/>
      <c r="K40" s="61"/>
      <c r="L40" s="61"/>
      <c r="M40" s="61"/>
      <c r="N40" s="61"/>
      <c r="O40" s="61" t="s">
        <v>3640</v>
      </c>
      <c r="P40" s="61" t="s">
        <v>3520</v>
      </c>
      <c r="Q40" s="61" t="s">
        <v>685</v>
      </c>
      <c r="R40" s="6"/>
      <c r="S40" s="6" t="s">
        <v>3505</v>
      </c>
      <c r="T40" s="6" t="s">
        <v>3506</v>
      </c>
      <c r="U40" s="6"/>
      <c r="V40" s="6"/>
      <c r="W40" s="6"/>
      <c r="X40" s="6"/>
      <c r="Y40" s="6"/>
      <c r="Z40" s="6"/>
      <c r="AA40" s="6"/>
      <c r="AB40" s="6"/>
      <c r="AC40" s="6"/>
      <c r="AD40" s="6"/>
      <c r="AE40" s="6"/>
      <c r="AF40" s="6"/>
      <c r="AG40" s="6"/>
      <c r="AH40" s="6"/>
      <c r="AI40" s="6"/>
      <c r="AJ40" s="6"/>
      <c r="AK40" s="6"/>
      <c r="AL40" s="6"/>
      <c r="AM40" s="6"/>
    </row>
    <row r="41" ht="40.5" customHeight="1" spans="1:39">
      <c r="A41" s="6" t="s">
        <v>78</v>
      </c>
      <c r="B41" s="7">
        <v>45821</v>
      </c>
      <c r="C41" s="6" t="str">
        <f t="shared" si="2"/>
        <v>2025年6月</v>
      </c>
      <c r="D41" s="41" t="s">
        <v>3641</v>
      </c>
      <c r="E41" s="40" t="s">
        <v>42</v>
      </c>
      <c r="F41" s="6" t="s">
        <v>10</v>
      </c>
      <c r="G41" s="95" t="s">
        <v>3642</v>
      </c>
      <c r="H41" s="104" t="s">
        <v>82</v>
      </c>
      <c r="I41" s="61" t="s">
        <v>3643</v>
      </c>
      <c r="J41" s="61"/>
      <c r="K41" s="68"/>
      <c r="L41" s="68"/>
      <c r="M41" s="68"/>
      <c r="N41" s="68"/>
      <c r="O41" s="68" t="s">
        <v>3644</v>
      </c>
      <c r="P41" s="61" t="s">
        <v>3526</v>
      </c>
      <c r="Q41" s="61" t="s">
        <v>194</v>
      </c>
      <c r="R41" s="6"/>
      <c r="S41" s="6" t="s">
        <v>3505</v>
      </c>
      <c r="T41" s="6" t="s">
        <v>3506</v>
      </c>
      <c r="U41" s="6"/>
      <c r="V41" s="6"/>
      <c r="W41" s="6"/>
      <c r="X41" s="6"/>
      <c r="Y41" s="6"/>
      <c r="Z41" s="6"/>
      <c r="AA41" s="6"/>
      <c r="AB41" s="6"/>
      <c r="AC41" s="6"/>
      <c r="AD41" s="6"/>
      <c r="AE41" s="6"/>
      <c r="AF41" s="6"/>
      <c r="AG41" s="6"/>
      <c r="AH41" s="6"/>
      <c r="AI41" s="6"/>
      <c r="AJ41" s="6"/>
      <c r="AK41" s="6"/>
      <c r="AL41" s="6"/>
      <c r="AM41" s="6"/>
    </row>
    <row r="42" ht="40.5" customHeight="1" spans="1:39">
      <c r="A42" s="6" t="s">
        <v>78</v>
      </c>
      <c r="B42" s="7">
        <v>45825</v>
      </c>
      <c r="C42" s="6" t="str">
        <f t="shared" si="2"/>
        <v>2025年6月</v>
      </c>
      <c r="D42" s="6" t="s">
        <v>3645</v>
      </c>
      <c r="E42" s="40" t="s">
        <v>40</v>
      </c>
      <c r="F42" s="6" t="s">
        <v>10</v>
      </c>
      <c r="G42" s="108" t="s">
        <v>3646</v>
      </c>
      <c r="H42" s="104" t="s">
        <v>82</v>
      </c>
      <c r="I42" s="61" t="s">
        <v>1378</v>
      </c>
      <c r="J42" s="61"/>
      <c r="K42" s="61"/>
      <c r="L42" s="61"/>
      <c r="M42" s="61"/>
      <c r="N42" s="61"/>
      <c r="O42" s="61" t="s">
        <v>3647</v>
      </c>
      <c r="P42" s="61" t="s">
        <v>3520</v>
      </c>
      <c r="Q42" s="61" t="s">
        <v>97</v>
      </c>
      <c r="R42" s="6" t="s">
        <v>3648</v>
      </c>
      <c r="S42" s="6" t="s">
        <v>3505</v>
      </c>
      <c r="T42" s="6" t="s">
        <v>3506</v>
      </c>
      <c r="U42" s="6"/>
      <c r="V42" s="6"/>
      <c r="W42" s="6"/>
      <c r="X42" s="6"/>
      <c r="Y42" s="6"/>
      <c r="Z42" s="6"/>
      <c r="AA42" s="6"/>
      <c r="AB42" s="6"/>
      <c r="AC42" s="6"/>
      <c r="AD42" s="6"/>
      <c r="AE42" s="6"/>
      <c r="AF42" s="6"/>
      <c r="AG42" s="6"/>
      <c r="AH42" s="6"/>
      <c r="AI42" s="6"/>
      <c r="AJ42" s="6"/>
      <c r="AK42" s="6"/>
      <c r="AL42" s="6"/>
      <c r="AM42" s="6"/>
    </row>
    <row r="43" ht="36.75" customHeight="1" spans="1:39">
      <c r="A43" s="6" t="s">
        <v>78</v>
      </c>
      <c r="B43" s="7">
        <v>45831</v>
      </c>
      <c r="C43" s="6" t="str">
        <f t="shared" si="2"/>
        <v>2025年6月</v>
      </c>
      <c r="D43" s="6" t="s">
        <v>3649</v>
      </c>
      <c r="E43" s="40" t="s">
        <v>42</v>
      </c>
      <c r="F43" s="6" t="s">
        <v>10</v>
      </c>
      <c r="G43" s="108" t="s">
        <v>3650</v>
      </c>
      <c r="H43" s="104" t="s">
        <v>82</v>
      </c>
      <c r="I43" s="95" t="s">
        <v>3611</v>
      </c>
      <c r="J43" s="68" t="s">
        <v>3651</v>
      </c>
      <c r="K43" s="68"/>
      <c r="L43" s="68"/>
      <c r="M43" s="68"/>
      <c r="N43" s="68"/>
      <c r="O43" s="68" t="s">
        <v>3652</v>
      </c>
      <c r="P43" s="61" t="s">
        <v>3520</v>
      </c>
      <c r="Q43" s="61" t="s">
        <v>261</v>
      </c>
      <c r="R43" s="6" t="s">
        <v>3648</v>
      </c>
      <c r="S43" s="6" t="s">
        <v>3505</v>
      </c>
      <c r="T43" s="6" t="s">
        <v>3506</v>
      </c>
      <c r="U43" s="6"/>
      <c r="V43" s="6"/>
      <c r="W43" s="6"/>
      <c r="X43" s="6"/>
      <c r="Y43" s="6"/>
      <c r="Z43" s="6"/>
      <c r="AA43" s="6"/>
      <c r="AB43" s="6"/>
      <c r="AC43" s="6"/>
      <c r="AD43" s="6"/>
      <c r="AE43" s="6"/>
      <c r="AF43" s="6"/>
      <c r="AG43" s="6"/>
      <c r="AH43" s="6"/>
      <c r="AI43" s="6"/>
      <c r="AJ43" s="6"/>
      <c r="AK43" s="6"/>
      <c r="AL43" s="6"/>
      <c r="AM43" s="6"/>
    </row>
    <row r="44" ht="39.75" customHeight="1" spans="1:39">
      <c r="A44" s="6" t="s">
        <v>78</v>
      </c>
      <c r="B44" s="7">
        <v>45831</v>
      </c>
      <c r="C44" s="6" t="str">
        <f t="shared" si="2"/>
        <v>2025年6月</v>
      </c>
      <c r="D44" s="6" t="s">
        <v>3653</v>
      </c>
      <c r="E44" s="40" t="s">
        <v>42</v>
      </c>
      <c r="F44" s="6" t="s">
        <v>10</v>
      </c>
      <c r="G44" s="108" t="s">
        <v>3610</v>
      </c>
      <c r="H44" s="104" t="s">
        <v>82</v>
      </c>
      <c r="I44" s="95" t="s">
        <v>3611</v>
      </c>
      <c r="J44" s="68" t="s">
        <v>3654</v>
      </c>
      <c r="K44" s="68"/>
      <c r="L44" s="68"/>
      <c r="M44" s="68"/>
      <c r="N44" s="68"/>
      <c r="O44" s="68" t="s">
        <v>3655</v>
      </c>
      <c r="P44" s="61" t="s">
        <v>3520</v>
      </c>
      <c r="Q44" s="61" t="s">
        <v>3656</v>
      </c>
      <c r="R44" s="6" t="s">
        <v>3648</v>
      </c>
      <c r="S44" s="6" t="s">
        <v>3505</v>
      </c>
      <c r="T44" s="6" t="s">
        <v>3506</v>
      </c>
      <c r="U44" s="6"/>
      <c r="V44" s="7">
        <v>45888</v>
      </c>
      <c r="W44" s="7">
        <v>45888</v>
      </c>
      <c r="X44" s="7">
        <v>45890</v>
      </c>
      <c r="Y44" s="7">
        <v>45894</v>
      </c>
      <c r="Z44" s="6"/>
      <c r="AA44" s="6"/>
      <c r="AB44" s="6"/>
      <c r="AC44" s="6"/>
      <c r="AD44" s="6"/>
      <c r="AE44" s="6"/>
      <c r="AF44" s="6"/>
      <c r="AG44" s="6"/>
      <c r="AH44" s="6"/>
      <c r="AI44" s="6"/>
      <c r="AJ44" s="6"/>
      <c r="AK44" s="6"/>
      <c r="AL44" s="6"/>
      <c r="AM44" s="6"/>
    </row>
    <row r="45" ht="47.25" customHeight="1" spans="1:39">
      <c r="A45" s="6" t="s">
        <v>78</v>
      </c>
      <c r="B45" s="7">
        <v>45839</v>
      </c>
      <c r="C45" s="6" t="str">
        <f t="shared" si="2"/>
        <v>2025年7月</v>
      </c>
      <c r="D45" s="6" t="s">
        <v>3657</v>
      </c>
      <c r="E45" s="40" t="s">
        <v>42</v>
      </c>
      <c r="F45" s="6" t="s">
        <v>10</v>
      </c>
      <c r="G45" s="95" t="s">
        <v>3635</v>
      </c>
      <c r="H45" s="104" t="s">
        <v>82</v>
      </c>
      <c r="I45" s="95" t="s">
        <v>3658</v>
      </c>
      <c r="J45" s="68" t="s">
        <v>3659</v>
      </c>
      <c r="K45" s="68"/>
      <c r="L45" s="68"/>
      <c r="M45" s="68"/>
      <c r="N45" s="68"/>
      <c r="O45" s="68" t="s">
        <v>3660</v>
      </c>
      <c r="P45" s="61" t="s">
        <v>3520</v>
      </c>
      <c r="Q45" s="61" t="s">
        <v>194</v>
      </c>
      <c r="R45" s="6" t="s">
        <v>3661</v>
      </c>
      <c r="S45" s="6" t="s">
        <v>3505</v>
      </c>
      <c r="T45" s="6" t="s">
        <v>3506</v>
      </c>
      <c r="U45" s="6"/>
      <c r="V45" s="6"/>
      <c r="W45" s="6"/>
      <c r="X45" s="6"/>
      <c r="Y45" s="6"/>
      <c r="Z45" s="6"/>
      <c r="AA45" s="6"/>
      <c r="AB45" s="6"/>
      <c r="AC45" s="6"/>
      <c r="AD45" s="6"/>
      <c r="AE45" s="6"/>
      <c r="AF45" s="6"/>
      <c r="AG45" s="6"/>
      <c r="AH45" s="6"/>
      <c r="AI45" s="6"/>
      <c r="AJ45" s="6"/>
      <c r="AK45" s="6"/>
      <c r="AL45" s="6"/>
      <c r="AM45" s="6"/>
    </row>
    <row r="46" ht="36.75" customHeight="1" spans="1:39">
      <c r="A46" s="6" t="s">
        <v>78</v>
      </c>
      <c r="B46" s="7">
        <v>45839</v>
      </c>
      <c r="C46" s="6" t="str">
        <f t="shared" si="2"/>
        <v>2025年7月</v>
      </c>
      <c r="D46" s="6" t="s">
        <v>3662</v>
      </c>
      <c r="E46" s="40" t="s">
        <v>40</v>
      </c>
      <c r="F46" s="6" t="s">
        <v>10</v>
      </c>
      <c r="G46" s="95" t="s">
        <v>3663</v>
      </c>
      <c r="H46" s="104" t="s">
        <v>82</v>
      </c>
      <c r="I46" s="61" t="s">
        <v>3664</v>
      </c>
      <c r="J46" s="68" t="s">
        <v>3665</v>
      </c>
      <c r="K46" s="61"/>
      <c r="L46" s="61"/>
      <c r="M46" s="61"/>
      <c r="N46" s="61"/>
      <c r="O46" s="61" t="s">
        <v>3666</v>
      </c>
      <c r="P46" s="61" t="s">
        <v>3520</v>
      </c>
      <c r="Q46" s="61" t="s">
        <v>85</v>
      </c>
      <c r="R46" s="6" t="s">
        <v>3648</v>
      </c>
      <c r="S46" s="6" t="s">
        <v>3505</v>
      </c>
      <c r="T46" s="6" t="s">
        <v>3506</v>
      </c>
      <c r="U46" s="6"/>
      <c r="V46" s="6"/>
      <c r="W46" s="6"/>
      <c r="X46" s="6"/>
      <c r="Y46" s="6"/>
      <c r="Z46" s="6"/>
      <c r="AA46" s="6"/>
      <c r="AB46" s="6"/>
      <c r="AC46" s="6"/>
      <c r="AD46" s="6"/>
      <c r="AE46" s="6"/>
      <c r="AF46" s="6"/>
      <c r="AG46" s="6"/>
      <c r="AH46" s="6"/>
      <c r="AI46" s="6"/>
      <c r="AJ46" s="6"/>
      <c r="AK46" s="6"/>
      <c r="AL46" s="6"/>
      <c r="AM46" s="6"/>
    </row>
    <row r="47" ht="33.75" customHeight="1" spans="1:39">
      <c r="A47" s="6" t="s">
        <v>78</v>
      </c>
      <c r="B47" s="7">
        <v>45839</v>
      </c>
      <c r="C47" s="6" t="str">
        <f t="shared" si="2"/>
        <v>2025年7月</v>
      </c>
      <c r="D47" s="6" t="s">
        <v>3667</v>
      </c>
      <c r="E47" s="40" t="s">
        <v>40</v>
      </c>
      <c r="F47" s="6" t="s">
        <v>10</v>
      </c>
      <c r="G47" s="95" t="s">
        <v>3668</v>
      </c>
      <c r="H47" s="104" t="s">
        <v>82</v>
      </c>
      <c r="I47" s="61" t="s">
        <v>3664</v>
      </c>
      <c r="J47" s="61" t="s">
        <v>3669</v>
      </c>
      <c r="K47" s="61"/>
      <c r="L47" s="61"/>
      <c r="M47" s="61"/>
      <c r="N47" s="61"/>
      <c r="O47" s="61" t="s">
        <v>3670</v>
      </c>
      <c r="P47" s="61" t="s">
        <v>3520</v>
      </c>
      <c r="Q47" s="61" t="s">
        <v>89</v>
      </c>
      <c r="R47" s="6"/>
      <c r="S47" s="6" t="s">
        <v>3505</v>
      </c>
      <c r="T47" s="6" t="s">
        <v>3506</v>
      </c>
      <c r="U47" s="6"/>
      <c r="V47" s="6"/>
      <c r="W47" s="6"/>
      <c r="X47" s="6"/>
      <c r="Y47" s="6"/>
      <c r="Z47" s="6"/>
      <c r="AA47" s="6"/>
      <c r="AB47" s="6"/>
      <c r="AC47" s="6"/>
      <c r="AD47" s="6"/>
      <c r="AE47" s="6"/>
      <c r="AF47" s="6"/>
      <c r="AG47" s="6"/>
      <c r="AH47" s="6"/>
      <c r="AI47" s="6"/>
      <c r="AJ47" s="6"/>
      <c r="AK47" s="6"/>
      <c r="AL47" s="6"/>
      <c r="AM47" s="6"/>
    </row>
    <row r="48" ht="51.75" customHeight="1" spans="1:39">
      <c r="A48" s="6" t="s">
        <v>78</v>
      </c>
      <c r="B48" s="7">
        <v>45849</v>
      </c>
      <c r="C48" s="6" t="str">
        <f t="shared" si="2"/>
        <v>2025年7月</v>
      </c>
      <c r="D48" s="6" t="s">
        <v>3671</v>
      </c>
      <c r="E48" s="40" t="s">
        <v>40</v>
      </c>
      <c r="F48" s="6" t="s">
        <v>10</v>
      </c>
      <c r="G48" s="95" t="s">
        <v>3672</v>
      </c>
      <c r="H48" s="104" t="s">
        <v>82</v>
      </c>
      <c r="I48" s="61" t="s">
        <v>1005</v>
      </c>
      <c r="J48" s="68" t="s">
        <v>3673</v>
      </c>
      <c r="K48" s="61"/>
      <c r="L48" s="61"/>
      <c r="M48" s="61"/>
      <c r="N48" s="61"/>
      <c r="O48" s="61" t="s">
        <v>3674</v>
      </c>
      <c r="P48" s="61" t="s">
        <v>3520</v>
      </c>
      <c r="Q48" s="61" t="s">
        <v>186</v>
      </c>
      <c r="R48" s="6" t="s">
        <v>3648</v>
      </c>
      <c r="S48" s="6" t="s">
        <v>3505</v>
      </c>
      <c r="T48" s="6" t="s">
        <v>3506</v>
      </c>
      <c r="U48" s="41" t="s">
        <v>3675</v>
      </c>
      <c r="V48" s="6"/>
      <c r="W48" s="6"/>
      <c r="X48" s="6"/>
      <c r="Y48" s="6"/>
      <c r="Z48" s="6"/>
      <c r="AA48" s="6"/>
      <c r="AB48" s="6"/>
      <c r="AC48" s="6"/>
      <c r="AD48" s="6"/>
      <c r="AE48" s="6"/>
      <c r="AF48" s="6"/>
      <c r="AG48" s="6"/>
      <c r="AH48" s="6"/>
      <c r="AI48" s="6"/>
      <c r="AJ48" s="6"/>
      <c r="AK48" s="6"/>
      <c r="AL48" s="6"/>
      <c r="AM48" s="6"/>
    </row>
    <row r="49" ht="41.25" customHeight="1" spans="1:39">
      <c r="A49" s="6" t="s">
        <v>78</v>
      </c>
      <c r="B49" s="7">
        <v>45855</v>
      </c>
      <c r="C49" s="6" t="str">
        <f t="shared" si="2"/>
        <v>2025年7月</v>
      </c>
      <c r="D49" s="6" t="s">
        <v>3676</v>
      </c>
      <c r="E49" s="40" t="s">
        <v>40</v>
      </c>
      <c r="F49" s="6" t="s">
        <v>10</v>
      </c>
      <c r="G49" s="95" t="s">
        <v>3677</v>
      </c>
      <c r="H49" s="104" t="s">
        <v>82</v>
      </c>
      <c r="I49" s="61" t="s">
        <v>1378</v>
      </c>
      <c r="J49" s="61"/>
      <c r="K49" s="61"/>
      <c r="L49" s="61"/>
      <c r="M49" s="61"/>
      <c r="N49" s="61"/>
      <c r="O49" s="61" t="s">
        <v>2901</v>
      </c>
      <c r="P49" s="61" t="s">
        <v>3526</v>
      </c>
      <c r="Q49" s="61" t="s">
        <v>124</v>
      </c>
      <c r="R49" s="6" t="s">
        <v>2904</v>
      </c>
      <c r="S49" s="6" t="s">
        <v>3505</v>
      </c>
      <c r="T49" s="6" t="s">
        <v>3506</v>
      </c>
      <c r="U49" s="6"/>
      <c r="V49" s="6"/>
      <c r="W49" s="6"/>
      <c r="X49" s="6"/>
      <c r="Y49" s="6"/>
      <c r="Z49" s="6"/>
      <c r="AA49" s="6"/>
      <c r="AB49" s="6"/>
      <c r="AC49" s="6"/>
      <c r="AD49" s="6"/>
      <c r="AE49" s="6"/>
      <c r="AF49" s="6"/>
      <c r="AG49" s="6"/>
      <c r="AH49" s="6"/>
      <c r="AI49" s="6"/>
      <c r="AJ49" s="6"/>
      <c r="AK49" s="6"/>
      <c r="AL49" s="6"/>
      <c r="AM49" s="6"/>
    </row>
    <row r="50" ht="28" spans="1:39">
      <c r="A50" s="6" t="s">
        <v>142</v>
      </c>
      <c r="B50" s="7">
        <v>45860</v>
      </c>
      <c r="C50" s="6" t="str">
        <f t="shared" si="2"/>
        <v>2025年7月</v>
      </c>
      <c r="D50" s="6" t="s">
        <v>3678</v>
      </c>
      <c r="E50" s="40" t="s">
        <v>40</v>
      </c>
      <c r="F50" s="6" t="s">
        <v>10</v>
      </c>
      <c r="G50" s="95" t="s">
        <v>3679</v>
      </c>
      <c r="H50" s="104" t="s">
        <v>82</v>
      </c>
      <c r="I50" s="61" t="s">
        <v>3680</v>
      </c>
      <c r="J50" s="61"/>
      <c r="K50" s="61"/>
      <c r="L50" s="61"/>
      <c r="M50" s="61"/>
      <c r="N50" s="61"/>
      <c r="O50" s="61" t="s">
        <v>3681</v>
      </c>
      <c r="P50" s="61" t="s">
        <v>3526</v>
      </c>
      <c r="Q50" s="61" t="s">
        <v>300</v>
      </c>
      <c r="R50" s="6" t="s">
        <v>3648</v>
      </c>
      <c r="S50" s="6" t="s">
        <v>3505</v>
      </c>
      <c r="T50" s="6" t="s">
        <v>3506</v>
      </c>
      <c r="U50" s="6"/>
      <c r="V50" s="6"/>
      <c r="W50" s="6"/>
      <c r="X50" s="6"/>
      <c r="Y50" s="6"/>
      <c r="Z50" s="6"/>
      <c r="AA50" s="6"/>
      <c r="AB50" s="6"/>
      <c r="AC50" s="6"/>
      <c r="AD50" s="6"/>
      <c r="AE50" s="6"/>
      <c r="AF50" s="6"/>
      <c r="AG50" s="6"/>
      <c r="AH50" s="6"/>
      <c r="AI50" s="6"/>
      <c r="AJ50" s="6"/>
      <c r="AK50" s="6"/>
      <c r="AL50" s="6"/>
      <c r="AM50" s="6"/>
    </row>
    <row r="51" ht="56" spans="1:39">
      <c r="A51" s="6" t="s">
        <v>142</v>
      </c>
      <c r="B51" s="7">
        <v>45862</v>
      </c>
      <c r="C51" s="6" t="str">
        <f t="shared" si="2"/>
        <v>2025年7月</v>
      </c>
      <c r="D51" s="71" t="s">
        <v>3682</v>
      </c>
      <c r="E51" s="40" t="s">
        <v>40</v>
      </c>
      <c r="F51" s="6" t="s">
        <v>11</v>
      </c>
      <c r="G51" s="95" t="s">
        <v>3683</v>
      </c>
      <c r="H51" s="104" t="s">
        <v>82</v>
      </c>
      <c r="I51" s="61"/>
      <c r="J51" s="108" t="s">
        <v>3684</v>
      </c>
      <c r="K51" s="61"/>
      <c r="L51" s="61"/>
      <c r="M51" s="61"/>
      <c r="N51" s="61"/>
      <c r="O51" s="61" t="s">
        <v>3685</v>
      </c>
      <c r="P51" s="61" t="s">
        <v>3520</v>
      </c>
      <c r="Q51" s="61" t="s">
        <v>111</v>
      </c>
      <c r="R51" s="6"/>
      <c r="S51" s="6" t="s">
        <v>3505</v>
      </c>
      <c r="T51" s="6" t="s">
        <v>3506</v>
      </c>
      <c r="U51" s="6"/>
      <c r="V51" s="6"/>
      <c r="W51" s="6"/>
      <c r="X51" s="6"/>
      <c r="Y51" s="6"/>
      <c r="Z51" s="6"/>
      <c r="AA51" s="6"/>
      <c r="AB51" s="6"/>
      <c r="AC51" s="6"/>
      <c r="AD51" s="6"/>
      <c r="AE51" s="6"/>
      <c r="AF51" s="6"/>
      <c r="AG51" s="6"/>
      <c r="AH51" s="6"/>
      <c r="AI51" s="6"/>
      <c r="AJ51" s="6"/>
      <c r="AK51" s="6"/>
      <c r="AL51" s="6"/>
      <c r="AM51" s="6"/>
    </row>
    <row r="52" ht="48" customHeight="1" spans="1:39">
      <c r="A52" s="6" t="s">
        <v>78</v>
      </c>
      <c r="B52" s="7">
        <v>45867</v>
      </c>
      <c r="C52" s="6" t="str">
        <f t="shared" si="2"/>
        <v>2025年7月</v>
      </c>
      <c r="D52" s="6" t="s">
        <v>3686</v>
      </c>
      <c r="E52" s="40" t="s">
        <v>42</v>
      </c>
      <c r="F52" s="6" t="s">
        <v>10</v>
      </c>
      <c r="G52" s="95" t="s">
        <v>3635</v>
      </c>
      <c r="H52" s="104" t="s">
        <v>82</v>
      </c>
      <c r="I52" s="61" t="s">
        <v>3687</v>
      </c>
      <c r="J52" s="68" t="s">
        <v>3688</v>
      </c>
      <c r="K52" s="68"/>
      <c r="L52" s="68"/>
      <c r="M52" s="68"/>
      <c r="N52" s="68"/>
      <c r="O52" s="68" t="s">
        <v>3689</v>
      </c>
      <c r="Q52" s="61" t="s">
        <v>194</v>
      </c>
      <c r="R52" s="6" t="s">
        <v>3690</v>
      </c>
      <c r="S52" s="6" t="s">
        <v>3505</v>
      </c>
      <c r="T52" s="6" t="s">
        <v>3506</v>
      </c>
      <c r="U52" s="6"/>
      <c r="V52" s="6"/>
      <c r="W52" s="6"/>
      <c r="X52" s="6"/>
      <c r="Y52" s="6"/>
      <c r="Z52" s="6"/>
      <c r="AA52" s="6"/>
      <c r="AB52" s="6"/>
      <c r="AC52" s="6"/>
      <c r="AD52" s="6"/>
      <c r="AE52" s="6"/>
      <c r="AF52" s="6"/>
      <c r="AG52" s="6"/>
      <c r="AH52" s="6"/>
      <c r="AI52" s="6"/>
      <c r="AJ52" s="6"/>
      <c r="AK52" s="6"/>
      <c r="AL52" s="6"/>
      <c r="AM52" s="6"/>
    </row>
    <row r="53" ht="39" customHeight="1" spans="1:39">
      <c r="A53" s="6" t="s">
        <v>78</v>
      </c>
      <c r="B53" s="7">
        <v>45867</v>
      </c>
      <c r="C53" s="6" t="str">
        <f t="shared" si="2"/>
        <v>2025年7月</v>
      </c>
      <c r="D53" s="6" t="s">
        <v>3691</v>
      </c>
      <c r="E53" s="40" t="s">
        <v>42</v>
      </c>
      <c r="F53" s="6" t="s">
        <v>10</v>
      </c>
      <c r="G53" s="95" t="s">
        <v>3610</v>
      </c>
      <c r="H53" s="104" t="s">
        <v>82</v>
      </c>
      <c r="I53" s="61" t="s">
        <v>3687</v>
      </c>
      <c r="J53" s="68" t="s">
        <v>3692</v>
      </c>
      <c r="K53" s="68"/>
      <c r="L53" s="68"/>
      <c r="M53" s="68"/>
      <c r="N53" s="68"/>
      <c r="O53" s="68" t="s">
        <v>3693</v>
      </c>
      <c r="Q53" s="61" t="s">
        <v>85</v>
      </c>
      <c r="R53" s="6" t="s">
        <v>3648</v>
      </c>
      <c r="S53" s="6" t="s">
        <v>3505</v>
      </c>
      <c r="T53" s="6" t="s">
        <v>3506</v>
      </c>
      <c r="U53" s="6"/>
      <c r="V53" s="6"/>
      <c r="W53" s="6"/>
      <c r="X53" s="6"/>
      <c r="Y53" s="6"/>
      <c r="Z53" s="6"/>
      <c r="AA53" s="6"/>
      <c r="AB53" s="6"/>
      <c r="AC53" s="6"/>
      <c r="AD53" s="6"/>
      <c r="AE53" s="6"/>
      <c r="AF53" s="6"/>
      <c r="AG53" s="6"/>
      <c r="AH53" s="6"/>
      <c r="AI53" s="6"/>
      <c r="AJ53" s="6"/>
      <c r="AK53" s="6"/>
      <c r="AL53" s="6"/>
      <c r="AM53" s="6"/>
    </row>
    <row r="54" ht="43.5" customHeight="1" spans="1:39">
      <c r="A54" s="6" t="s">
        <v>78</v>
      </c>
      <c r="B54" s="7">
        <v>45867</v>
      </c>
      <c r="C54" s="6" t="str">
        <f t="shared" si="2"/>
        <v>2025年7月</v>
      </c>
      <c r="D54" s="6" t="s">
        <v>3694</v>
      </c>
      <c r="E54" s="40" t="s">
        <v>42</v>
      </c>
      <c r="F54" s="6" t="s">
        <v>10</v>
      </c>
      <c r="G54" s="95" t="s">
        <v>3695</v>
      </c>
      <c r="H54" s="104" t="s">
        <v>82</v>
      </c>
      <c r="I54" s="61" t="s">
        <v>3696</v>
      </c>
      <c r="J54" s="68" t="s">
        <v>3697</v>
      </c>
      <c r="K54" s="68"/>
      <c r="L54" s="68"/>
      <c r="M54" s="68"/>
      <c r="N54" s="68"/>
      <c r="O54" s="68" t="s">
        <v>3697</v>
      </c>
      <c r="Q54" s="61" t="s">
        <v>85</v>
      </c>
      <c r="R54" s="6" t="s">
        <v>3648</v>
      </c>
      <c r="S54" s="6" t="s">
        <v>3505</v>
      </c>
      <c r="T54" s="6" t="s">
        <v>3506</v>
      </c>
      <c r="U54" s="6"/>
      <c r="V54" s="7">
        <v>45883</v>
      </c>
      <c r="W54" s="6" t="s">
        <v>3622</v>
      </c>
      <c r="X54" s="6"/>
      <c r="Y54" s="6"/>
      <c r="Z54" s="6"/>
      <c r="AA54" s="6"/>
      <c r="AB54" s="6"/>
      <c r="AC54" s="6"/>
      <c r="AD54" s="6"/>
      <c r="AE54" s="6"/>
      <c r="AF54" s="6"/>
      <c r="AG54" s="6"/>
      <c r="AH54" s="6"/>
      <c r="AI54" s="6"/>
      <c r="AJ54" s="6"/>
      <c r="AK54" s="6"/>
      <c r="AL54" s="6"/>
      <c r="AM54" s="6"/>
    </row>
    <row r="55" ht="28" spans="1:39">
      <c r="A55" s="6" t="s">
        <v>142</v>
      </c>
      <c r="B55" s="7">
        <v>45869</v>
      </c>
      <c r="C55" s="6" t="str">
        <f t="shared" si="2"/>
        <v>2025年7月</v>
      </c>
      <c r="D55" s="41" t="s">
        <v>3698</v>
      </c>
      <c r="E55" s="40" t="s">
        <v>42</v>
      </c>
      <c r="F55" s="6" t="s">
        <v>10</v>
      </c>
      <c r="G55" s="95" t="s">
        <v>3699</v>
      </c>
      <c r="H55" s="104" t="s">
        <v>82</v>
      </c>
      <c r="I55" s="61" t="s">
        <v>3700</v>
      </c>
      <c r="J55" s="61"/>
      <c r="K55" s="68"/>
      <c r="L55" s="68"/>
      <c r="M55" s="68"/>
      <c r="N55" s="68"/>
      <c r="O55" s="68" t="s">
        <v>3701</v>
      </c>
      <c r="Q55" s="61" t="s">
        <v>261</v>
      </c>
      <c r="R55" s="6" t="s">
        <v>3648</v>
      </c>
      <c r="S55" s="6" t="s">
        <v>3505</v>
      </c>
      <c r="T55" s="6" t="s">
        <v>3506</v>
      </c>
      <c r="U55" s="6"/>
      <c r="V55" s="6"/>
      <c r="W55" s="6"/>
      <c r="X55" s="6"/>
      <c r="Y55" s="6"/>
      <c r="Z55" s="6"/>
      <c r="AA55" s="6"/>
      <c r="AB55" s="6"/>
      <c r="AC55" s="6"/>
      <c r="AD55" s="6"/>
      <c r="AE55" s="6"/>
      <c r="AF55" s="6"/>
      <c r="AG55" s="6"/>
      <c r="AH55" s="6"/>
      <c r="AI55" s="6"/>
      <c r="AJ55" s="6"/>
      <c r="AK55" s="6"/>
      <c r="AL55" s="6"/>
      <c r="AM55" s="6"/>
    </row>
    <row r="56" ht="35.25" customHeight="1" spans="1:39">
      <c r="A56" s="6" t="s">
        <v>207</v>
      </c>
      <c r="B56" s="7">
        <v>45875</v>
      </c>
      <c r="C56" s="6" t="str">
        <f t="shared" si="2"/>
        <v>2025年8月</v>
      </c>
      <c r="D56" s="6" t="s">
        <v>3702</v>
      </c>
      <c r="E56" s="40" t="s">
        <v>40</v>
      </c>
      <c r="F56" s="6" t="s">
        <v>11</v>
      </c>
      <c r="G56" s="95" t="s">
        <v>3703</v>
      </c>
      <c r="H56" s="104" t="s">
        <v>82</v>
      </c>
      <c r="I56" s="61"/>
      <c r="J56" s="61"/>
      <c r="K56" s="61"/>
      <c r="L56" s="61"/>
      <c r="M56" s="61"/>
      <c r="N56" s="61"/>
      <c r="O56" s="61" t="s">
        <v>3704</v>
      </c>
      <c r="Q56" s="61" t="s">
        <v>111</v>
      </c>
      <c r="R56" s="6"/>
      <c r="S56" s="6" t="s">
        <v>3545</v>
      </c>
      <c r="T56" s="6" t="s">
        <v>3506</v>
      </c>
      <c r="U56" s="6"/>
      <c r="V56" s="6"/>
      <c r="W56" s="6"/>
      <c r="X56" s="6"/>
      <c r="Y56" s="6"/>
      <c r="Z56" s="6"/>
      <c r="AA56" s="6"/>
      <c r="AB56" s="6"/>
      <c r="AC56" s="6"/>
      <c r="AD56" s="6"/>
      <c r="AE56" s="6"/>
      <c r="AF56" s="6"/>
      <c r="AG56" s="6"/>
      <c r="AH56" s="6"/>
      <c r="AI56" s="6"/>
      <c r="AJ56" s="6"/>
      <c r="AK56" s="6"/>
      <c r="AL56" s="6"/>
      <c r="AM56" s="6"/>
    </row>
    <row r="57" ht="37.5" customHeight="1" spans="1:39">
      <c r="A57" s="6" t="s">
        <v>78</v>
      </c>
      <c r="B57" s="7">
        <v>45881</v>
      </c>
      <c r="C57" s="6" t="str">
        <f t="shared" si="2"/>
        <v>2025年8月</v>
      </c>
      <c r="D57" s="6" t="s">
        <v>3705</v>
      </c>
      <c r="E57" s="40" t="s">
        <v>42</v>
      </c>
      <c r="F57" s="6" t="s">
        <v>10</v>
      </c>
      <c r="G57" s="95" t="s">
        <v>3635</v>
      </c>
      <c r="H57" s="104" t="s">
        <v>82</v>
      </c>
      <c r="I57" s="95" t="s">
        <v>3706</v>
      </c>
      <c r="J57" s="68" t="s">
        <v>3707</v>
      </c>
      <c r="K57" s="68"/>
      <c r="L57" s="68"/>
      <c r="M57" s="68"/>
      <c r="N57" s="68"/>
      <c r="O57" s="68" t="s">
        <v>3708</v>
      </c>
      <c r="Q57" s="61" t="s">
        <v>194</v>
      </c>
      <c r="R57" s="6" t="s">
        <v>3690</v>
      </c>
      <c r="S57" s="6" t="s">
        <v>3505</v>
      </c>
      <c r="T57" s="6" t="s">
        <v>3506</v>
      </c>
      <c r="U57" s="6"/>
      <c r="V57" s="7">
        <v>45888</v>
      </c>
      <c r="W57" s="7">
        <v>45888</v>
      </c>
      <c r="X57" s="6"/>
      <c r="Y57" s="6"/>
      <c r="Z57" s="6"/>
      <c r="AA57" s="6"/>
      <c r="AB57" s="6"/>
      <c r="AC57" s="6"/>
      <c r="AD57" s="6"/>
      <c r="AE57" s="6"/>
      <c r="AF57" s="6"/>
      <c r="AG57" s="6"/>
      <c r="AH57" s="6"/>
      <c r="AI57" s="6"/>
      <c r="AJ57" s="6"/>
      <c r="AK57" s="6"/>
      <c r="AL57" s="6"/>
      <c r="AM57" s="6"/>
    </row>
    <row r="58" ht="36.75" customHeight="1" spans="1:39">
      <c r="A58" s="6" t="s">
        <v>207</v>
      </c>
      <c r="B58" s="7">
        <v>45891</v>
      </c>
      <c r="C58" s="6" t="str">
        <f t="shared" si="2"/>
        <v>2025年8月</v>
      </c>
      <c r="D58" s="6" t="s">
        <v>3709</v>
      </c>
      <c r="E58" s="40" t="s">
        <v>42</v>
      </c>
      <c r="F58" s="6" t="s">
        <v>10</v>
      </c>
      <c r="G58" s="95" t="s">
        <v>3695</v>
      </c>
      <c r="H58" s="104" t="s">
        <v>82</v>
      </c>
      <c r="I58" s="95" t="s">
        <v>3710</v>
      </c>
      <c r="J58" s="61"/>
      <c r="K58" s="68"/>
      <c r="L58" s="68"/>
      <c r="M58" s="68"/>
      <c r="N58" s="68"/>
      <c r="O58" s="68" t="s">
        <v>3711</v>
      </c>
      <c r="Q58" s="61" t="s">
        <v>85</v>
      </c>
      <c r="R58" s="6" t="s">
        <v>3712</v>
      </c>
      <c r="S58" s="6" t="s">
        <v>3505</v>
      </c>
      <c r="T58" s="6" t="s">
        <v>3506</v>
      </c>
      <c r="U58" s="6"/>
      <c r="V58" s="6"/>
      <c r="W58" s="6"/>
      <c r="X58" s="6"/>
      <c r="Y58" s="6"/>
      <c r="Z58" s="6"/>
      <c r="AA58" s="6"/>
      <c r="AB58" s="6"/>
      <c r="AC58" s="6"/>
      <c r="AD58" s="6"/>
      <c r="AE58" s="6"/>
      <c r="AF58" s="6"/>
      <c r="AG58" s="6"/>
      <c r="AH58" s="6"/>
      <c r="AI58" s="6"/>
      <c r="AJ58" s="6"/>
      <c r="AK58" s="6"/>
      <c r="AL58" s="6"/>
      <c r="AM58" s="6"/>
    </row>
    <row r="59" ht="28.5" customHeight="1" spans="1:39">
      <c r="A59" s="6" t="s">
        <v>207</v>
      </c>
      <c r="B59" s="7">
        <v>45896</v>
      </c>
      <c r="C59" s="6" t="str">
        <f t="shared" si="2"/>
        <v>2025年8月</v>
      </c>
      <c r="D59" s="41" t="s">
        <v>3713</v>
      </c>
      <c r="E59" s="40" t="s">
        <v>40</v>
      </c>
      <c r="F59" s="6" t="s">
        <v>11</v>
      </c>
      <c r="G59" s="95" t="s">
        <v>3714</v>
      </c>
      <c r="H59" s="104" t="s">
        <v>82</v>
      </c>
      <c r="I59" s="61"/>
      <c r="J59" s="61"/>
      <c r="K59" s="61"/>
      <c r="L59" s="61"/>
      <c r="M59" s="61"/>
      <c r="N59" s="61"/>
      <c r="O59" s="61" t="s">
        <v>3715</v>
      </c>
      <c r="Q59" s="61" t="s">
        <v>685</v>
      </c>
      <c r="R59" s="6" t="s">
        <v>3648</v>
      </c>
      <c r="S59" s="6" t="s">
        <v>3505</v>
      </c>
      <c r="T59" s="6" t="s">
        <v>3506</v>
      </c>
      <c r="U59" s="6"/>
      <c r="V59" s="6"/>
      <c r="W59" s="6"/>
      <c r="X59" s="6"/>
      <c r="Y59" s="6"/>
      <c r="Z59" s="6"/>
      <c r="AA59" s="6"/>
      <c r="AB59" s="6"/>
      <c r="AC59" s="6"/>
      <c r="AD59" s="6"/>
      <c r="AE59" s="6"/>
      <c r="AF59" s="6"/>
      <c r="AG59" s="6"/>
      <c r="AH59" s="6"/>
      <c r="AI59" s="6"/>
      <c r="AJ59" s="6"/>
      <c r="AK59" s="6"/>
      <c r="AL59" s="6"/>
      <c r="AM59" s="6"/>
    </row>
    <row r="60" ht="21" customHeight="1" spans="1:39">
      <c r="A60" s="6" t="s">
        <v>207</v>
      </c>
      <c r="B60" s="7">
        <v>45894</v>
      </c>
      <c r="C60" s="6" t="str">
        <f t="shared" si="2"/>
        <v>2025年8月</v>
      </c>
      <c r="D60" s="6" t="s">
        <v>3716</v>
      </c>
      <c r="E60" s="40" t="s">
        <v>40</v>
      </c>
      <c r="F60" s="6" t="s">
        <v>11</v>
      </c>
      <c r="G60" s="71" t="s">
        <v>3717</v>
      </c>
      <c r="H60" s="104" t="s">
        <v>82</v>
      </c>
      <c r="I60" s="59"/>
      <c r="J60" s="38" t="s">
        <v>3718</v>
      </c>
      <c r="K60" s="61"/>
      <c r="L60" s="61"/>
      <c r="M60" s="61"/>
      <c r="N60" s="61"/>
      <c r="O60" s="61" t="s">
        <v>3719</v>
      </c>
      <c r="Q60" s="61" t="s">
        <v>685</v>
      </c>
      <c r="R60" s="38" t="s">
        <v>3720</v>
      </c>
      <c r="S60" s="6" t="s">
        <v>3505</v>
      </c>
      <c r="T60" s="6" t="s">
        <v>3506</v>
      </c>
      <c r="U60" s="6"/>
      <c r="V60" s="7">
        <v>45897</v>
      </c>
      <c r="W60" s="6"/>
      <c r="X60" s="6"/>
      <c r="Y60" s="6"/>
      <c r="Z60" s="6"/>
      <c r="AA60" s="6"/>
      <c r="AB60" s="6"/>
      <c r="AC60" s="6"/>
      <c r="AD60" s="6"/>
      <c r="AE60" s="6"/>
      <c r="AF60" s="6"/>
      <c r="AG60" s="6"/>
      <c r="AH60" s="6"/>
      <c r="AI60" s="6"/>
      <c r="AJ60" s="6"/>
      <c r="AK60" s="6"/>
      <c r="AL60" s="6"/>
      <c r="AM60" s="6"/>
    </row>
    <row r="61" ht="21" customHeight="1" spans="1:39">
      <c r="A61" s="10"/>
      <c r="C61" s="10"/>
      <c r="E61" s="40"/>
      <c r="F61" s="6" t="s">
        <v>11</v>
      </c>
      <c r="G61" s="71" t="s">
        <v>3721</v>
      </c>
      <c r="H61" s="104" t="s">
        <v>82</v>
      </c>
      <c r="I61" s="59"/>
      <c r="J61" s="10"/>
      <c r="K61" s="61"/>
      <c r="L61" s="61"/>
      <c r="M61" s="61"/>
      <c r="N61" s="61"/>
      <c r="O61" s="61" t="s">
        <v>3722</v>
      </c>
      <c r="Q61" s="61" t="s">
        <v>685</v>
      </c>
      <c r="R61" s="38" t="s">
        <v>3723</v>
      </c>
      <c r="S61" s="6" t="s">
        <v>3505</v>
      </c>
      <c r="T61" s="6" t="s">
        <v>3506</v>
      </c>
      <c r="U61" s="6"/>
      <c r="V61" s="110"/>
      <c r="X61" s="6"/>
      <c r="Y61" s="6"/>
      <c r="Z61" s="6"/>
      <c r="AA61" s="6"/>
      <c r="AB61" s="6"/>
      <c r="AC61" s="6"/>
      <c r="AD61" s="6"/>
      <c r="AE61" s="6"/>
      <c r="AF61" s="6"/>
      <c r="AG61" s="6"/>
      <c r="AH61" s="6"/>
      <c r="AI61" s="6"/>
      <c r="AJ61" s="6"/>
      <c r="AK61" s="6"/>
      <c r="AL61" s="6"/>
      <c r="AM61" s="6"/>
    </row>
    <row r="62" ht="35.25" customHeight="1" spans="1:39">
      <c r="A62" s="6" t="s">
        <v>78</v>
      </c>
      <c r="B62" s="7">
        <v>45902</v>
      </c>
      <c r="C62" s="6" t="str">
        <f>YEAR(B62)&amp;"年"&amp;MONTH(B62)&amp;"月"</f>
        <v>2025年9月</v>
      </c>
      <c r="D62" s="6" t="s">
        <v>3724</v>
      </c>
      <c r="E62" s="40" t="s">
        <v>42</v>
      </c>
      <c r="F62" s="6" t="s">
        <v>10</v>
      </c>
      <c r="G62" s="108" t="s">
        <v>3631</v>
      </c>
      <c r="H62" s="104" t="s">
        <v>82</v>
      </c>
      <c r="I62" s="61" t="s">
        <v>3687</v>
      </c>
      <c r="J62" s="61"/>
      <c r="K62" s="6"/>
      <c r="L62" s="6"/>
      <c r="M62" s="6">
        <v>580000</v>
      </c>
      <c r="N62" s="6" t="s">
        <v>1172</v>
      </c>
      <c r="O62" s="68" t="s">
        <v>3725</v>
      </c>
      <c r="P62" s="61" t="s">
        <v>3520</v>
      </c>
      <c r="Q62" s="61" t="s">
        <v>85</v>
      </c>
      <c r="R62" s="6"/>
      <c r="S62" s="6" t="s">
        <v>3505</v>
      </c>
      <c r="T62" s="6" t="s">
        <v>3506</v>
      </c>
      <c r="U62" s="6"/>
      <c r="V62" s="6"/>
      <c r="W62" s="6"/>
      <c r="X62" s="6"/>
      <c r="Y62" s="6"/>
      <c r="Z62" s="6"/>
      <c r="AA62" s="6"/>
      <c r="AB62" s="6"/>
      <c r="AC62" s="6"/>
      <c r="AD62" s="6"/>
      <c r="AE62" s="6"/>
      <c r="AF62" s="6"/>
      <c r="AG62" s="6"/>
      <c r="AH62" s="6"/>
      <c r="AI62" s="6"/>
      <c r="AJ62" s="6"/>
      <c r="AK62" s="6"/>
      <c r="AL62" s="6"/>
      <c r="AM62" s="6"/>
    </row>
    <row r="63" ht="33.75" customHeight="1" spans="1:39">
      <c r="A63" s="6" t="s">
        <v>78</v>
      </c>
      <c r="B63" s="7">
        <v>45902</v>
      </c>
      <c r="C63" s="6" t="str">
        <f>YEAR(B63)&amp;"年"&amp;MONTH(B63)&amp;"月"</f>
        <v>2025年9月</v>
      </c>
      <c r="D63" s="41" t="s">
        <v>3726</v>
      </c>
      <c r="E63" s="40" t="s">
        <v>42</v>
      </c>
      <c r="F63" s="6" t="s">
        <v>10</v>
      </c>
      <c r="G63" s="108" t="s">
        <v>3727</v>
      </c>
      <c r="H63" s="104" t="s">
        <v>82</v>
      </c>
      <c r="I63" s="61" t="s">
        <v>3696</v>
      </c>
      <c r="J63" s="61"/>
      <c r="K63" s="68"/>
      <c r="L63" s="68"/>
      <c r="M63" s="68"/>
      <c r="N63" s="68"/>
      <c r="O63" s="68" t="s">
        <v>3728</v>
      </c>
      <c r="P63" s="61" t="s">
        <v>3520</v>
      </c>
      <c r="Q63" s="61" t="s">
        <v>161</v>
      </c>
      <c r="R63" s="6"/>
      <c r="S63" s="6" t="s">
        <v>3505</v>
      </c>
      <c r="T63" s="6" t="s">
        <v>3506</v>
      </c>
      <c r="U63" s="6"/>
      <c r="V63" s="6"/>
      <c r="W63" s="6"/>
      <c r="X63" s="6"/>
      <c r="Y63" s="6"/>
      <c r="Z63" s="6"/>
      <c r="AA63" s="6"/>
      <c r="AB63" s="6"/>
      <c r="AC63" s="6"/>
      <c r="AD63" s="6"/>
      <c r="AE63" s="6"/>
      <c r="AF63" s="6"/>
      <c r="AG63" s="6"/>
      <c r="AH63" s="6"/>
      <c r="AI63" s="6"/>
      <c r="AJ63" s="6"/>
      <c r="AK63" s="6"/>
      <c r="AL63" s="6"/>
      <c r="AM63" s="6"/>
    </row>
    <row r="64" ht="32.25" customHeight="1" spans="1:39">
      <c r="A64" s="10"/>
      <c r="C64" s="10"/>
      <c r="E64" s="40"/>
      <c r="F64" s="10"/>
      <c r="G64" s="108" t="s">
        <v>3729</v>
      </c>
      <c r="H64" s="104" t="s">
        <v>82</v>
      </c>
      <c r="I64" s="61" t="s">
        <v>3696</v>
      </c>
      <c r="J64" s="61"/>
      <c r="K64" s="68"/>
      <c r="L64" s="68"/>
      <c r="M64" s="68"/>
      <c r="N64" s="68"/>
      <c r="O64" s="68" t="s">
        <v>3730</v>
      </c>
      <c r="P64" s="61" t="s">
        <v>3520</v>
      </c>
      <c r="Q64" s="61" t="s">
        <v>540</v>
      </c>
      <c r="R64" s="6"/>
      <c r="S64" s="6" t="s">
        <v>3505</v>
      </c>
      <c r="T64" s="6" t="s">
        <v>3506</v>
      </c>
      <c r="U64" s="6"/>
      <c r="V64" s="6"/>
      <c r="W64" s="6"/>
      <c r="X64" s="6"/>
      <c r="Y64" s="6"/>
      <c r="Z64" s="6"/>
      <c r="AA64" s="6"/>
      <c r="AB64" s="6"/>
      <c r="AC64" s="6"/>
      <c r="AD64" s="6"/>
      <c r="AE64" s="6"/>
      <c r="AF64" s="6"/>
      <c r="AG64" s="6"/>
      <c r="AH64" s="6"/>
      <c r="AI64" s="6"/>
      <c r="AJ64" s="6"/>
      <c r="AK64" s="6"/>
      <c r="AL64" s="6"/>
      <c r="AM64" s="6"/>
    </row>
    <row r="65" ht="30.75" customHeight="1" spans="1:39">
      <c r="A65" s="6" t="s">
        <v>207</v>
      </c>
      <c r="B65" s="7">
        <v>45909</v>
      </c>
      <c r="C65" s="6" t="str">
        <f>YEAR(B65)&amp;"年"&amp;MONTH(B65)&amp;"月"</f>
        <v>2025年9月</v>
      </c>
      <c r="D65" s="6" t="s">
        <v>3731</v>
      </c>
      <c r="E65" s="40" t="s">
        <v>42</v>
      </c>
      <c r="F65" s="6" t="s">
        <v>10</v>
      </c>
      <c r="G65" s="95" t="s">
        <v>3695</v>
      </c>
      <c r="H65" s="104" t="s">
        <v>82</v>
      </c>
      <c r="I65" s="95" t="s">
        <v>3710</v>
      </c>
      <c r="J65" s="61"/>
      <c r="K65" s="68"/>
      <c r="L65" s="68"/>
      <c r="M65" s="68"/>
      <c r="N65" s="68"/>
      <c r="O65" s="68" t="s">
        <v>3732</v>
      </c>
      <c r="Q65" s="61" t="s">
        <v>85</v>
      </c>
      <c r="R65" s="6" t="s">
        <v>3733</v>
      </c>
      <c r="S65" s="6" t="s">
        <v>3505</v>
      </c>
      <c r="T65" s="6" t="s">
        <v>3506</v>
      </c>
      <c r="U65" s="6"/>
      <c r="V65" s="6"/>
      <c r="W65" s="6"/>
      <c r="X65" s="6"/>
      <c r="Y65" s="6"/>
      <c r="Z65" s="6"/>
      <c r="AA65" s="6"/>
      <c r="AB65" s="6"/>
      <c r="AC65" s="6"/>
      <c r="AD65" s="6"/>
      <c r="AE65" s="6"/>
      <c r="AF65" s="6"/>
      <c r="AG65" s="6"/>
      <c r="AH65" s="6"/>
      <c r="AI65" s="6"/>
      <c r="AJ65" s="6"/>
      <c r="AK65" s="6"/>
      <c r="AL65" s="6"/>
      <c r="AM65" s="6"/>
    </row>
    <row r="66" ht="30.75" customHeight="1" spans="1:39">
      <c r="A66" s="6" t="s">
        <v>78</v>
      </c>
      <c r="B66" s="7">
        <v>45919</v>
      </c>
      <c r="C66" s="6" t="str">
        <f>YEAR(B66)&amp;"年"&amp;MONTH(B66)&amp;"月"</f>
        <v>2025年9月</v>
      </c>
      <c r="D66" s="6" t="s">
        <v>3734</v>
      </c>
      <c r="E66" s="40" t="s">
        <v>42</v>
      </c>
      <c r="F66" s="6" t="s">
        <v>10</v>
      </c>
      <c r="G66" s="95" t="s">
        <v>3695</v>
      </c>
      <c r="H66" s="104" t="s">
        <v>82</v>
      </c>
      <c r="I66" s="61" t="s">
        <v>3735</v>
      </c>
      <c r="J66" s="61"/>
      <c r="K66" s="68"/>
      <c r="L66" s="68"/>
      <c r="M66" s="68"/>
      <c r="N66" s="68"/>
      <c r="O66" s="68"/>
      <c r="Q66" s="61" t="s">
        <v>85</v>
      </c>
      <c r="R66" s="6"/>
      <c r="S66" s="6" t="s">
        <v>3505</v>
      </c>
      <c r="T66" s="6" t="s">
        <v>3506</v>
      </c>
      <c r="U66" s="6"/>
      <c r="V66" s="6"/>
      <c r="W66" s="6"/>
      <c r="X66" s="6"/>
      <c r="Y66" s="6"/>
      <c r="Z66" s="6"/>
      <c r="AA66" s="6"/>
      <c r="AB66" s="6"/>
      <c r="AC66" s="6"/>
      <c r="AD66" s="6"/>
      <c r="AE66" s="6"/>
      <c r="AF66" s="6"/>
      <c r="AG66" s="6"/>
      <c r="AH66" s="6"/>
      <c r="AI66" s="6"/>
      <c r="AJ66" s="6"/>
      <c r="AK66" s="6"/>
      <c r="AL66" s="6"/>
      <c r="AM66" s="6"/>
    </row>
    <row r="67" ht="28.5" customHeight="1" spans="1:39">
      <c r="A67" s="6" t="s">
        <v>207</v>
      </c>
      <c r="B67" s="7">
        <v>45925</v>
      </c>
      <c r="C67" s="6" t="str">
        <f>YEAR(B67)&amp;"年"&amp;MONTH(B67)&amp;"月"</f>
        <v>2025年9月</v>
      </c>
      <c r="D67" s="6" t="s">
        <v>3736</v>
      </c>
      <c r="E67" s="40" t="s">
        <v>40</v>
      </c>
      <c r="F67" s="6" t="s">
        <v>11</v>
      </c>
      <c r="G67" s="108" t="s">
        <v>3721</v>
      </c>
      <c r="H67" s="104" t="s">
        <v>82</v>
      </c>
      <c r="I67" s="61"/>
      <c r="J67" s="61"/>
      <c r="K67" s="61"/>
      <c r="L67" s="61"/>
      <c r="M67" s="61"/>
      <c r="N67" s="61"/>
      <c r="O67" s="61" t="s">
        <v>3737</v>
      </c>
      <c r="Q67" s="61" t="s">
        <v>685</v>
      </c>
      <c r="R67" s="6"/>
      <c r="S67" s="6"/>
      <c r="T67" s="6"/>
      <c r="U67" s="6"/>
      <c r="V67" s="6"/>
      <c r="W67" s="6"/>
      <c r="X67" s="6"/>
      <c r="Y67" s="6"/>
      <c r="Z67" s="6"/>
      <c r="AA67" s="6"/>
      <c r="AB67" s="6"/>
      <c r="AC67" s="6"/>
      <c r="AD67" s="6"/>
      <c r="AE67" s="6"/>
      <c r="AF67" s="6"/>
      <c r="AG67" s="6"/>
      <c r="AH67" s="6"/>
      <c r="AI67" s="6"/>
      <c r="AJ67" s="6"/>
      <c r="AK67" s="6"/>
      <c r="AL67" s="6"/>
      <c r="AM67" s="6"/>
    </row>
    <row r="68" ht="30.75" customHeight="1" spans="1:39">
      <c r="A68" s="10"/>
      <c r="C68" s="10"/>
      <c r="E68" s="40"/>
      <c r="F68" s="10"/>
      <c r="G68" s="108" t="s">
        <v>3717</v>
      </c>
      <c r="H68" s="10"/>
      <c r="I68" s="61"/>
      <c r="J68" s="61"/>
      <c r="K68" s="61"/>
      <c r="L68" s="61"/>
      <c r="M68" s="61"/>
      <c r="N68" s="61"/>
      <c r="O68" s="61" t="s">
        <v>3719</v>
      </c>
      <c r="Q68" s="61" t="s">
        <v>685</v>
      </c>
      <c r="R68" s="6"/>
      <c r="S68" s="6"/>
      <c r="T68" s="6"/>
      <c r="U68" s="6"/>
      <c r="V68" s="6"/>
      <c r="W68" s="6"/>
      <c r="X68" s="6"/>
      <c r="Y68" s="6"/>
      <c r="Z68" s="6"/>
      <c r="AA68" s="6"/>
      <c r="AB68" s="6"/>
      <c r="AC68" s="6"/>
      <c r="AD68" s="6"/>
      <c r="AE68" s="6"/>
      <c r="AF68" s="6"/>
      <c r="AG68" s="6"/>
      <c r="AH68" s="6"/>
      <c r="AI68" s="6"/>
      <c r="AJ68" s="6"/>
      <c r="AK68" s="6"/>
      <c r="AL68" s="6"/>
      <c r="AM68" s="6"/>
    </row>
    <row r="69" ht="28" spans="1:39">
      <c r="A69" s="6" t="s">
        <v>207</v>
      </c>
      <c r="B69" s="7">
        <v>45926</v>
      </c>
      <c r="C69" s="6" t="str">
        <f>YEAR(B69)&amp;"年"&amp;MONTH(B69)&amp;"月"</f>
        <v>2025年9月</v>
      </c>
      <c r="D69" s="6" t="s">
        <v>3738</v>
      </c>
      <c r="E69" s="40" t="s">
        <v>40</v>
      </c>
      <c r="F69" s="6" t="s">
        <v>11</v>
      </c>
      <c r="G69" s="95" t="s">
        <v>3739</v>
      </c>
      <c r="H69" s="104" t="s">
        <v>82</v>
      </c>
      <c r="I69" s="61"/>
      <c r="J69" s="61"/>
      <c r="K69" s="61"/>
      <c r="L69" s="61"/>
      <c r="M69" s="61"/>
      <c r="N69" s="61"/>
      <c r="O69" s="61" t="s">
        <v>3740</v>
      </c>
      <c r="Q69" s="61"/>
      <c r="R69" s="6"/>
      <c r="S69" s="6"/>
      <c r="T69" s="6"/>
      <c r="U69" s="6"/>
      <c r="V69" s="6"/>
      <c r="W69" s="6"/>
      <c r="X69" s="6"/>
      <c r="Y69" s="6"/>
      <c r="Z69" s="6"/>
      <c r="AA69" s="6"/>
      <c r="AB69" s="6"/>
      <c r="AC69" s="6"/>
      <c r="AD69" s="6"/>
      <c r="AE69" s="6"/>
      <c r="AF69" s="6"/>
      <c r="AG69" s="6"/>
      <c r="AH69" s="6"/>
      <c r="AI69" s="6"/>
      <c r="AJ69" s="6"/>
      <c r="AK69" s="6"/>
      <c r="AL69" s="6"/>
      <c r="AM69" s="6"/>
    </row>
    <row r="70" ht="28" spans="1:39">
      <c r="A70" s="6" t="s">
        <v>142</v>
      </c>
      <c r="B70" s="7">
        <v>45926</v>
      </c>
      <c r="C70" s="6" t="str">
        <f>YEAR(B70)&amp;"年"&amp;MONTH(B70)&amp;"月"</f>
        <v>2025年9月</v>
      </c>
      <c r="D70" s="6" t="s">
        <v>3741</v>
      </c>
      <c r="E70" s="40" t="s">
        <v>40</v>
      </c>
      <c r="F70" s="6" t="s">
        <v>11</v>
      </c>
      <c r="G70" s="95" t="s">
        <v>3742</v>
      </c>
      <c r="H70" s="104" t="s">
        <v>82</v>
      </c>
      <c r="I70" s="61"/>
      <c r="J70" s="61"/>
      <c r="K70" s="61"/>
      <c r="L70" s="61"/>
      <c r="M70" s="61"/>
      <c r="N70" s="61"/>
      <c r="O70" s="61" t="s">
        <v>3743</v>
      </c>
      <c r="Q70" s="61" t="s">
        <v>685</v>
      </c>
      <c r="R70" s="6"/>
      <c r="S70" s="6" t="s">
        <v>3505</v>
      </c>
      <c r="T70" s="6" t="s">
        <v>3506</v>
      </c>
      <c r="U70" s="6"/>
      <c r="V70" s="6"/>
      <c r="W70" s="6"/>
      <c r="X70" s="6"/>
      <c r="Y70" s="6"/>
      <c r="Z70" s="6"/>
      <c r="AA70" s="6"/>
      <c r="AB70" s="6"/>
      <c r="AC70" s="6"/>
      <c r="AD70" s="6"/>
      <c r="AE70" s="6"/>
      <c r="AF70" s="6"/>
      <c r="AG70" s="6"/>
      <c r="AH70" s="6"/>
      <c r="AI70" s="6"/>
      <c r="AJ70" s="6"/>
      <c r="AK70" s="6"/>
      <c r="AL70" s="6"/>
      <c r="AM70" s="6"/>
    </row>
    <row r="71" ht="49.5" customHeight="1" spans="1:39">
      <c r="A71" s="6" t="s">
        <v>207</v>
      </c>
      <c r="B71" s="7">
        <v>45929</v>
      </c>
      <c r="C71" s="6" t="str">
        <f>YEAR(B71)&amp;"年"&amp;MONTH(B71)&amp;"月"</f>
        <v>2025年9月</v>
      </c>
      <c r="D71" s="6" t="s">
        <v>3744</v>
      </c>
      <c r="E71" s="40" t="s">
        <v>42</v>
      </c>
      <c r="F71" s="6" t="s">
        <v>10</v>
      </c>
      <c r="G71" s="95" t="s">
        <v>3699</v>
      </c>
      <c r="H71" s="104" t="s">
        <v>82</v>
      </c>
      <c r="I71" s="61" t="s">
        <v>3643</v>
      </c>
      <c r="J71" s="61"/>
      <c r="K71" s="68"/>
      <c r="L71" s="68"/>
      <c r="M71" s="68"/>
      <c r="N71" s="68"/>
      <c r="O71" s="68" t="s">
        <v>3745</v>
      </c>
      <c r="Q71" s="61" t="s">
        <v>927</v>
      </c>
      <c r="R71" s="6"/>
      <c r="S71" s="6" t="s">
        <v>3505</v>
      </c>
      <c r="T71" s="6" t="s">
        <v>3557</v>
      </c>
      <c r="U71" s="6"/>
      <c r="V71" s="6"/>
      <c r="W71" s="6"/>
      <c r="X71" s="6"/>
      <c r="Y71" s="6"/>
      <c r="Z71" s="6"/>
      <c r="AA71" s="6"/>
      <c r="AB71" s="6"/>
      <c r="AC71" s="6"/>
      <c r="AD71" s="6"/>
      <c r="AE71" s="6"/>
      <c r="AF71" s="6"/>
      <c r="AG71" s="6"/>
      <c r="AH71" s="6"/>
      <c r="AI71" s="6"/>
      <c r="AJ71" s="6"/>
      <c r="AK71" s="6"/>
      <c r="AL71" s="6"/>
      <c r="AM71" s="6"/>
    </row>
    <row r="72" ht="47.25" customHeight="1" spans="1:39">
      <c r="A72" s="10"/>
      <c r="C72" s="10"/>
      <c r="E72" s="40"/>
      <c r="F72" s="10"/>
      <c r="G72" s="95" t="s">
        <v>3642</v>
      </c>
      <c r="H72" s="104" t="s">
        <v>82</v>
      </c>
      <c r="I72" s="61" t="s">
        <v>3643</v>
      </c>
      <c r="J72" s="61"/>
      <c r="K72" s="68"/>
      <c r="L72" s="68"/>
      <c r="M72" s="68"/>
      <c r="N72" s="68"/>
      <c r="O72" s="68" t="s">
        <v>3644</v>
      </c>
      <c r="Q72" s="61" t="s">
        <v>1509</v>
      </c>
      <c r="R72" s="6"/>
      <c r="S72" s="6" t="s">
        <v>3505</v>
      </c>
      <c r="T72" s="6" t="s">
        <v>3557</v>
      </c>
      <c r="U72" s="6"/>
      <c r="V72" s="6"/>
      <c r="W72" s="6"/>
      <c r="X72" s="6"/>
      <c r="Y72" s="6"/>
      <c r="Z72" s="6"/>
      <c r="AA72" s="6"/>
      <c r="AB72" s="6"/>
      <c r="AC72" s="6"/>
      <c r="AD72" s="6"/>
      <c r="AE72" s="6"/>
      <c r="AF72" s="6"/>
      <c r="AG72" s="6"/>
      <c r="AH72" s="6"/>
      <c r="AI72" s="6"/>
      <c r="AJ72" s="6"/>
      <c r="AK72" s="6"/>
      <c r="AL72" s="6"/>
      <c r="AM72" s="6"/>
    </row>
    <row r="73" ht="55.5" customHeight="1" spans="1:39">
      <c r="A73" s="10"/>
      <c r="C73" s="10"/>
      <c r="E73" s="40"/>
      <c r="F73" s="10"/>
      <c r="G73" s="95" t="s">
        <v>3642</v>
      </c>
      <c r="H73" s="104" t="s">
        <v>82</v>
      </c>
      <c r="I73" s="61" t="s">
        <v>3643</v>
      </c>
      <c r="J73" s="61"/>
      <c r="K73" s="68"/>
      <c r="L73" s="68"/>
      <c r="M73" s="68"/>
      <c r="N73" s="68"/>
      <c r="O73" s="68" t="s">
        <v>3746</v>
      </c>
      <c r="Q73" s="61" t="s">
        <v>1509</v>
      </c>
      <c r="R73" s="6"/>
      <c r="S73" s="6" t="s">
        <v>3505</v>
      </c>
      <c r="T73" s="6" t="s">
        <v>3557</v>
      </c>
      <c r="U73" s="6"/>
      <c r="V73" s="6"/>
      <c r="W73" s="6"/>
      <c r="X73" s="6"/>
      <c r="Y73" s="6"/>
      <c r="Z73" s="6"/>
      <c r="AA73" s="6"/>
      <c r="AB73" s="6"/>
      <c r="AC73" s="6"/>
      <c r="AD73" s="6"/>
      <c r="AE73" s="6"/>
      <c r="AF73" s="6"/>
      <c r="AG73" s="6"/>
      <c r="AH73" s="6"/>
      <c r="AI73" s="6"/>
      <c r="AJ73" s="6"/>
      <c r="AK73" s="6"/>
      <c r="AL73" s="6"/>
      <c r="AM73" s="6"/>
    </row>
    <row r="74" ht="70" spans="1:39">
      <c r="A74" s="6" t="s">
        <v>142</v>
      </c>
      <c r="B74" s="7">
        <v>45929</v>
      </c>
      <c r="C74" s="6" t="str">
        <f t="shared" ref="C74:C80" si="3">YEAR(B74)&amp;"年"&amp;MONTH(B74)&amp;"月"</f>
        <v>2025年9月</v>
      </c>
      <c r="D74" s="41" t="s">
        <v>3747</v>
      </c>
      <c r="E74" s="40" t="s">
        <v>40</v>
      </c>
      <c r="F74" s="6" t="s">
        <v>10</v>
      </c>
      <c r="G74" s="95" t="s">
        <v>3748</v>
      </c>
      <c r="H74" s="104" t="s">
        <v>82</v>
      </c>
      <c r="I74" s="61" t="s">
        <v>3749</v>
      </c>
      <c r="J74" s="61"/>
      <c r="K74" s="61"/>
      <c r="L74" s="61"/>
      <c r="M74" s="61"/>
      <c r="N74" s="61"/>
      <c r="O74" s="61" t="s">
        <v>3750</v>
      </c>
      <c r="Q74" s="61" t="s">
        <v>161</v>
      </c>
      <c r="R74" s="6"/>
      <c r="S74" s="6"/>
      <c r="T74" s="6"/>
      <c r="U74" s="6"/>
      <c r="V74" s="6"/>
      <c r="W74" s="6"/>
      <c r="X74" s="6"/>
      <c r="Y74" s="6"/>
      <c r="Z74" s="6"/>
      <c r="AA74" s="6"/>
      <c r="AB74" s="6"/>
      <c r="AC74" s="6"/>
      <c r="AD74" s="6"/>
      <c r="AE74" s="6"/>
      <c r="AF74" s="6"/>
      <c r="AG74" s="6"/>
      <c r="AH74" s="6"/>
      <c r="AI74" s="6"/>
      <c r="AJ74" s="6"/>
      <c r="AK74" s="6"/>
      <c r="AL74" s="6"/>
      <c r="AM74" s="6"/>
    </row>
    <row r="75" ht="21" customHeight="1" spans="1:39">
      <c r="A75" s="6" t="s">
        <v>142</v>
      </c>
      <c r="B75" s="7">
        <v>45938</v>
      </c>
      <c r="C75" s="6" t="str">
        <f t="shared" si="3"/>
        <v>2025年10月</v>
      </c>
      <c r="D75" s="6" t="s">
        <v>3751</v>
      </c>
      <c r="E75" s="40" t="s">
        <v>40</v>
      </c>
      <c r="F75" s="6" t="s">
        <v>11</v>
      </c>
      <c r="G75" s="95" t="s">
        <v>3752</v>
      </c>
      <c r="H75" s="104" t="s">
        <v>82</v>
      </c>
      <c r="I75" s="61"/>
      <c r="J75" s="61"/>
      <c r="K75" s="61"/>
      <c r="L75" s="61"/>
      <c r="M75" s="61" t="s">
        <v>2232</v>
      </c>
      <c r="N75" s="61"/>
      <c r="O75" s="61" t="s">
        <v>3753</v>
      </c>
      <c r="Q75" s="61"/>
      <c r="R75" s="6"/>
      <c r="S75" s="6" t="s">
        <v>3545</v>
      </c>
      <c r="T75" s="6" t="s">
        <v>3506</v>
      </c>
      <c r="U75" s="6"/>
      <c r="V75" s="6"/>
      <c r="W75" s="6"/>
      <c r="X75" s="6"/>
      <c r="Y75" s="6"/>
      <c r="Z75" s="6"/>
      <c r="AA75" s="6"/>
      <c r="AB75" s="6"/>
      <c r="AC75" s="6"/>
      <c r="AD75" s="6"/>
      <c r="AE75" s="6"/>
      <c r="AF75" s="6"/>
      <c r="AG75" s="6"/>
      <c r="AH75" s="6"/>
      <c r="AI75" s="6"/>
      <c r="AJ75" s="6"/>
      <c r="AK75" s="6"/>
      <c r="AL75" s="6"/>
      <c r="AM75" s="6"/>
    </row>
    <row r="76" ht="28" spans="1:39">
      <c r="A76" s="6" t="s">
        <v>142</v>
      </c>
      <c r="B76" s="7">
        <v>45936</v>
      </c>
      <c r="C76" s="6" t="str">
        <f t="shared" si="3"/>
        <v>2025年10月</v>
      </c>
      <c r="D76" s="6" t="s">
        <v>3754</v>
      </c>
      <c r="E76" s="40" t="s">
        <v>40</v>
      </c>
      <c r="F76" s="6" t="s">
        <v>11</v>
      </c>
      <c r="G76" s="95" t="s">
        <v>3752</v>
      </c>
      <c r="H76" s="104" t="s">
        <v>82</v>
      </c>
      <c r="I76" s="61"/>
      <c r="J76" s="61"/>
      <c r="K76" s="61"/>
      <c r="L76" s="61"/>
      <c r="M76" s="61" t="s">
        <v>2232</v>
      </c>
      <c r="N76" s="61"/>
      <c r="O76" s="61" t="s">
        <v>3753</v>
      </c>
      <c r="Q76" s="61"/>
      <c r="R76" s="6"/>
      <c r="S76" s="6" t="s">
        <v>3545</v>
      </c>
      <c r="T76" s="6" t="s">
        <v>3506</v>
      </c>
      <c r="U76" s="6"/>
      <c r="V76" s="6"/>
      <c r="W76" s="6"/>
      <c r="X76" s="6"/>
      <c r="Y76" s="6"/>
      <c r="Z76" s="6"/>
      <c r="AA76" s="6"/>
      <c r="AB76" s="6"/>
      <c r="AC76" s="6"/>
      <c r="AD76" s="6"/>
      <c r="AE76" s="6"/>
      <c r="AF76" s="6"/>
      <c r="AG76" s="6"/>
      <c r="AH76" s="6"/>
      <c r="AI76" s="6"/>
      <c r="AJ76" s="6"/>
      <c r="AK76" s="6"/>
      <c r="AL76" s="6"/>
      <c r="AM76" s="6"/>
    </row>
    <row r="77" ht="28" spans="1:39">
      <c r="A77" s="6" t="s">
        <v>142</v>
      </c>
      <c r="B77" s="7">
        <v>45939</v>
      </c>
      <c r="C77" s="6" t="str">
        <f t="shared" si="3"/>
        <v>2025年10月</v>
      </c>
      <c r="D77" s="41" t="s">
        <v>3755</v>
      </c>
      <c r="E77" s="40" t="s">
        <v>40</v>
      </c>
      <c r="F77" s="6" t="s">
        <v>10</v>
      </c>
      <c r="G77" s="95" t="s">
        <v>3677</v>
      </c>
      <c r="H77" s="104" t="s">
        <v>82</v>
      </c>
      <c r="I77" s="61" t="s">
        <v>1378</v>
      </c>
      <c r="J77" s="61"/>
      <c r="K77" s="61"/>
      <c r="L77" s="61"/>
      <c r="M77" s="61" t="s">
        <v>2232</v>
      </c>
      <c r="N77" s="61"/>
      <c r="O77" s="61" t="s">
        <v>3756</v>
      </c>
      <c r="Q77" s="61"/>
      <c r="R77" s="6"/>
      <c r="S77" s="6" t="s">
        <v>3505</v>
      </c>
      <c r="T77" s="6" t="s">
        <v>3506</v>
      </c>
      <c r="U77" s="6"/>
      <c r="V77" s="6"/>
      <c r="W77" s="6"/>
      <c r="X77" s="6"/>
      <c r="Y77" s="6"/>
      <c r="Z77" s="6"/>
      <c r="AA77" s="6"/>
      <c r="AB77" s="6"/>
      <c r="AC77" s="6"/>
      <c r="AD77" s="6"/>
      <c r="AE77" s="6"/>
      <c r="AF77" s="6"/>
      <c r="AG77" s="6"/>
      <c r="AH77" s="6"/>
      <c r="AI77" s="6"/>
      <c r="AJ77" s="6"/>
      <c r="AK77" s="6"/>
      <c r="AL77" s="6"/>
      <c r="AM77" s="6"/>
    </row>
    <row r="78" ht="21" customHeight="1" spans="1:39">
      <c r="A78" s="6" t="s">
        <v>207</v>
      </c>
      <c r="B78" s="7">
        <v>45947</v>
      </c>
      <c r="C78" s="6" t="str">
        <f t="shared" si="3"/>
        <v>2025年10月</v>
      </c>
      <c r="D78" s="6" t="s">
        <v>3757</v>
      </c>
      <c r="E78" s="40" t="s">
        <v>40</v>
      </c>
      <c r="F78" s="6" t="s">
        <v>11</v>
      </c>
      <c r="G78" s="95" t="s">
        <v>3758</v>
      </c>
      <c r="H78" s="104" t="s">
        <v>82</v>
      </c>
      <c r="I78" s="61"/>
      <c r="J78" s="61"/>
      <c r="K78" s="61"/>
      <c r="L78" s="61"/>
      <c r="M78" s="61" t="s">
        <v>2232</v>
      </c>
      <c r="N78" s="61"/>
      <c r="O78" s="61" t="s">
        <v>3759</v>
      </c>
      <c r="Q78" s="61"/>
      <c r="R78" s="6"/>
      <c r="S78" s="6" t="s">
        <v>3505</v>
      </c>
      <c r="T78" s="6" t="s">
        <v>3506</v>
      </c>
      <c r="U78" s="6"/>
      <c r="V78" s="6"/>
      <c r="W78" s="6"/>
      <c r="X78" s="6"/>
      <c r="Y78" s="6"/>
      <c r="Z78" s="6"/>
      <c r="AA78" s="6"/>
      <c r="AB78" s="6"/>
      <c r="AC78" s="6"/>
      <c r="AD78" s="6"/>
      <c r="AE78" s="6"/>
      <c r="AF78" s="6"/>
      <c r="AG78" s="6"/>
      <c r="AH78" s="6"/>
      <c r="AI78" s="6"/>
      <c r="AJ78" s="6"/>
      <c r="AK78" s="6"/>
      <c r="AL78" s="6"/>
      <c r="AM78" s="6"/>
    </row>
    <row r="79" ht="42" spans="1:39">
      <c r="A79" s="6" t="s">
        <v>207</v>
      </c>
      <c r="B79" s="7">
        <v>45952</v>
      </c>
      <c r="C79" s="6" t="str">
        <f t="shared" si="3"/>
        <v>2025年10月</v>
      </c>
      <c r="D79" s="6" t="s">
        <v>3760</v>
      </c>
      <c r="E79" s="40" t="s">
        <v>40</v>
      </c>
      <c r="F79" s="6" t="s">
        <v>12</v>
      </c>
      <c r="G79" s="95" t="s">
        <v>3761</v>
      </c>
      <c r="H79" s="104" t="s">
        <v>82</v>
      </c>
      <c r="I79" s="61"/>
      <c r="J79" s="61"/>
      <c r="K79" s="61"/>
      <c r="L79" s="61"/>
      <c r="M79" s="61" t="s">
        <v>2232</v>
      </c>
      <c r="N79" s="61"/>
      <c r="O79" s="61" t="s">
        <v>3762</v>
      </c>
      <c r="Q79" s="61"/>
      <c r="R79" s="6"/>
      <c r="S79" s="6" t="s">
        <v>3505</v>
      </c>
      <c r="T79" s="6" t="s">
        <v>3506</v>
      </c>
      <c r="U79" s="6" t="s">
        <v>3763</v>
      </c>
      <c r="V79" s="6"/>
      <c r="W79" s="6"/>
      <c r="X79" s="6"/>
      <c r="Y79" s="6"/>
      <c r="Z79" s="6"/>
      <c r="AA79" s="6"/>
      <c r="AB79" s="6"/>
      <c r="AC79" s="6"/>
      <c r="AD79" s="6"/>
      <c r="AE79" s="6"/>
      <c r="AF79" s="6"/>
      <c r="AG79" s="6"/>
      <c r="AH79" s="6"/>
      <c r="AI79" s="6"/>
      <c r="AJ79" s="6"/>
      <c r="AK79" s="6"/>
      <c r="AL79" s="6"/>
      <c r="AM79" s="6"/>
    </row>
    <row r="80" ht="30" customHeight="1" spans="1:39">
      <c r="A80" s="6" t="s">
        <v>207</v>
      </c>
      <c r="B80" s="7">
        <v>45953</v>
      </c>
      <c r="C80" s="6" t="str">
        <f t="shared" si="3"/>
        <v>2025年10月</v>
      </c>
      <c r="D80" s="41" t="s">
        <v>3764</v>
      </c>
      <c r="E80" s="40" t="s">
        <v>40</v>
      </c>
      <c r="F80" s="6" t="s">
        <v>11</v>
      </c>
      <c r="G80" s="95" t="s">
        <v>3765</v>
      </c>
      <c r="H80" s="104" t="s">
        <v>82</v>
      </c>
      <c r="I80" s="61"/>
      <c r="J80" s="61"/>
      <c r="K80" s="61"/>
      <c r="L80" s="61"/>
      <c r="M80" s="61">
        <v>12500</v>
      </c>
      <c r="N80" s="61" t="s">
        <v>149</v>
      </c>
      <c r="O80" s="61" t="s">
        <v>3766</v>
      </c>
      <c r="Q80" s="61"/>
      <c r="R80" s="6"/>
      <c r="S80" s="6" t="s">
        <v>3545</v>
      </c>
      <c r="T80" s="6" t="s">
        <v>3506</v>
      </c>
      <c r="U80" s="6" t="s">
        <v>3767</v>
      </c>
      <c r="V80" s="6"/>
      <c r="W80" s="6"/>
      <c r="X80" s="6"/>
      <c r="Y80" s="6"/>
      <c r="Z80" s="6"/>
      <c r="AA80" s="6"/>
      <c r="AB80" s="6"/>
      <c r="AC80" s="6"/>
      <c r="AD80" s="6"/>
      <c r="AE80" s="6"/>
      <c r="AF80" s="6"/>
      <c r="AG80" s="6"/>
      <c r="AH80" s="6"/>
      <c r="AI80" s="6"/>
      <c r="AJ80" s="6"/>
      <c r="AK80" s="6"/>
      <c r="AL80" s="6"/>
      <c r="AM80" s="6"/>
    </row>
    <row r="81" ht="30" customHeight="1" spans="1:39">
      <c r="A81" s="10"/>
      <c r="C81" s="10"/>
      <c r="E81" s="40"/>
      <c r="F81" s="6" t="s">
        <v>11</v>
      </c>
      <c r="G81" s="95" t="s">
        <v>3768</v>
      </c>
      <c r="H81" s="104" t="s">
        <v>82</v>
      </c>
      <c r="I81" s="61"/>
      <c r="J81" s="61"/>
      <c r="K81" s="61"/>
      <c r="L81" s="61"/>
      <c r="M81" s="10"/>
      <c r="N81" s="10"/>
      <c r="O81" s="61" t="s">
        <v>3769</v>
      </c>
      <c r="Q81" s="61"/>
      <c r="R81" s="6"/>
      <c r="S81" s="6" t="s">
        <v>3545</v>
      </c>
      <c r="T81" s="6" t="s">
        <v>3506</v>
      </c>
      <c r="U81" s="6" t="s">
        <v>3767</v>
      </c>
      <c r="V81" s="6"/>
      <c r="W81" s="6"/>
      <c r="X81" s="6"/>
      <c r="Y81" s="6"/>
      <c r="Z81" s="6"/>
      <c r="AA81" s="6"/>
      <c r="AB81" s="6"/>
      <c r="AC81" s="6"/>
      <c r="AD81" s="6"/>
      <c r="AE81" s="6"/>
      <c r="AF81" s="6"/>
      <c r="AG81" s="6"/>
      <c r="AH81" s="6"/>
      <c r="AI81" s="6"/>
      <c r="AJ81" s="6"/>
      <c r="AK81" s="6"/>
      <c r="AL81" s="6"/>
      <c r="AM81" s="6"/>
    </row>
    <row r="82" ht="56" spans="1:39">
      <c r="A82" s="6" t="s">
        <v>207</v>
      </c>
      <c r="B82" s="7">
        <v>45954</v>
      </c>
      <c r="C82" s="6" t="str">
        <f t="shared" ref="C82:C102" si="4">YEAR(B82)&amp;"年"&amp;MONTH(B82)&amp;"月"</f>
        <v>2025年10月</v>
      </c>
      <c r="D82" s="41" t="s">
        <v>3770</v>
      </c>
      <c r="E82" s="40" t="s">
        <v>40</v>
      </c>
      <c r="F82" s="6" t="s">
        <v>11</v>
      </c>
      <c r="G82" s="95" t="s">
        <v>3771</v>
      </c>
      <c r="H82" s="104" t="s">
        <v>82</v>
      </c>
      <c r="I82" s="61"/>
      <c r="J82" s="61"/>
      <c r="K82" s="76"/>
      <c r="L82" s="76"/>
      <c r="M82" s="76">
        <v>7112</v>
      </c>
      <c r="N82" s="61" t="s">
        <v>149</v>
      </c>
      <c r="O82" s="61" t="s">
        <v>3772</v>
      </c>
      <c r="Q82" s="61"/>
      <c r="R82" s="6"/>
      <c r="S82" s="6" t="s">
        <v>3505</v>
      </c>
      <c r="T82" s="6" t="s">
        <v>3506</v>
      </c>
      <c r="U82" s="6"/>
      <c r="V82" s="6"/>
      <c r="W82" s="6"/>
      <c r="X82" s="6"/>
      <c r="Y82" s="6"/>
      <c r="Z82" s="6"/>
      <c r="AA82" s="6"/>
      <c r="AB82" s="6"/>
      <c r="AC82" s="6"/>
      <c r="AD82" s="6"/>
      <c r="AE82" s="6"/>
      <c r="AF82" s="6"/>
      <c r="AG82" s="6"/>
      <c r="AH82" s="6"/>
      <c r="AI82" s="6"/>
      <c r="AJ82" s="6"/>
      <c r="AK82" s="6"/>
      <c r="AL82" s="6"/>
      <c r="AM82" s="6"/>
    </row>
    <row r="83" ht="29.25" customHeight="1" spans="1:39">
      <c r="A83" s="6" t="s">
        <v>78</v>
      </c>
      <c r="B83" s="7">
        <v>45954</v>
      </c>
      <c r="C83" s="6" t="str">
        <f t="shared" si="4"/>
        <v>2025年10月</v>
      </c>
      <c r="D83" s="6" t="s">
        <v>3773</v>
      </c>
      <c r="E83" s="40" t="s">
        <v>52</v>
      </c>
      <c r="F83" s="6" t="s">
        <v>10</v>
      </c>
      <c r="G83" s="95" t="s">
        <v>3774</v>
      </c>
      <c r="H83" s="104" t="s">
        <v>82</v>
      </c>
      <c r="I83" s="61" t="s">
        <v>3664</v>
      </c>
      <c r="J83" s="61"/>
      <c r="K83" s="61"/>
      <c r="L83" s="61"/>
      <c r="M83" s="61" t="s">
        <v>2232</v>
      </c>
      <c r="N83" s="61"/>
      <c r="O83" s="61" t="s">
        <v>3775</v>
      </c>
      <c r="P83" s="61" t="s">
        <v>3520</v>
      </c>
      <c r="Q83" s="61"/>
      <c r="R83" s="6" t="s">
        <v>3690</v>
      </c>
      <c r="S83" s="6" t="s">
        <v>3505</v>
      </c>
      <c r="T83" s="6" t="s">
        <v>3506</v>
      </c>
      <c r="U83" s="6" t="s">
        <v>2981</v>
      </c>
      <c r="V83" s="6"/>
      <c r="W83" s="6"/>
      <c r="X83" s="6"/>
      <c r="Y83" s="6"/>
      <c r="Z83" s="6"/>
      <c r="AA83" s="6"/>
      <c r="AB83" s="6"/>
      <c r="AC83" s="6"/>
      <c r="AD83" s="6"/>
      <c r="AE83" s="6"/>
      <c r="AF83" s="6"/>
      <c r="AG83" s="6"/>
      <c r="AH83" s="6"/>
      <c r="AI83" s="6"/>
      <c r="AJ83" s="6"/>
      <c r="AK83" s="6"/>
      <c r="AL83" s="6"/>
      <c r="AM83" s="6"/>
    </row>
    <row r="84" ht="42" spans="1:39">
      <c r="A84" s="6" t="s">
        <v>142</v>
      </c>
      <c r="B84" s="7">
        <v>45957</v>
      </c>
      <c r="C84" s="6" t="str">
        <f t="shared" si="4"/>
        <v>2025年10月</v>
      </c>
      <c r="D84" s="6" t="s">
        <v>3776</v>
      </c>
      <c r="E84" s="40" t="s">
        <v>40</v>
      </c>
      <c r="F84" s="6" t="s">
        <v>12</v>
      </c>
      <c r="G84" s="95" t="s">
        <v>3761</v>
      </c>
      <c r="H84" s="104" t="s">
        <v>82</v>
      </c>
      <c r="I84" s="61"/>
      <c r="J84" s="61"/>
      <c r="K84" s="61"/>
      <c r="L84" s="61"/>
      <c r="M84" s="61">
        <v>30</v>
      </c>
      <c r="N84" s="61" t="s">
        <v>149</v>
      </c>
      <c r="O84" s="61" t="s">
        <v>3762</v>
      </c>
      <c r="Q84" s="61"/>
      <c r="R84" s="6"/>
      <c r="S84" s="6" t="s">
        <v>3505</v>
      </c>
      <c r="T84" s="6" t="s">
        <v>3506</v>
      </c>
      <c r="U84" s="6"/>
      <c r="V84" s="6"/>
      <c r="W84" s="6"/>
      <c r="X84" s="6"/>
      <c r="Y84" s="6"/>
      <c r="Z84" s="6"/>
      <c r="AA84" s="6"/>
      <c r="AB84" s="6"/>
      <c r="AC84" s="6"/>
      <c r="AD84" s="6"/>
      <c r="AE84" s="6"/>
      <c r="AF84" s="6"/>
      <c r="AG84" s="6"/>
      <c r="AH84" s="6"/>
      <c r="AI84" s="6"/>
      <c r="AJ84" s="6"/>
      <c r="AK84" s="6"/>
      <c r="AL84" s="6"/>
      <c r="AM84" s="6"/>
    </row>
    <row r="85" ht="28" spans="1:39">
      <c r="A85" s="6" t="s">
        <v>207</v>
      </c>
      <c r="B85" s="7">
        <v>45959</v>
      </c>
      <c r="C85" s="6" t="str">
        <f t="shared" si="4"/>
        <v>2025年10月</v>
      </c>
      <c r="D85" s="6" t="s">
        <v>3777</v>
      </c>
      <c r="E85" s="40" t="s">
        <v>40</v>
      </c>
      <c r="F85" s="6" t="s">
        <v>11</v>
      </c>
      <c r="G85" s="95" t="s">
        <v>3778</v>
      </c>
      <c r="H85" s="104" t="s">
        <v>82</v>
      </c>
      <c r="I85" s="61"/>
      <c r="J85" s="61"/>
      <c r="K85" s="61"/>
      <c r="L85" s="61"/>
      <c r="M85" s="61">
        <v>200000</v>
      </c>
      <c r="N85" s="61" t="s">
        <v>149</v>
      </c>
      <c r="O85" s="61" t="s">
        <v>3779</v>
      </c>
      <c r="Q85" s="61"/>
      <c r="R85" s="6"/>
      <c r="S85" s="6" t="s">
        <v>3505</v>
      </c>
      <c r="T85" s="6" t="s">
        <v>3506</v>
      </c>
      <c r="U85" s="6"/>
      <c r="V85" s="6"/>
      <c r="W85" s="6"/>
      <c r="X85" s="6"/>
      <c r="Y85" s="6"/>
      <c r="Z85" s="6"/>
      <c r="AA85" s="6"/>
      <c r="AB85" s="6"/>
      <c r="AC85" s="6"/>
      <c r="AD85" s="6"/>
      <c r="AE85" s="6"/>
      <c r="AF85" s="6"/>
      <c r="AG85" s="6"/>
      <c r="AH85" s="6"/>
      <c r="AI85" s="6"/>
      <c r="AJ85" s="6"/>
      <c r="AK85" s="6"/>
      <c r="AL85" s="6"/>
      <c r="AM85" s="6"/>
    </row>
    <row r="86" ht="40.5" customHeight="1" spans="1:39">
      <c r="A86" s="6" t="s">
        <v>207</v>
      </c>
      <c r="B86" s="7">
        <v>45957</v>
      </c>
      <c r="C86" s="6" t="str">
        <f t="shared" si="4"/>
        <v>2025年10月</v>
      </c>
      <c r="D86" s="6" t="s">
        <v>3780</v>
      </c>
      <c r="E86" s="40" t="s">
        <v>40</v>
      </c>
      <c r="F86" s="6" t="s">
        <v>12</v>
      </c>
      <c r="G86" s="95" t="s">
        <v>3761</v>
      </c>
      <c r="H86" s="104" t="s">
        <v>82</v>
      </c>
      <c r="I86" s="61"/>
      <c r="J86" s="61"/>
      <c r="K86" s="6"/>
      <c r="L86" s="6"/>
      <c r="M86" s="6" t="s">
        <v>2232</v>
      </c>
      <c r="N86" s="6" t="s">
        <v>2232</v>
      </c>
      <c r="O86" s="61" t="s">
        <v>3762</v>
      </c>
      <c r="Q86" s="61"/>
      <c r="R86" s="6"/>
      <c r="S86" s="6" t="s">
        <v>3505</v>
      </c>
      <c r="T86" s="6" t="s">
        <v>3506</v>
      </c>
      <c r="U86" s="6"/>
      <c r="V86" s="6"/>
      <c r="W86" s="6"/>
      <c r="X86" s="6"/>
      <c r="Y86" s="6"/>
      <c r="Z86" s="6"/>
      <c r="AA86" s="6"/>
      <c r="AB86" s="6"/>
      <c r="AC86" s="6"/>
      <c r="AD86" s="6"/>
      <c r="AE86" s="6"/>
      <c r="AF86" s="6"/>
      <c r="AG86" s="6"/>
      <c r="AH86" s="6"/>
      <c r="AI86" s="6"/>
      <c r="AJ86" s="6"/>
      <c r="AK86" s="6"/>
      <c r="AL86" s="6"/>
      <c r="AM86" s="6"/>
    </row>
    <row r="87" ht="45" customHeight="1" spans="1:39">
      <c r="A87" s="6" t="s">
        <v>207</v>
      </c>
      <c r="B87" s="7">
        <v>45958</v>
      </c>
      <c r="C87" s="6" t="str">
        <f t="shared" si="4"/>
        <v>2025年10月</v>
      </c>
      <c r="D87" s="6" t="s">
        <v>3781</v>
      </c>
      <c r="E87" s="40" t="s">
        <v>40</v>
      </c>
      <c r="F87" s="6" t="s">
        <v>11</v>
      </c>
      <c r="G87" s="95" t="s">
        <v>3782</v>
      </c>
      <c r="H87" s="104" t="s">
        <v>82</v>
      </c>
      <c r="I87" s="61"/>
      <c r="J87" s="61"/>
      <c r="K87" s="6"/>
      <c r="L87" s="6"/>
      <c r="M87" s="6" t="s">
        <v>2232</v>
      </c>
      <c r="N87" s="6" t="s">
        <v>2232</v>
      </c>
      <c r="O87" s="61" t="s">
        <v>3783</v>
      </c>
      <c r="Q87" s="61"/>
      <c r="R87" s="6"/>
      <c r="S87" s="6" t="s">
        <v>3505</v>
      </c>
      <c r="T87" s="6" t="s">
        <v>3506</v>
      </c>
      <c r="U87" s="6"/>
      <c r="V87" s="7">
        <v>45964</v>
      </c>
      <c r="W87" s="7">
        <v>45967</v>
      </c>
      <c r="X87" s="6"/>
      <c r="Y87" s="6"/>
      <c r="Z87" s="6"/>
      <c r="AA87" s="6"/>
      <c r="AB87" s="6"/>
      <c r="AC87" s="6"/>
      <c r="AD87" s="6"/>
      <c r="AE87" s="6"/>
      <c r="AF87" s="6"/>
      <c r="AG87" s="6"/>
      <c r="AH87" s="6"/>
      <c r="AI87" s="6"/>
      <c r="AJ87" s="6"/>
      <c r="AK87" s="6"/>
      <c r="AL87" s="6"/>
      <c r="AM87" s="6"/>
    </row>
    <row r="88" ht="38.25" customHeight="1" spans="1:39">
      <c r="A88" s="6" t="s">
        <v>78</v>
      </c>
      <c r="B88" s="7">
        <v>45961</v>
      </c>
      <c r="C88" s="6" t="str">
        <f t="shared" si="4"/>
        <v>2025年10月</v>
      </c>
      <c r="D88" s="6" t="s">
        <v>3784</v>
      </c>
      <c r="E88" s="40" t="s">
        <v>42</v>
      </c>
      <c r="F88" s="6" t="s">
        <v>10</v>
      </c>
      <c r="G88" s="95" t="s">
        <v>3785</v>
      </c>
      <c r="H88" s="104" t="s">
        <v>82</v>
      </c>
      <c r="I88" s="95" t="s">
        <v>3786</v>
      </c>
      <c r="J88" s="61"/>
      <c r="K88" s="6"/>
      <c r="L88" s="6"/>
      <c r="M88" s="6" t="s">
        <v>2232</v>
      </c>
      <c r="N88" s="6" t="s">
        <v>2232</v>
      </c>
      <c r="O88" s="68" t="s">
        <v>3787</v>
      </c>
      <c r="P88" s="61" t="s">
        <v>3520</v>
      </c>
      <c r="Q88" s="61" t="s">
        <v>168</v>
      </c>
      <c r="R88" s="6"/>
      <c r="S88" s="6" t="s">
        <v>3505</v>
      </c>
      <c r="T88" s="6" t="s">
        <v>3506</v>
      </c>
      <c r="U88" s="6"/>
      <c r="V88" s="6"/>
      <c r="W88" s="6"/>
      <c r="X88" s="6"/>
      <c r="Y88" s="6"/>
      <c r="Z88" s="6"/>
      <c r="AA88" s="6"/>
      <c r="AB88" s="6"/>
      <c r="AC88" s="6"/>
      <c r="AD88" s="6"/>
      <c r="AE88" s="6"/>
      <c r="AF88" s="6"/>
      <c r="AG88" s="6"/>
      <c r="AH88" s="6"/>
      <c r="AI88" s="6"/>
      <c r="AJ88" s="6"/>
      <c r="AK88" s="6"/>
      <c r="AL88" s="6"/>
      <c r="AM88" s="6"/>
    </row>
    <row r="89" ht="34.5" customHeight="1" spans="1:39">
      <c r="A89" s="6" t="s">
        <v>207</v>
      </c>
      <c r="B89" s="7">
        <v>45964</v>
      </c>
      <c r="C89" s="6" t="str">
        <f t="shared" si="4"/>
        <v>2025年11月</v>
      </c>
      <c r="D89" s="6" t="s">
        <v>3788</v>
      </c>
      <c r="E89" s="40" t="s">
        <v>40</v>
      </c>
      <c r="F89" s="6" t="s">
        <v>11</v>
      </c>
      <c r="G89" s="95" t="s">
        <v>3789</v>
      </c>
      <c r="H89" s="104" t="s">
        <v>82</v>
      </c>
      <c r="I89" s="61"/>
      <c r="J89" s="61"/>
      <c r="K89" s="6"/>
      <c r="L89" s="6"/>
      <c r="M89" s="6" t="s">
        <v>2232</v>
      </c>
      <c r="N89" s="6" t="s">
        <v>2232</v>
      </c>
      <c r="O89" s="61" t="s">
        <v>3790</v>
      </c>
      <c r="Q89" s="61"/>
      <c r="R89" s="6"/>
      <c r="S89" s="6" t="s">
        <v>3545</v>
      </c>
      <c r="T89" s="6" t="s">
        <v>3506</v>
      </c>
      <c r="U89" s="6"/>
      <c r="V89" s="6"/>
      <c r="W89" s="6"/>
      <c r="X89" s="6"/>
      <c r="Y89" s="6"/>
      <c r="Z89" s="6"/>
      <c r="AA89" s="6"/>
      <c r="AB89" s="6"/>
      <c r="AC89" s="6"/>
      <c r="AD89" s="6"/>
      <c r="AE89" s="6"/>
      <c r="AF89" s="6"/>
      <c r="AG89" s="6"/>
      <c r="AH89" s="6"/>
      <c r="AI89" s="6"/>
      <c r="AJ89" s="6"/>
      <c r="AK89" s="6"/>
      <c r="AL89" s="6"/>
      <c r="AM89" s="6"/>
    </row>
    <row r="90" ht="42" spans="1:39">
      <c r="A90" s="6" t="s">
        <v>207</v>
      </c>
      <c r="B90" s="7">
        <v>45967</v>
      </c>
      <c r="C90" s="6" t="str">
        <f t="shared" si="4"/>
        <v>2025年11月</v>
      </c>
      <c r="D90" s="6" t="s">
        <v>3791</v>
      </c>
      <c r="E90" s="40" t="s">
        <v>40</v>
      </c>
      <c r="F90" s="6" t="s">
        <v>12</v>
      </c>
      <c r="G90" s="95" t="s">
        <v>3761</v>
      </c>
      <c r="H90" s="104" t="s">
        <v>82</v>
      </c>
      <c r="I90" s="61"/>
      <c r="J90" s="61"/>
      <c r="K90" s="6"/>
      <c r="L90" s="6"/>
      <c r="M90" s="6" t="s">
        <v>2232</v>
      </c>
      <c r="N90" s="6" t="s">
        <v>2232</v>
      </c>
      <c r="O90" s="61" t="s">
        <v>3762</v>
      </c>
      <c r="Q90" s="61"/>
      <c r="R90" s="6"/>
      <c r="S90" s="6" t="s">
        <v>3505</v>
      </c>
      <c r="T90" s="6" t="s">
        <v>3506</v>
      </c>
      <c r="U90" s="6"/>
      <c r="V90" s="6"/>
      <c r="W90" s="6"/>
      <c r="X90" s="6"/>
      <c r="Y90" s="6"/>
      <c r="Z90" s="6"/>
      <c r="AA90" s="6"/>
      <c r="AB90" s="6"/>
      <c r="AC90" s="6"/>
      <c r="AD90" s="6"/>
      <c r="AE90" s="6"/>
      <c r="AF90" s="6"/>
      <c r="AG90" s="6"/>
      <c r="AH90" s="6"/>
      <c r="AI90" s="6"/>
      <c r="AJ90" s="6"/>
      <c r="AK90" s="6"/>
      <c r="AL90" s="6"/>
      <c r="AM90" s="6"/>
    </row>
    <row r="91" ht="29.25" customHeight="1" spans="1:39">
      <c r="A91" s="6" t="s">
        <v>207</v>
      </c>
      <c r="B91" s="7">
        <v>45971</v>
      </c>
      <c r="C91" s="6" t="str">
        <f t="shared" si="4"/>
        <v>2025年11月</v>
      </c>
      <c r="D91" s="41" t="s">
        <v>3792</v>
      </c>
      <c r="E91" s="40" t="s">
        <v>40</v>
      </c>
      <c r="F91" s="6" t="s">
        <v>11</v>
      </c>
      <c r="G91" s="95" t="s">
        <v>3793</v>
      </c>
      <c r="H91" s="104" t="s">
        <v>82</v>
      </c>
      <c r="I91" s="61"/>
      <c r="J91" s="61"/>
      <c r="K91" s="6"/>
      <c r="L91" s="6"/>
      <c r="M91" s="6">
        <v>17370</v>
      </c>
      <c r="N91" s="6" t="s">
        <v>149</v>
      </c>
      <c r="O91" s="61" t="s">
        <v>3794</v>
      </c>
      <c r="Q91" s="61" t="s">
        <v>685</v>
      </c>
      <c r="R91" s="6"/>
      <c r="S91" s="6" t="s">
        <v>3505</v>
      </c>
      <c r="T91" s="6" t="s">
        <v>3506</v>
      </c>
      <c r="U91" s="6"/>
      <c r="V91" s="7">
        <v>45971</v>
      </c>
      <c r="W91" s="7">
        <v>45972</v>
      </c>
      <c r="X91" s="7">
        <v>45972</v>
      </c>
      <c r="Y91" s="7">
        <v>45973</v>
      </c>
      <c r="Z91" s="6"/>
      <c r="AA91" s="6"/>
      <c r="AB91" s="6"/>
      <c r="AC91" s="6"/>
      <c r="AD91" s="6"/>
      <c r="AE91" s="6"/>
      <c r="AF91" s="6"/>
      <c r="AG91" s="6"/>
      <c r="AH91" s="6"/>
      <c r="AI91" s="6"/>
      <c r="AJ91" s="6"/>
      <c r="AK91" s="6"/>
      <c r="AL91" s="6"/>
      <c r="AM91" s="6"/>
    </row>
    <row r="92" ht="36" customHeight="1" spans="1:39">
      <c r="A92" s="6" t="s">
        <v>142</v>
      </c>
      <c r="B92" s="7">
        <v>45971</v>
      </c>
      <c r="C92" s="6" t="str">
        <f t="shared" si="4"/>
        <v>2025年11月</v>
      </c>
      <c r="D92" s="6" t="s">
        <v>3795</v>
      </c>
      <c r="E92" s="40" t="s">
        <v>40</v>
      </c>
      <c r="F92" s="6" t="s">
        <v>12</v>
      </c>
      <c r="G92" s="95" t="s">
        <v>3761</v>
      </c>
      <c r="H92" s="104" t="s">
        <v>82</v>
      </c>
      <c r="I92" s="61"/>
      <c r="J92" s="61"/>
      <c r="K92" s="6"/>
      <c r="L92" s="6"/>
      <c r="M92" s="6" t="s">
        <v>2232</v>
      </c>
      <c r="N92" s="61"/>
      <c r="O92" s="61" t="s">
        <v>3762</v>
      </c>
      <c r="Q92" s="61"/>
      <c r="R92" s="6"/>
      <c r="S92" s="6"/>
      <c r="T92" s="6"/>
      <c r="U92" s="6"/>
      <c r="V92" s="6"/>
      <c r="W92" s="6"/>
      <c r="X92" s="6"/>
      <c r="Y92" s="6"/>
      <c r="Z92" s="6"/>
      <c r="AA92" s="6"/>
      <c r="AB92" s="6"/>
      <c r="AC92" s="6"/>
      <c r="AD92" s="6"/>
      <c r="AE92" s="6"/>
      <c r="AF92" s="6"/>
      <c r="AG92" s="6"/>
      <c r="AH92" s="6"/>
      <c r="AI92" s="6"/>
      <c r="AJ92" s="6"/>
      <c r="AK92" s="6"/>
      <c r="AL92" s="6"/>
      <c r="AM92" s="6"/>
    </row>
    <row r="93" ht="28" spans="1:39">
      <c r="A93" s="6" t="s">
        <v>142</v>
      </c>
      <c r="B93" s="7">
        <v>45979</v>
      </c>
      <c r="C93" s="6" t="str">
        <f t="shared" si="4"/>
        <v>2025年11月</v>
      </c>
      <c r="D93" s="6" t="s">
        <v>3796</v>
      </c>
      <c r="E93" s="40" t="s">
        <v>40</v>
      </c>
      <c r="F93" s="6" t="s">
        <v>11</v>
      </c>
      <c r="G93" s="95" t="s">
        <v>3797</v>
      </c>
      <c r="H93" s="104" t="s">
        <v>82</v>
      </c>
      <c r="I93" s="61"/>
      <c r="J93" s="61"/>
      <c r="K93" s="61"/>
      <c r="L93" s="61"/>
      <c r="M93" s="61">
        <v>10000</v>
      </c>
      <c r="N93" s="6" t="s">
        <v>149</v>
      </c>
      <c r="O93" s="61" t="s">
        <v>3798</v>
      </c>
      <c r="Q93" s="61" t="s">
        <v>685</v>
      </c>
      <c r="R93" s="6"/>
      <c r="S93" s="6" t="s">
        <v>3505</v>
      </c>
      <c r="T93" s="6" t="s">
        <v>3506</v>
      </c>
      <c r="U93" s="6"/>
      <c r="V93" s="6"/>
      <c r="W93" s="6"/>
      <c r="X93" s="6"/>
      <c r="Y93" s="6"/>
      <c r="Z93" s="6"/>
      <c r="AA93" s="6"/>
      <c r="AB93" s="6"/>
      <c r="AC93" s="6"/>
      <c r="AD93" s="6"/>
      <c r="AE93" s="6"/>
      <c r="AF93" s="6"/>
      <c r="AG93" s="6"/>
      <c r="AH93" s="6"/>
      <c r="AI93" s="6"/>
      <c r="AJ93" s="6"/>
      <c r="AK93" s="6"/>
      <c r="AL93" s="6"/>
      <c r="AM93" s="6"/>
    </row>
    <row r="94" ht="28" spans="1:39">
      <c r="A94" s="6" t="s">
        <v>142</v>
      </c>
      <c r="B94" s="7">
        <v>45979</v>
      </c>
      <c r="C94" s="6" t="str">
        <f t="shared" si="4"/>
        <v>2025年11月</v>
      </c>
      <c r="D94" s="6" t="s">
        <v>3799</v>
      </c>
      <c r="E94" s="40" t="s">
        <v>40</v>
      </c>
      <c r="F94" s="6" t="s">
        <v>11</v>
      </c>
      <c r="G94" s="95" t="s">
        <v>3703</v>
      </c>
      <c r="H94" s="104" t="s">
        <v>82</v>
      </c>
      <c r="I94" s="61"/>
      <c r="J94" s="61"/>
      <c r="K94" s="6"/>
      <c r="L94" s="6"/>
      <c r="M94" s="6" t="s">
        <v>2232</v>
      </c>
      <c r="N94" s="6" t="s">
        <v>2232</v>
      </c>
      <c r="O94" s="61" t="s">
        <v>3704</v>
      </c>
      <c r="Q94" s="61" t="s">
        <v>685</v>
      </c>
      <c r="R94" s="6"/>
      <c r="S94" s="6"/>
      <c r="T94" s="6"/>
      <c r="U94" s="6"/>
      <c r="V94" s="6"/>
      <c r="W94" s="6"/>
      <c r="X94" s="6"/>
      <c r="Y94" s="6"/>
      <c r="Z94" s="6"/>
      <c r="AA94" s="6"/>
      <c r="AB94" s="6"/>
      <c r="AC94" s="6"/>
      <c r="AD94" s="6"/>
      <c r="AE94" s="6"/>
      <c r="AF94" s="6"/>
      <c r="AG94" s="6"/>
      <c r="AH94" s="6"/>
      <c r="AI94" s="6"/>
      <c r="AJ94" s="6"/>
      <c r="AK94" s="6"/>
      <c r="AL94" s="6"/>
      <c r="AM94" s="6"/>
    </row>
    <row r="95" ht="42" spans="1:39">
      <c r="A95" s="6" t="s">
        <v>207</v>
      </c>
      <c r="B95" s="7">
        <v>45979</v>
      </c>
      <c r="C95" s="6" t="str">
        <f t="shared" si="4"/>
        <v>2025年11月</v>
      </c>
      <c r="D95" s="6" t="s">
        <v>3800</v>
      </c>
      <c r="E95" s="40" t="s">
        <v>40</v>
      </c>
      <c r="F95" s="6" t="s">
        <v>11</v>
      </c>
      <c r="G95" s="95" t="s">
        <v>3801</v>
      </c>
      <c r="H95" s="104" t="s">
        <v>82</v>
      </c>
      <c r="I95" s="61"/>
      <c r="J95" s="61"/>
      <c r="K95" s="6"/>
      <c r="L95" s="6"/>
      <c r="M95" s="6" t="s">
        <v>2232</v>
      </c>
      <c r="N95" s="6" t="s">
        <v>2232</v>
      </c>
      <c r="O95" s="61" t="s">
        <v>3802</v>
      </c>
      <c r="Q95" s="61" t="s">
        <v>685</v>
      </c>
      <c r="R95" s="6"/>
      <c r="S95" s="6" t="s">
        <v>3545</v>
      </c>
      <c r="T95" s="6" t="s">
        <v>3506</v>
      </c>
      <c r="U95" s="6"/>
      <c r="V95" s="6"/>
      <c r="W95" s="6"/>
      <c r="X95" s="6"/>
      <c r="Y95" s="6"/>
      <c r="Z95" s="6"/>
      <c r="AA95" s="6"/>
      <c r="AB95" s="6"/>
      <c r="AC95" s="6"/>
      <c r="AD95" s="6"/>
      <c r="AE95" s="6"/>
      <c r="AF95" s="6"/>
      <c r="AG95" s="6"/>
      <c r="AH95" s="6"/>
      <c r="AI95" s="6"/>
      <c r="AJ95" s="6"/>
      <c r="AK95" s="6"/>
      <c r="AL95" s="6"/>
      <c r="AM95" s="6"/>
    </row>
    <row r="96" ht="21" customHeight="1" spans="1:39">
      <c r="A96" s="6" t="s">
        <v>207</v>
      </c>
      <c r="B96" s="7">
        <v>45979</v>
      </c>
      <c r="C96" s="6" t="str">
        <f t="shared" si="4"/>
        <v>2025年11月</v>
      </c>
      <c r="D96" s="6" t="s">
        <v>3803</v>
      </c>
      <c r="E96" s="40" t="s">
        <v>40</v>
      </c>
      <c r="F96" s="6" t="s">
        <v>11</v>
      </c>
      <c r="G96" s="95" t="s">
        <v>3703</v>
      </c>
      <c r="H96" s="104" t="s">
        <v>82</v>
      </c>
      <c r="I96" s="61"/>
      <c r="J96" s="61"/>
      <c r="K96" s="6"/>
      <c r="L96" s="6"/>
      <c r="M96" s="6" t="s">
        <v>2232</v>
      </c>
      <c r="N96" s="6" t="s">
        <v>2232</v>
      </c>
      <c r="O96" s="61" t="s">
        <v>3704</v>
      </c>
      <c r="Q96" s="61" t="s">
        <v>685</v>
      </c>
      <c r="R96" s="6"/>
      <c r="S96" s="6" t="s">
        <v>3545</v>
      </c>
      <c r="T96" s="6" t="s">
        <v>3506</v>
      </c>
      <c r="U96" s="6"/>
      <c r="V96" s="6"/>
      <c r="W96" s="6"/>
      <c r="X96" s="6"/>
      <c r="Y96" s="6"/>
      <c r="Z96" s="6"/>
      <c r="AA96" s="6"/>
      <c r="AB96" s="6"/>
      <c r="AC96" s="6"/>
      <c r="AD96" s="6"/>
      <c r="AE96" s="6"/>
      <c r="AF96" s="6"/>
      <c r="AG96" s="6"/>
      <c r="AH96" s="6"/>
      <c r="AI96" s="6"/>
      <c r="AJ96" s="6"/>
      <c r="AK96" s="6"/>
      <c r="AL96" s="6"/>
      <c r="AM96" s="6"/>
    </row>
    <row r="97" ht="21" customHeight="1" spans="1:39">
      <c r="A97" s="6" t="s">
        <v>207</v>
      </c>
      <c r="B97" s="7">
        <v>45979</v>
      </c>
      <c r="C97" s="6" t="str">
        <f t="shared" si="4"/>
        <v>2025年11月</v>
      </c>
      <c r="D97" s="6" t="s">
        <v>3804</v>
      </c>
      <c r="E97" s="40" t="s">
        <v>3577</v>
      </c>
      <c r="F97" s="6" t="s">
        <v>11</v>
      </c>
      <c r="G97" s="95" t="s">
        <v>3801</v>
      </c>
      <c r="H97" s="104" t="s">
        <v>82</v>
      </c>
      <c r="I97" s="61"/>
      <c r="J97" s="61"/>
      <c r="K97" s="6"/>
      <c r="L97" s="6"/>
      <c r="M97" s="6" t="s">
        <v>2232</v>
      </c>
      <c r="N97" s="6" t="s">
        <v>2232</v>
      </c>
      <c r="O97" s="61" t="s">
        <v>3802</v>
      </c>
      <c r="Q97" s="61" t="s">
        <v>685</v>
      </c>
      <c r="R97" s="6"/>
      <c r="S97" s="6" t="s">
        <v>3545</v>
      </c>
      <c r="T97" s="6" t="s">
        <v>3506</v>
      </c>
      <c r="U97" s="6"/>
      <c r="V97" s="6"/>
      <c r="W97" s="6"/>
      <c r="X97" s="6"/>
      <c r="Y97" s="6"/>
      <c r="Z97" s="6"/>
      <c r="AA97" s="6"/>
      <c r="AB97" s="6"/>
      <c r="AC97" s="6"/>
      <c r="AD97" s="6"/>
      <c r="AE97" s="6"/>
      <c r="AF97" s="6"/>
      <c r="AG97" s="6"/>
      <c r="AH97" s="6"/>
      <c r="AI97" s="6"/>
      <c r="AJ97" s="6"/>
      <c r="AK97" s="6"/>
      <c r="AL97" s="6"/>
      <c r="AM97" s="6"/>
    </row>
    <row r="98" ht="21" customHeight="1" spans="1:39">
      <c r="A98" s="6" t="s">
        <v>142</v>
      </c>
      <c r="B98" s="7">
        <v>45980</v>
      </c>
      <c r="C98" s="6" t="str">
        <f t="shared" si="4"/>
        <v>2025年11月</v>
      </c>
      <c r="D98" s="41" t="s">
        <v>3805</v>
      </c>
      <c r="E98" s="40" t="s">
        <v>40</v>
      </c>
      <c r="F98" s="6" t="s">
        <v>11</v>
      </c>
      <c r="G98" s="95" t="s">
        <v>3806</v>
      </c>
      <c r="H98" s="104" t="s">
        <v>82</v>
      </c>
      <c r="I98" s="61"/>
      <c r="J98" s="61"/>
      <c r="K98" s="61"/>
      <c r="L98" s="61"/>
      <c r="M98" s="61">
        <v>45000</v>
      </c>
      <c r="N98" s="6" t="s">
        <v>149</v>
      </c>
      <c r="O98" s="61" t="s">
        <v>3807</v>
      </c>
      <c r="Q98" s="61" t="s">
        <v>685</v>
      </c>
      <c r="R98" s="6"/>
      <c r="S98" s="6" t="s">
        <v>3505</v>
      </c>
      <c r="T98" s="6" t="s">
        <v>3506</v>
      </c>
      <c r="U98" s="6"/>
      <c r="V98" s="6"/>
      <c r="W98" s="6"/>
      <c r="X98" s="6"/>
      <c r="Y98" s="6"/>
      <c r="Z98" s="6"/>
      <c r="AA98" s="6"/>
      <c r="AB98" s="6"/>
      <c r="AC98" s="6"/>
      <c r="AD98" s="6"/>
      <c r="AE98" s="6"/>
      <c r="AF98" s="6"/>
      <c r="AG98" s="6"/>
      <c r="AH98" s="6"/>
      <c r="AI98" s="6"/>
      <c r="AJ98" s="6"/>
      <c r="AK98" s="6"/>
      <c r="AL98" s="6"/>
      <c r="AM98" s="6"/>
    </row>
    <row r="99" ht="21" customHeight="1" spans="1:39">
      <c r="A99" s="6" t="s">
        <v>207</v>
      </c>
      <c r="B99" s="7">
        <v>45981</v>
      </c>
      <c r="C99" s="6" t="str">
        <f t="shared" si="4"/>
        <v>2025年11月</v>
      </c>
      <c r="D99" s="6" t="s">
        <v>3808</v>
      </c>
      <c r="E99" s="40" t="s">
        <v>40</v>
      </c>
      <c r="F99" s="6" t="s">
        <v>11</v>
      </c>
      <c r="G99" s="95" t="s">
        <v>3809</v>
      </c>
      <c r="H99" s="104" t="s">
        <v>82</v>
      </c>
      <c r="I99" s="61"/>
      <c r="J99" s="61"/>
      <c r="K99" s="6"/>
      <c r="L99" s="6"/>
      <c r="M99" s="6" t="s">
        <v>2232</v>
      </c>
      <c r="N99" s="6" t="s">
        <v>2232</v>
      </c>
      <c r="O99" s="61" t="s">
        <v>3810</v>
      </c>
      <c r="Q99" s="61" t="s">
        <v>685</v>
      </c>
      <c r="R99" s="6"/>
      <c r="S99" s="6" t="s">
        <v>3545</v>
      </c>
      <c r="T99" s="6" t="s">
        <v>3506</v>
      </c>
      <c r="U99" s="6"/>
      <c r="V99" s="6"/>
      <c r="W99" s="6"/>
      <c r="X99" s="6"/>
      <c r="Y99" s="6"/>
      <c r="Z99" s="6"/>
      <c r="AA99" s="6"/>
      <c r="AB99" s="6"/>
      <c r="AC99" s="6"/>
      <c r="AD99" s="6"/>
      <c r="AE99" s="6"/>
      <c r="AF99" s="6"/>
      <c r="AG99" s="6"/>
      <c r="AH99" s="6"/>
      <c r="AI99" s="6"/>
      <c r="AJ99" s="6"/>
      <c r="AK99" s="6"/>
      <c r="AL99" s="6"/>
      <c r="AM99" s="6"/>
    </row>
    <row r="100" ht="21" customHeight="1" spans="1:39">
      <c r="A100" s="6" t="s">
        <v>142</v>
      </c>
      <c r="B100" s="7">
        <v>45982</v>
      </c>
      <c r="C100" s="6" t="str">
        <f t="shared" si="4"/>
        <v>2025年11月</v>
      </c>
      <c r="D100" s="6" t="s">
        <v>3811</v>
      </c>
      <c r="E100" s="40" t="s">
        <v>3577</v>
      </c>
      <c r="F100" s="6" t="s">
        <v>11</v>
      </c>
      <c r="G100" s="95" t="s">
        <v>3797</v>
      </c>
      <c r="H100" s="104" t="s">
        <v>82</v>
      </c>
      <c r="I100" s="61"/>
      <c r="J100" s="61"/>
      <c r="K100" s="61"/>
      <c r="L100" s="61"/>
      <c r="M100" s="61">
        <v>11000</v>
      </c>
      <c r="N100" s="6" t="s">
        <v>149</v>
      </c>
      <c r="O100" s="61" t="s">
        <v>3798</v>
      </c>
      <c r="Q100" s="61" t="s">
        <v>685</v>
      </c>
      <c r="R100" s="6"/>
      <c r="S100" s="6" t="s">
        <v>3505</v>
      </c>
      <c r="T100" s="6" t="s">
        <v>3506</v>
      </c>
      <c r="U100" s="6"/>
      <c r="V100" s="6"/>
      <c r="W100" s="6"/>
      <c r="X100" s="6"/>
      <c r="Y100" s="6"/>
      <c r="Z100" s="6"/>
      <c r="AA100" s="6"/>
      <c r="AB100" s="6"/>
      <c r="AC100" s="6"/>
      <c r="AD100" s="6"/>
      <c r="AE100" s="6"/>
      <c r="AF100" s="6"/>
      <c r="AG100" s="6"/>
      <c r="AH100" s="6"/>
      <c r="AI100" s="6"/>
      <c r="AJ100" s="6"/>
      <c r="AK100" s="6"/>
      <c r="AL100" s="6"/>
      <c r="AM100" s="6"/>
    </row>
    <row r="101" ht="21" customHeight="1" spans="1:39">
      <c r="A101" s="6" t="s">
        <v>142</v>
      </c>
      <c r="B101" s="7">
        <v>45985</v>
      </c>
      <c r="C101" s="6" t="str">
        <f t="shared" si="4"/>
        <v>2025年11月</v>
      </c>
      <c r="D101" s="6" t="s">
        <v>3812</v>
      </c>
      <c r="E101" s="40" t="s">
        <v>40</v>
      </c>
      <c r="F101" s="6" t="s">
        <v>11</v>
      </c>
      <c r="G101" s="95" t="s">
        <v>3813</v>
      </c>
      <c r="H101" s="104" t="s">
        <v>82</v>
      </c>
      <c r="I101" s="61"/>
      <c r="J101" s="61"/>
      <c r="K101" s="76"/>
      <c r="L101" s="76"/>
      <c r="M101" s="76">
        <v>48230.83</v>
      </c>
      <c r="N101" s="6" t="s">
        <v>149</v>
      </c>
      <c r="O101" s="61" t="s">
        <v>3814</v>
      </c>
      <c r="Q101" s="61" t="s">
        <v>685</v>
      </c>
      <c r="R101" s="6"/>
      <c r="S101" s="6" t="s">
        <v>3505</v>
      </c>
      <c r="T101" s="6" t="s">
        <v>3506</v>
      </c>
      <c r="U101" s="6"/>
      <c r="V101" s="7">
        <v>45986</v>
      </c>
      <c r="W101" s="7">
        <v>45986</v>
      </c>
      <c r="X101" s="6"/>
      <c r="Y101" s="6"/>
      <c r="Z101" s="6"/>
      <c r="AA101" s="6"/>
      <c r="AB101" s="6"/>
      <c r="AC101" s="6"/>
      <c r="AD101" s="6"/>
      <c r="AE101" s="6"/>
      <c r="AF101" s="6"/>
      <c r="AG101" s="6"/>
      <c r="AH101" s="6"/>
      <c r="AI101" s="6"/>
      <c r="AJ101" s="6"/>
      <c r="AK101" s="6"/>
      <c r="AL101" s="6"/>
      <c r="AM101" s="6"/>
    </row>
    <row r="102" ht="36.75" customHeight="1" spans="1:39">
      <c r="A102" s="6" t="s">
        <v>207</v>
      </c>
      <c r="B102" s="7">
        <v>45985</v>
      </c>
      <c r="C102" s="6" t="str">
        <f t="shared" si="4"/>
        <v>2025年11月</v>
      </c>
      <c r="D102" s="6" t="s">
        <v>3815</v>
      </c>
      <c r="E102" s="40" t="s">
        <v>40</v>
      </c>
      <c r="F102" s="6" t="s">
        <v>11</v>
      </c>
      <c r="G102" s="95" t="s">
        <v>3816</v>
      </c>
      <c r="H102" s="104" t="s">
        <v>82</v>
      </c>
      <c r="I102" s="61"/>
      <c r="J102" s="61"/>
      <c r="K102" s="6"/>
      <c r="L102" s="6"/>
      <c r="M102" s="6" t="s">
        <v>2232</v>
      </c>
      <c r="N102" s="6" t="s">
        <v>2232</v>
      </c>
      <c r="O102" s="61" t="s">
        <v>3817</v>
      </c>
      <c r="Q102" s="61" t="s">
        <v>685</v>
      </c>
      <c r="R102" s="6"/>
      <c r="S102" s="6" t="s">
        <v>3505</v>
      </c>
      <c r="T102" s="6" t="s">
        <v>3506</v>
      </c>
      <c r="U102" s="6"/>
      <c r="V102" s="7">
        <v>45985</v>
      </c>
      <c r="W102" s="7">
        <v>45985</v>
      </c>
      <c r="X102" s="6"/>
      <c r="Y102" s="6"/>
      <c r="Z102" s="6"/>
      <c r="AA102" s="6"/>
      <c r="AB102" s="6"/>
      <c r="AC102" s="6"/>
      <c r="AD102" s="6"/>
      <c r="AE102" s="6"/>
      <c r="AF102" s="6"/>
      <c r="AG102" s="6"/>
      <c r="AH102" s="6"/>
      <c r="AI102" s="6"/>
      <c r="AJ102" s="6"/>
      <c r="AK102" s="6"/>
      <c r="AL102" s="6"/>
      <c r="AM102" s="6"/>
    </row>
    <row r="103" ht="36.75" customHeight="1" spans="1:39">
      <c r="A103" s="109"/>
      <c r="B103" s="109"/>
      <c r="C103" s="109"/>
      <c r="D103" s="109"/>
      <c r="E103" s="109"/>
      <c r="F103" s="10"/>
      <c r="G103" s="95" t="s">
        <v>3818</v>
      </c>
      <c r="H103" s="104" t="s">
        <v>82</v>
      </c>
      <c r="I103" s="61"/>
      <c r="J103" s="61"/>
      <c r="K103" s="6"/>
      <c r="L103" s="6"/>
      <c r="M103" s="6" t="s">
        <v>2232</v>
      </c>
      <c r="N103" s="6" t="s">
        <v>2232</v>
      </c>
      <c r="O103" s="61" t="s">
        <v>3819</v>
      </c>
      <c r="Q103" s="61" t="s">
        <v>685</v>
      </c>
      <c r="R103" s="6"/>
      <c r="S103" s="6" t="s">
        <v>3505</v>
      </c>
      <c r="T103" s="6" t="s">
        <v>3506</v>
      </c>
      <c r="U103" s="6"/>
      <c r="V103" s="109"/>
      <c r="W103" s="6"/>
      <c r="X103" s="6"/>
      <c r="Y103" s="6"/>
      <c r="Z103" s="6"/>
      <c r="AA103" s="6"/>
      <c r="AB103" s="6"/>
      <c r="AC103" s="6"/>
      <c r="AD103" s="6"/>
      <c r="AE103" s="6"/>
      <c r="AF103" s="6"/>
      <c r="AG103" s="6"/>
      <c r="AH103" s="6"/>
      <c r="AI103" s="6"/>
      <c r="AJ103" s="6"/>
      <c r="AK103" s="6"/>
      <c r="AL103" s="6"/>
      <c r="AM103" s="6"/>
    </row>
    <row r="104" ht="28" spans="1:39">
      <c r="A104" s="6" t="s">
        <v>142</v>
      </c>
      <c r="B104" s="7">
        <v>45994</v>
      </c>
      <c r="C104" s="6" t="str">
        <f t="shared" ref="C104:C125" si="5">YEAR(B104)&amp;"年"&amp;MONTH(B104)&amp;"月"</f>
        <v>2025年12月</v>
      </c>
      <c r="D104" s="6" t="s">
        <v>3820</v>
      </c>
      <c r="E104" s="40" t="s">
        <v>40</v>
      </c>
      <c r="F104" s="6" t="s">
        <v>11</v>
      </c>
      <c r="G104" s="95" t="s">
        <v>3821</v>
      </c>
      <c r="H104" s="104" t="s">
        <v>82</v>
      </c>
      <c r="I104" s="61"/>
      <c r="J104" s="61"/>
      <c r="K104" s="6"/>
      <c r="L104" s="6"/>
      <c r="M104" s="6" t="s">
        <v>2232</v>
      </c>
      <c r="N104" s="6" t="s">
        <v>2232</v>
      </c>
      <c r="O104" s="61" t="s">
        <v>3822</v>
      </c>
      <c r="Q104" s="61" t="s">
        <v>685</v>
      </c>
      <c r="R104" s="6"/>
      <c r="S104" s="6" t="s">
        <v>3505</v>
      </c>
      <c r="T104" s="6" t="s">
        <v>3506</v>
      </c>
      <c r="U104" s="6"/>
      <c r="V104" s="6"/>
      <c r="W104" s="6"/>
      <c r="X104" s="6"/>
      <c r="Y104" s="6"/>
      <c r="Z104" s="6"/>
      <c r="AA104" s="6"/>
      <c r="AB104" s="6"/>
      <c r="AC104" s="6"/>
      <c r="AD104" s="6"/>
      <c r="AE104" s="6"/>
      <c r="AF104" s="6"/>
      <c r="AG104" s="6"/>
      <c r="AH104" s="6"/>
      <c r="AI104" s="6"/>
      <c r="AJ104" s="6"/>
      <c r="AK104" s="6"/>
      <c r="AL104" s="6"/>
      <c r="AM104" s="6"/>
    </row>
    <row r="105" ht="42" customHeight="1" spans="1:39">
      <c r="A105" s="6" t="s">
        <v>207</v>
      </c>
      <c r="B105" s="7">
        <v>46003</v>
      </c>
      <c r="C105" s="6" t="str">
        <f t="shared" si="5"/>
        <v>2025年12月</v>
      </c>
      <c r="D105" s="6" t="s">
        <v>3823</v>
      </c>
      <c r="E105" s="40" t="s">
        <v>40</v>
      </c>
      <c r="F105" s="6" t="s">
        <v>11</v>
      </c>
      <c r="G105" s="95" t="s">
        <v>3824</v>
      </c>
      <c r="H105" s="104" t="s">
        <v>82</v>
      </c>
      <c r="I105" s="61"/>
      <c r="J105" s="61"/>
      <c r="K105" s="6"/>
      <c r="L105" s="6"/>
      <c r="M105" s="6" t="s">
        <v>2232</v>
      </c>
      <c r="N105" s="6" t="s">
        <v>2232</v>
      </c>
      <c r="O105" s="61" t="s">
        <v>3825</v>
      </c>
      <c r="Q105" s="61" t="s">
        <v>685</v>
      </c>
      <c r="R105" s="6"/>
      <c r="S105" s="6" t="s">
        <v>3505</v>
      </c>
      <c r="T105" s="6" t="s">
        <v>3506</v>
      </c>
      <c r="U105" s="6"/>
      <c r="V105" s="6"/>
      <c r="W105" s="6"/>
      <c r="X105" s="6"/>
      <c r="Y105" s="6"/>
      <c r="Z105" s="6"/>
      <c r="AA105" s="6"/>
      <c r="AB105" s="6"/>
      <c r="AC105" s="6"/>
      <c r="AD105" s="6"/>
      <c r="AE105" s="6"/>
      <c r="AF105" s="6"/>
      <c r="AG105" s="6"/>
      <c r="AH105" s="6"/>
      <c r="AI105" s="6"/>
      <c r="AJ105" s="6"/>
      <c r="AK105" s="6"/>
      <c r="AL105" s="6"/>
      <c r="AM105" s="6"/>
    </row>
    <row r="106" ht="49.5" customHeight="1" spans="1:39">
      <c r="A106" s="6" t="s">
        <v>207</v>
      </c>
      <c r="B106" s="7">
        <v>46003</v>
      </c>
      <c r="C106" s="6" t="str">
        <f t="shared" si="5"/>
        <v>2025年12月</v>
      </c>
      <c r="D106" s="6" t="s">
        <v>3826</v>
      </c>
      <c r="E106" s="40" t="s">
        <v>40</v>
      </c>
      <c r="F106" s="6" t="s">
        <v>11</v>
      </c>
      <c r="G106" s="95" t="s">
        <v>3827</v>
      </c>
      <c r="H106" s="104" t="s">
        <v>82</v>
      </c>
      <c r="I106" s="61"/>
      <c r="J106" s="61"/>
      <c r="K106" s="61"/>
      <c r="L106" s="61"/>
      <c r="M106" s="61">
        <v>5300</v>
      </c>
      <c r="N106" s="6" t="s">
        <v>149</v>
      </c>
      <c r="O106" s="61" t="s">
        <v>3828</v>
      </c>
      <c r="Q106" s="61" t="s">
        <v>685</v>
      </c>
      <c r="R106" s="6"/>
      <c r="S106" s="6" t="s">
        <v>3505</v>
      </c>
      <c r="T106" s="6" t="s">
        <v>3506</v>
      </c>
      <c r="U106" s="6"/>
      <c r="V106" s="6"/>
      <c r="W106" s="6"/>
      <c r="X106" s="6"/>
      <c r="Y106" s="6"/>
      <c r="Z106" s="6"/>
      <c r="AA106" s="6"/>
      <c r="AB106" s="6"/>
      <c r="AC106" s="6"/>
      <c r="AD106" s="6"/>
      <c r="AE106" s="6"/>
      <c r="AF106" s="6"/>
      <c r="AG106" s="6"/>
      <c r="AH106" s="6"/>
      <c r="AI106" s="6"/>
      <c r="AJ106" s="6"/>
      <c r="AK106" s="6"/>
      <c r="AL106" s="6"/>
      <c r="AM106" s="6"/>
    </row>
    <row r="107" ht="21" customHeight="1" spans="1:39">
      <c r="A107" s="6" t="s">
        <v>142</v>
      </c>
      <c r="B107" s="7">
        <v>46007</v>
      </c>
      <c r="C107" s="6" t="str">
        <f t="shared" si="5"/>
        <v>2025年12月</v>
      </c>
      <c r="D107" s="6" t="s">
        <v>3829</v>
      </c>
      <c r="E107" s="40" t="s">
        <v>3577</v>
      </c>
      <c r="F107" s="6" t="s">
        <v>11</v>
      </c>
      <c r="G107" s="95" t="s">
        <v>3806</v>
      </c>
      <c r="H107" s="104" t="s">
        <v>82</v>
      </c>
      <c r="I107" s="61"/>
      <c r="J107" s="61"/>
      <c r="K107" s="6"/>
      <c r="L107" s="6"/>
      <c r="M107" s="6" t="s">
        <v>2232</v>
      </c>
      <c r="N107" s="6" t="s">
        <v>2232</v>
      </c>
      <c r="O107" s="61" t="s">
        <v>3807</v>
      </c>
      <c r="Q107" s="61"/>
      <c r="R107" s="6"/>
      <c r="S107" s="6"/>
      <c r="T107" s="6"/>
      <c r="U107" s="6"/>
      <c r="V107" s="6"/>
      <c r="W107" s="6"/>
      <c r="X107" s="6"/>
      <c r="Y107" s="6"/>
      <c r="Z107" s="6"/>
      <c r="AA107" s="6"/>
      <c r="AB107" s="6"/>
      <c r="AC107" s="6"/>
      <c r="AD107" s="6"/>
      <c r="AE107" s="6"/>
      <c r="AF107" s="6"/>
      <c r="AG107" s="6"/>
      <c r="AH107" s="6"/>
      <c r="AI107" s="6"/>
      <c r="AJ107" s="6"/>
      <c r="AK107" s="6"/>
      <c r="AL107" s="6"/>
      <c r="AM107" s="6"/>
    </row>
    <row r="108" ht="28" spans="1:39">
      <c r="A108" s="6" t="s">
        <v>207</v>
      </c>
      <c r="B108" s="7">
        <v>46008</v>
      </c>
      <c r="C108" s="6" t="str">
        <f t="shared" si="5"/>
        <v>2025年12月</v>
      </c>
      <c r="D108" s="6" t="s">
        <v>3830</v>
      </c>
      <c r="E108" s="40" t="s">
        <v>40</v>
      </c>
      <c r="F108" s="6" t="s">
        <v>11</v>
      </c>
      <c r="G108" s="95" t="s">
        <v>3831</v>
      </c>
      <c r="H108" s="104" t="s">
        <v>82</v>
      </c>
      <c r="I108" s="61"/>
      <c r="J108" s="61"/>
      <c r="K108" s="6"/>
      <c r="L108" s="6"/>
      <c r="M108" s="6" t="s">
        <v>2232</v>
      </c>
      <c r="N108" s="6" t="s">
        <v>2232</v>
      </c>
      <c r="O108" s="61" t="s">
        <v>3832</v>
      </c>
      <c r="Q108" s="61" t="s">
        <v>685</v>
      </c>
      <c r="R108" s="6"/>
      <c r="S108" s="6" t="s">
        <v>3505</v>
      </c>
      <c r="T108" s="6" t="s">
        <v>3506</v>
      </c>
      <c r="U108" s="6"/>
      <c r="V108" s="6"/>
      <c r="W108" s="6"/>
      <c r="X108" s="6"/>
      <c r="Y108" s="6"/>
      <c r="Z108" s="6"/>
      <c r="AA108" s="6"/>
      <c r="AB108" s="6"/>
      <c r="AC108" s="6"/>
      <c r="AD108" s="6"/>
      <c r="AE108" s="6"/>
      <c r="AF108" s="6"/>
      <c r="AG108" s="6"/>
      <c r="AH108" s="6"/>
      <c r="AI108" s="6"/>
      <c r="AJ108" s="6"/>
      <c r="AK108" s="6"/>
      <c r="AL108" s="6"/>
      <c r="AM108" s="6"/>
    </row>
    <row r="109" ht="21" customHeight="1" spans="1:39">
      <c r="A109" s="6" t="s">
        <v>207</v>
      </c>
      <c r="B109" s="7">
        <v>46008</v>
      </c>
      <c r="C109" s="6" t="str">
        <f t="shared" si="5"/>
        <v>2025年12月</v>
      </c>
      <c r="D109" s="6" t="s">
        <v>3833</v>
      </c>
      <c r="E109" s="40" t="s">
        <v>40</v>
      </c>
      <c r="F109" s="6" t="s">
        <v>11</v>
      </c>
      <c r="G109" s="95" t="s">
        <v>3831</v>
      </c>
      <c r="H109" s="104" t="s">
        <v>82</v>
      </c>
      <c r="I109" s="61"/>
      <c r="J109" s="61"/>
      <c r="K109" s="6"/>
      <c r="L109" s="6"/>
      <c r="M109" s="6" t="s">
        <v>2232</v>
      </c>
      <c r="N109" s="6" t="s">
        <v>2232</v>
      </c>
      <c r="O109" s="61" t="s">
        <v>3832</v>
      </c>
      <c r="Q109" s="61" t="s">
        <v>685</v>
      </c>
      <c r="R109" s="6"/>
      <c r="S109" s="6" t="s">
        <v>3505</v>
      </c>
      <c r="T109" s="6" t="s">
        <v>3506</v>
      </c>
      <c r="U109" s="6"/>
      <c r="V109" s="6"/>
      <c r="W109" s="6"/>
      <c r="X109" s="6"/>
      <c r="Y109" s="6"/>
      <c r="Z109" s="6"/>
      <c r="AA109" s="6"/>
      <c r="AB109" s="6"/>
      <c r="AC109" s="6"/>
      <c r="AD109" s="6"/>
      <c r="AE109" s="6"/>
      <c r="AF109" s="6"/>
      <c r="AG109" s="6"/>
      <c r="AH109" s="6"/>
      <c r="AI109" s="6"/>
      <c r="AJ109" s="6"/>
      <c r="AK109" s="6"/>
      <c r="AL109" s="6"/>
      <c r="AM109" s="6"/>
    </row>
    <row r="110" ht="21" customHeight="1" spans="1:39">
      <c r="A110" s="6" t="s">
        <v>1960</v>
      </c>
      <c r="B110" s="7">
        <v>46010</v>
      </c>
      <c r="C110" s="6" t="str">
        <f t="shared" si="5"/>
        <v>2025年12月</v>
      </c>
      <c r="D110" s="41" t="s">
        <v>3834</v>
      </c>
      <c r="E110" s="40" t="s">
        <v>40</v>
      </c>
      <c r="F110" s="6" t="s">
        <v>11</v>
      </c>
      <c r="G110" s="61" t="s">
        <v>770</v>
      </c>
      <c r="H110" s="104" t="s">
        <v>82</v>
      </c>
      <c r="I110" s="61"/>
      <c r="J110" s="61"/>
      <c r="K110" s="6"/>
      <c r="L110" s="6"/>
      <c r="M110" s="6" t="s">
        <v>2232</v>
      </c>
      <c r="N110" s="6" t="s">
        <v>2232</v>
      </c>
      <c r="O110" s="61" t="s">
        <v>770</v>
      </c>
      <c r="Q110" s="61" t="s">
        <v>685</v>
      </c>
      <c r="R110" s="6"/>
      <c r="S110" s="6" t="s">
        <v>3505</v>
      </c>
      <c r="T110" s="6" t="s">
        <v>3506</v>
      </c>
      <c r="U110" s="6"/>
      <c r="V110" s="6"/>
      <c r="W110" s="6"/>
      <c r="X110" s="6"/>
      <c r="Y110" s="6"/>
      <c r="Z110" s="6"/>
      <c r="AA110" s="6"/>
      <c r="AB110" s="6"/>
      <c r="AC110" s="6"/>
      <c r="AD110" s="6"/>
      <c r="AE110" s="6"/>
      <c r="AF110" s="6"/>
      <c r="AG110" s="6"/>
      <c r="AH110" s="6"/>
      <c r="AI110" s="6"/>
      <c r="AJ110" s="6"/>
      <c r="AK110" s="6"/>
      <c r="AL110" s="6"/>
      <c r="AM110" s="6"/>
    </row>
    <row r="111" ht="21" customHeight="1" spans="1:39">
      <c r="A111" s="6" t="s">
        <v>142</v>
      </c>
      <c r="B111" s="7">
        <v>46013</v>
      </c>
      <c r="C111" s="6" t="str">
        <f t="shared" si="5"/>
        <v>2025年12月</v>
      </c>
      <c r="D111" s="6" t="s">
        <v>3835</v>
      </c>
      <c r="E111" s="40" t="s">
        <v>40</v>
      </c>
      <c r="F111" s="6" t="s">
        <v>12</v>
      </c>
      <c r="G111" s="95" t="s">
        <v>3761</v>
      </c>
      <c r="H111" s="104" t="s">
        <v>82</v>
      </c>
      <c r="I111" s="61"/>
      <c r="J111" s="61"/>
      <c r="K111" s="6"/>
      <c r="L111" s="6"/>
      <c r="M111" s="6" t="s">
        <v>2232</v>
      </c>
      <c r="N111" s="6" t="s">
        <v>2232</v>
      </c>
      <c r="O111" s="61"/>
      <c r="Q111" s="61"/>
      <c r="R111" s="6"/>
      <c r="S111" s="6"/>
      <c r="T111" s="6"/>
      <c r="U111" s="6"/>
      <c r="V111" s="6"/>
      <c r="W111" s="6"/>
      <c r="X111" s="6"/>
      <c r="Y111" s="6"/>
      <c r="Z111" s="6"/>
      <c r="AA111" s="6"/>
      <c r="AB111" s="6"/>
      <c r="AC111" s="6"/>
      <c r="AD111" s="6"/>
      <c r="AE111" s="6"/>
      <c r="AF111" s="6"/>
      <c r="AG111" s="6"/>
      <c r="AH111" s="6"/>
      <c r="AI111" s="6"/>
      <c r="AJ111" s="6"/>
      <c r="AK111" s="6"/>
      <c r="AL111" s="6"/>
      <c r="AM111" s="6"/>
    </row>
    <row r="112" ht="21" customHeight="1" spans="1:39">
      <c r="A112" s="6" t="s">
        <v>207</v>
      </c>
      <c r="B112" s="7">
        <v>46014</v>
      </c>
      <c r="C112" s="6" t="str">
        <f t="shared" si="5"/>
        <v>2025年12月</v>
      </c>
      <c r="D112" s="41" t="s">
        <v>3836</v>
      </c>
      <c r="E112" s="40" t="s">
        <v>40</v>
      </c>
      <c r="F112" s="6" t="s">
        <v>11</v>
      </c>
      <c r="G112" s="95" t="s">
        <v>3758</v>
      </c>
      <c r="H112" s="104" t="s">
        <v>82</v>
      </c>
      <c r="I112" s="61"/>
      <c r="J112" s="61"/>
      <c r="K112" s="61"/>
      <c r="L112" s="61"/>
      <c r="M112" s="61">
        <v>128600</v>
      </c>
      <c r="N112" s="6" t="s">
        <v>149</v>
      </c>
      <c r="O112" s="61" t="s">
        <v>3759</v>
      </c>
      <c r="Q112" s="61" t="s">
        <v>685</v>
      </c>
      <c r="R112" s="6"/>
      <c r="S112" s="6" t="s">
        <v>3505</v>
      </c>
      <c r="T112" s="6" t="s">
        <v>3506</v>
      </c>
      <c r="U112" s="6"/>
      <c r="V112" s="6"/>
      <c r="W112" s="6"/>
      <c r="X112" s="6"/>
      <c r="Y112" s="6"/>
      <c r="Z112" s="6"/>
      <c r="AA112" s="6"/>
      <c r="AB112" s="6"/>
      <c r="AC112" s="6"/>
      <c r="AD112" s="6"/>
      <c r="AE112" s="6"/>
      <c r="AF112" s="6"/>
      <c r="AG112" s="6"/>
      <c r="AH112" s="6"/>
      <c r="AI112" s="6"/>
      <c r="AJ112" s="6"/>
      <c r="AK112" s="6"/>
      <c r="AL112" s="6"/>
      <c r="AM112" s="6"/>
    </row>
    <row r="113" ht="25.5" customHeight="1" spans="1:39">
      <c r="A113" s="6" t="s">
        <v>207</v>
      </c>
      <c r="B113" s="7">
        <v>46027</v>
      </c>
      <c r="C113" s="6" t="str">
        <f t="shared" si="5"/>
        <v>2026年1月</v>
      </c>
      <c r="D113" s="6" t="s">
        <v>3837</v>
      </c>
      <c r="E113" s="40" t="s">
        <v>40</v>
      </c>
      <c r="F113" s="6" t="s">
        <v>11</v>
      </c>
      <c r="G113" s="95" t="s">
        <v>3838</v>
      </c>
      <c r="H113" s="104" t="s">
        <v>82</v>
      </c>
      <c r="I113" s="61"/>
      <c r="J113" s="61"/>
      <c r="K113" s="6"/>
      <c r="L113" s="6"/>
      <c r="M113" s="6" t="s">
        <v>2232</v>
      </c>
      <c r="N113" s="6" t="s">
        <v>2232</v>
      </c>
      <c r="O113" s="95" t="s">
        <v>3839</v>
      </c>
      <c r="Q113" s="61" t="s">
        <v>685</v>
      </c>
      <c r="R113" s="6"/>
      <c r="S113" s="6"/>
      <c r="T113" s="6"/>
      <c r="U113" s="6"/>
      <c r="V113" s="7">
        <v>46035</v>
      </c>
      <c r="W113" s="6"/>
      <c r="X113" s="6"/>
      <c r="Y113" s="6"/>
      <c r="Z113" s="6"/>
      <c r="AA113" s="6"/>
      <c r="AB113" s="6"/>
      <c r="AC113" s="6"/>
      <c r="AD113" s="6"/>
      <c r="AE113" s="6"/>
      <c r="AF113" s="6"/>
      <c r="AG113" s="6"/>
      <c r="AH113" s="6"/>
      <c r="AI113" s="6"/>
      <c r="AJ113" s="6"/>
      <c r="AK113" s="6"/>
      <c r="AL113" s="6"/>
      <c r="AM113" s="6"/>
    </row>
    <row r="114" ht="28" spans="1:39">
      <c r="A114" s="6" t="s">
        <v>142</v>
      </c>
      <c r="B114" s="7">
        <v>46029</v>
      </c>
      <c r="C114" s="6" t="str">
        <f t="shared" si="5"/>
        <v>2026年1月</v>
      </c>
      <c r="D114" s="6" t="s">
        <v>3840</v>
      </c>
      <c r="E114" s="40" t="s">
        <v>40</v>
      </c>
      <c r="F114" s="6" t="s">
        <v>11</v>
      </c>
      <c r="G114" s="95" t="s">
        <v>3841</v>
      </c>
      <c r="H114" s="104" t="s">
        <v>82</v>
      </c>
      <c r="I114" s="61"/>
      <c r="J114" s="61"/>
      <c r="K114" s="6"/>
      <c r="L114" s="6"/>
      <c r="M114" s="6" t="s">
        <v>2232</v>
      </c>
      <c r="N114" s="6" t="s">
        <v>2232</v>
      </c>
      <c r="O114" s="61"/>
      <c r="Q114" s="61" t="s">
        <v>685</v>
      </c>
      <c r="R114" s="6"/>
      <c r="S114" s="6" t="s">
        <v>3505</v>
      </c>
      <c r="T114" s="6" t="s">
        <v>3506</v>
      </c>
      <c r="U114" s="6"/>
      <c r="V114" s="6"/>
      <c r="W114" s="6"/>
      <c r="X114" s="6"/>
      <c r="Y114" s="6"/>
      <c r="Z114" s="6"/>
      <c r="AA114" s="6"/>
      <c r="AB114" s="6"/>
      <c r="AC114" s="6"/>
      <c r="AD114" s="6"/>
      <c r="AE114" s="6"/>
      <c r="AF114" s="6"/>
      <c r="AG114" s="6"/>
      <c r="AH114" s="6"/>
      <c r="AI114" s="6"/>
      <c r="AJ114" s="6"/>
      <c r="AK114" s="6"/>
      <c r="AL114" s="6"/>
      <c r="AM114" s="6"/>
    </row>
    <row r="115" ht="69.75" customHeight="1" spans="1:39">
      <c r="A115" s="6" t="s">
        <v>207</v>
      </c>
      <c r="B115" s="7">
        <v>46030</v>
      </c>
      <c r="C115" s="6" t="str">
        <f t="shared" si="5"/>
        <v>2026年1月</v>
      </c>
      <c r="D115" s="41" t="s">
        <v>3842</v>
      </c>
      <c r="E115" s="40" t="s">
        <v>40</v>
      </c>
      <c r="F115" s="6" t="s">
        <v>11</v>
      </c>
      <c r="G115" s="95" t="s">
        <v>3827</v>
      </c>
      <c r="H115" s="104" t="s">
        <v>82</v>
      </c>
      <c r="I115" s="61"/>
      <c r="J115" s="61"/>
      <c r="K115" s="61"/>
      <c r="L115" s="61"/>
      <c r="M115" s="61">
        <v>23100</v>
      </c>
      <c r="N115" s="6" t="s">
        <v>149</v>
      </c>
      <c r="O115" s="61" t="s">
        <v>3828</v>
      </c>
      <c r="Q115" s="61" t="s">
        <v>685</v>
      </c>
      <c r="R115" s="6"/>
      <c r="S115" s="6" t="s">
        <v>3505</v>
      </c>
      <c r="T115" s="6" t="s">
        <v>3506</v>
      </c>
      <c r="U115" s="6"/>
      <c r="V115" s="6"/>
      <c r="W115" s="6"/>
      <c r="X115" s="6"/>
      <c r="Y115" s="6"/>
      <c r="Z115" s="6"/>
      <c r="AA115" s="6"/>
      <c r="AB115" s="6"/>
      <c r="AC115" s="6"/>
      <c r="AD115" s="6"/>
      <c r="AE115" s="6"/>
      <c r="AF115" s="6"/>
      <c r="AG115" s="6"/>
      <c r="AH115" s="6"/>
      <c r="AI115" s="6"/>
      <c r="AJ115" s="6"/>
      <c r="AK115" s="6"/>
      <c r="AL115" s="6"/>
      <c r="AM115" s="6"/>
    </row>
    <row r="116" ht="21" customHeight="1" spans="1:39">
      <c r="A116" s="6" t="s">
        <v>207</v>
      </c>
      <c r="B116" s="7">
        <v>46031</v>
      </c>
      <c r="C116" s="6" t="str">
        <f t="shared" si="5"/>
        <v>2026年1月</v>
      </c>
      <c r="D116" s="6" t="s">
        <v>3843</v>
      </c>
      <c r="E116" s="40" t="s">
        <v>40</v>
      </c>
      <c r="F116" s="6" t="s">
        <v>11</v>
      </c>
      <c r="G116" s="95" t="s">
        <v>3844</v>
      </c>
      <c r="H116" s="104" t="s">
        <v>82</v>
      </c>
      <c r="I116" s="61"/>
      <c r="J116" s="61"/>
      <c r="K116" s="6"/>
      <c r="L116" s="6"/>
      <c r="M116" s="6" t="s">
        <v>2232</v>
      </c>
      <c r="N116" s="6" t="s">
        <v>2232</v>
      </c>
      <c r="O116" s="61" t="s">
        <v>3845</v>
      </c>
      <c r="Q116" s="61" t="s">
        <v>685</v>
      </c>
      <c r="R116" s="6"/>
      <c r="S116" s="6" t="s">
        <v>3505</v>
      </c>
      <c r="T116" s="6" t="s">
        <v>3506</v>
      </c>
      <c r="U116" s="6"/>
      <c r="V116" s="6"/>
      <c r="W116" s="6"/>
      <c r="X116" s="6"/>
      <c r="Y116" s="6"/>
      <c r="Z116" s="6"/>
      <c r="AA116" s="6"/>
      <c r="AB116" s="6"/>
      <c r="AC116" s="6"/>
      <c r="AD116" s="6"/>
      <c r="AE116" s="6"/>
      <c r="AF116" s="6"/>
      <c r="AG116" s="6"/>
      <c r="AH116" s="6"/>
      <c r="AI116" s="6"/>
      <c r="AJ116" s="6"/>
      <c r="AK116" s="6"/>
      <c r="AL116" s="6"/>
      <c r="AM116" s="6"/>
    </row>
    <row r="117" ht="21" customHeight="1" spans="1:39">
      <c r="A117" s="6" t="s">
        <v>207</v>
      </c>
      <c r="B117" s="7">
        <v>46036</v>
      </c>
      <c r="C117" s="6" t="str">
        <f t="shared" si="5"/>
        <v>2026年1月</v>
      </c>
      <c r="D117" s="6" t="s">
        <v>3846</v>
      </c>
      <c r="E117" s="40" t="s">
        <v>40</v>
      </c>
      <c r="F117" s="6" t="s">
        <v>11</v>
      </c>
      <c r="G117" s="95" t="s">
        <v>3847</v>
      </c>
      <c r="H117" s="104" t="s">
        <v>82</v>
      </c>
      <c r="I117" s="61"/>
      <c r="J117" s="61"/>
      <c r="K117" s="61"/>
      <c r="L117" s="61"/>
      <c r="M117" s="61">
        <v>4995</v>
      </c>
      <c r="N117" s="6" t="s">
        <v>149</v>
      </c>
      <c r="O117" s="61" t="s">
        <v>3848</v>
      </c>
      <c r="Q117" s="61" t="s">
        <v>685</v>
      </c>
      <c r="R117" s="6"/>
      <c r="S117" s="6" t="s">
        <v>3505</v>
      </c>
      <c r="T117" s="6" t="s">
        <v>3506</v>
      </c>
      <c r="U117" s="6"/>
      <c r="V117" s="6"/>
      <c r="W117" s="6"/>
      <c r="X117" s="6"/>
      <c r="Y117" s="6"/>
      <c r="Z117" s="6"/>
      <c r="AA117" s="6"/>
      <c r="AB117" s="6"/>
      <c r="AC117" s="6"/>
      <c r="AD117" s="6"/>
      <c r="AE117" s="6"/>
      <c r="AF117" s="6"/>
      <c r="AG117" s="6"/>
      <c r="AH117" s="6"/>
      <c r="AI117" s="6"/>
      <c r="AJ117" s="6"/>
      <c r="AK117" s="6"/>
      <c r="AL117" s="6"/>
      <c r="AM117" s="6"/>
    </row>
    <row r="118" ht="21" customHeight="1" spans="1:39">
      <c r="A118" s="6" t="s">
        <v>207</v>
      </c>
      <c r="B118" s="7">
        <v>46036</v>
      </c>
      <c r="C118" s="6" t="str">
        <f t="shared" si="5"/>
        <v>2026年1月</v>
      </c>
      <c r="D118" s="6" t="s">
        <v>3849</v>
      </c>
      <c r="E118" s="40" t="s">
        <v>40</v>
      </c>
      <c r="F118" s="6" t="s">
        <v>11</v>
      </c>
      <c r="G118" s="95" t="s">
        <v>3789</v>
      </c>
      <c r="H118" s="104" t="s">
        <v>82</v>
      </c>
      <c r="I118" s="61"/>
      <c r="J118" s="61"/>
      <c r="K118" s="6"/>
      <c r="L118" s="6"/>
      <c r="M118" s="6" t="s">
        <v>2232</v>
      </c>
      <c r="N118" s="6" t="s">
        <v>2232</v>
      </c>
      <c r="O118" s="61" t="s">
        <v>3790</v>
      </c>
      <c r="Q118" s="61" t="s">
        <v>685</v>
      </c>
      <c r="R118" s="6"/>
      <c r="S118" s="6" t="s">
        <v>3545</v>
      </c>
      <c r="T118" s="6" t="s">
        <v>3506</v>
      </c>
      <c r="U118" s="6"/>
      <c r="V118" s="6"/>
      <c r="W118" s="6"/>
      <c r="X118" s="6"/>
      <c r="Y118" s="6"/>
      <c r="Z118" s="6"/>
      <c r="AA118" s="6"/>
      <c r="AB118" s="6"/>
      <c r="AC118" s="6"/>
      <c r="AD118" s="6"/>
      <c r="AE118" s="6"/>
      <c r="AF118" s="6"/>
      <c r="AG118" s="6"/>
      <c r="AH118" s="6"/>
      <c r="AI118" s="6"/>
      <c r="AJ118" s="6"/>
      <c r="AK118" s="6"/>
      <c r="AL118" s="6"/>
      <c r="AM118" s="6"/>
    </row>
    <row r="119" ht="34.5" customHeight="1" spans="1:39">
      <c r="A119" s="6" t="s">
        <v>207</v>
      </c>
      <c r="B119" s="7">
        <v>46042</v>
      </c>
      <c r="C119" s="6" t="str">
        <f t="shared" si="5"/>
        <v>2026年1月</v>
      </c>
      <c r="D119" s="6" t="s">
        <v>3850</v>
      </c>
      <c r="E119" s="40" t="s">
        <v>42</v>
      </c>
      <c r="F119" s="6" t="s">
        <v>10</v>
      </c>
      <c r="G119" s="95" t="s">
        <v>3851</v>
      </c>
      <c r="H119" s="104" t="s">
        <v>82</v>
      </c>
      <c r="I119" s="61" t="s">
        <v>3852</v>
      </c>
      <c r="J119" s="61"/>
      <c r="K119" s="6"/>
      <c r="L119" s="6"/>
      <c r="M119" s="6" t="s">
        <v>2232</v>
      </c>
      <c r="N119" s="6" t="s">
        <v>2232</v>
      </c>
      <c r="O119" s="68" t="s">
        <v>3853</v>
      </c>
      <c r="Q119" s="61" t="s">
        <v>2436</v>
      </c>
      <c r="R119" s="6"/>
      <c r="S119" s="6" t="s">
        <v>3505</v>
      </c>
      <c r="T119" s="6" t="s">
        <v>3506</v>
      </c>
      <c r="U119" s="6"/>
      <c r="V119" s="6"/>
      <c r="W119" s="6"/>
      <c r="X119" s="6"/>
      <c r="Y119" s="6"/>
      <c r="Z119" s="6"/>
      <c r="AA119" s="6"/>
      <c r="AB119" s="6"/>
      <c r="AC119" s="6"/>
      <c r="AD119" s="6"/>
      <c r="AE119" s="6"/>
      <c r="AF119" s="6"/>
      <c r="AG119" s="6"/>
      <c r="AH119" s="6"/>
      <c r="AI119" s="6"/>
      <c r="AJ119" s="6"/>
      <c r="AK119" s="6"/>
      <c r="AL119" s="6"/>
      <c r="AM119" s="6"/>
    </row>
    <row r="120" ht="70" spans="1:39">
      <c r="A120" s="6" t="s">
        <v>142</v>
      </c>
      <c r="B120" s="7">
        <v>46042</v>
      </c>
      <c r="C120" s="6" t="str">
        <f t="shared" si="5"/>
        <v>2026年1月</v>
      </c>
      <c r="D120" s="6" t="s">
        <v>3854</v>
      </c>
      <c r="E120" s="40" t="s">
        <v>40</v>
      </c>
      <c r="F120" s="6" t="s">
        <v>12</v>
      </c>
      <c r="G120" s="6"/>
      <c r="H120" s="95" t="s">
        <v>3761</v>
      </c>
      <c r="I120" s="61"/>
      <c r="J120" s="61"/>
      <c r="K120" s="61"/>
      <c r="L120" s="61"/>
      <c r="M120" s="61">
        <v>30</v>
      </c>
      <c r="N120" s="61" t="s">
        <v>139</v>
      </c>
      <c r="O120" s="61" t="s">
        <v>3762</v>
      </c>
      <c r="Q120" s="61" t="s">
        <v>194</v>
      </c>
      <c r="R120" s="6"/>
      <c r="S120" s="6" t="s">
        <v>3545</v>
      </c>
      <c r="T120" s="6" t="s">
        <v>3506</v>
      </c>
      <c r="U120" s="6"/>
      <c r="V120" s="6"/>
      <c r="W120" s="6"/>
      <c r="X120" s="6"/>
      <c r="Y120" s="6"/>
      <c r="Z120" s="6"/>
      <c r="AA120" s="6"/>
      <c r="AB120" s="6"/>
      <c r="AC120" s="6"/>
      <c r="AD120" s="6"/>
      <c r="AE120" s="6"/>
      <c r="AF120" s="6"/>
      <c r="AG120" s="6"/>
      <c r="AH120" s="6"/>
      <c r="AI120" s="6"/>
      <c r="AJ120" s="6"/>
      <c r="AK120" s="6"/>
      <c r="AL120" s="6"/>
      <c r="AM120" s="6"/>
    </row>
    <row r="121" ht="21" customHeight="1" spans="1:39">
      <c r="A121" s="6" t="s">
        <v>207</v>
      </c>
      <c r="B121" s="7">
        <v>46043</v>
      </c>
      <c r="C121" s="6" t="str">
        <f t="shared" si="5"/>
        <v>2026年1月</v>
      </c>
      <c r="D121" s="6" t="s">
        <v>3855</v>
      </c>
      <c r="E121" s="40" t="s">
        <v>40</v>
      </c>
      <c r="F121" s="6" t="s">
        <v>11</v>
      </c>
      <c r="G121" s="95" t="s">
        <v>3856</v>
      </c>
      <c r="H121" s="104" t="s">
        <v>82</v>
      </c>
      <c r="I121" s="61"/>
      <c r="J121" s="61"/>
      <c r="K121" s="61"/>
      <c r="L121" s="61"/>
      <c r="M121" s="61">
        <v>1000</v>
      </c>
      <c r="N121" s="6" t="s">
        <v>149</v>
      </c>
      <c r="O121" s="61" t="s">
        <v>3857</v>
      </c>
      <c r="Q121" s="61" t="s">
        <v>685</v>
      </c>
      <c r="R121" s="6"/>
      <c r="S121" s="6" t="s">
        <v>3505</v>
      </c>
      <c r="T121" s="6" t="s">
        <v>3506</v>
      </c>
      <c r="U121" s="6"/>
      <c r="V121" s="6"/>
      <c r="W121" s="6"/>
      <c r="X121" s="6"/>
      <c r="Y121" s="6"/>
      <c r="Z121" s="6"/>
      <c r="AA121" s="6"/>
      <c r="AB121" s="6"/>
      <c r="AC121" s="6"/>
      <c r="AD121" s="6"/>
      <c r="AE121" s="6"/>
      <c r="AF121" s="6"/>
      <c r="AG121" s="6"/>
      <c r="AH121" s="6"/>
      <c r="AI121" s="6"/>
      <c r="AJ121" s="6"/>
      <c r="AK121" s="6"/>
      <c r="AL121" s="6"/>
      <c r="AM121" s="6"/>
    </row>
    <row r="122" ht="29.25" customHeight="1" spans="1:39">
      <c r="A122" s="6" t="s">
        <v>207</v>
      </c>
      <c r="B122" s="7">
        <v>46044</v>
      </c>
      <c r="C122" s="6" t="str">
        <f t="shared" si="5"/>
        <v>2026年1月</v>
      </c>
      <c r="D122" s="6" t="s">
        <v>3858</v>
      </c>
      <c r="E122" s="40" t="s">
        <v>3577</v>
      </c>
      <c r="F122" s="6" t="s">
        <v>11</v>
      </c>
      <c r="G122" s="95" t="s">
        <v>3859</v>
      </c>
      <c r="H122" s="104" t="s">
        <v>82</v>
      </c>
      <c r="I122" s="61"/>
      <c r="J122" s="61"/>
      <c r="K122" s="61"/>
      <c r="L122" s="61"/>
      <c r="M122" s="61" t="s">
        <v>2232</v>
      </c>
      <c r="N122" s="61" t="s">
        <v>2232</v>
      </c>
      <c r="O122" s="61" t="s">
        <v>3860</v>
      </c>
      <c r="Q122" s="61" t="s">
        <v>685</v>
      </c>
      <c r="R122" s="6"/>
      <c r="S122" s="6" t="s">
        <v>3505</v>
      </c>
      <c r="T122" s="6" t="s">
        <v>3506</v>
      </c>
      <c r="U122" s="6"/>
      <c r="V122" s="6"/>
      <c r="W122" s="6"/>
      <c r="X122" s="6"/>
      <c r="Y122" s="6"/>
      <c r="Z122" s="6"/>
      <c r="AA122" s="6"/>
      <c r="AB122" s="6"/>
      <c r="AC122" s="6"/>
      <c r="AD122" s="6"/>
      <c r="AE122" s="6"/>
      <c r="AF122" s="6"/>
      <c r="AG122" s="6"/>
      <c r="AH122" s="6"/>
      <c r="AI122" s="6"/>
      <c r="AJ122" s="6"/>
      <c r="AK122" s="6"/>
      <c r="AL122" s="6"/>
      <c r="AM122" s="6"/>
    </row>
    <row r="123" ht="32.25" customHeight="1" spans="1:39">
      <c r="A123" s="6" t="s">
        <v>142</v>
      </c>
      <c r="B123" s="7">
        <v>46045</v>
      </c>
      <c r="C123" s="6" t="str">
        <f t="shared" si="5"/>
        <v>2026年1月</v>
      </c>
      <c r="D123" s="6" t="s">
        <v>3861</v>
      </c>
      <c r="E123" s="40" t="s">
        <v>3577</v>
      </c>
      <c r="F123" s="6" t="s">
        <v>10</v>
      </c>
      <c r="G123" s="95" t="s">
        <v>3862</v>
      </c>
      <c r="H123" s="104" t="s">
        <v>82</v>
      </c>
      <c r="I123" s="61" t="s">
        <v>1089</v>
      </c>
      <c r="J123" s="61"/>
      <c r="K123" s="61"/>
      <c r="L123" s="61"/>
      <c r="M123" s="61" t="s">
        <v>2232</v>
      </c>
      <c r="N123" s="61" t="s">
        <v>2232</v>
      </c>
      <c r="O123" s="61" t="s">
        <v>3863</v>
      </c>
      <c r="Q123" s="61" t="s">
        <v>194</v>
      </c>
      <c r="R123" s="6"/>
      <c r="S123" s="6" t="s">
        <v>3505</v>
      </c>
      <c r="T123" s="6" t="s">
        <v>3506</v>
      </c>
      <c r="U123" s="6" t="s">
        <v>3864</v>
      </c>
      <c r="V123" s="6"/>
      <c r="W123" s="6"/>
      <c r="X123" s="6"/>
      <c r="Y123" s="6"/>
      <c r="Z123" s="6"/>
      <c r="AA123" s="6"/>
      <c r="AB123" s="6"/>
      <c r="AC123" s="6"/>
      <c r="AD123" s="6"/>
      <c r="AE123" s="6"/>
      <c r="AF123" s="6"/>
      <c r="AG123" s="6"/>
      <c r="AH123" s="6"/>
      <c r="AI123" s="6"/>
      <c r="AJ123" s="6"/>
      <c r="AK123" s="6"/>
      <c r="AL123" s="6"/>
      <c r="AM123" s="6"/>
    </row>
    <row r="124" ht="42.75" customHeight="1" spans="1:39">
      <c r="A124" s="6" t="s">
        <v>207</v>
      </c>
      <c r="B124" s="7">
        <v>46045</v>
      </c>
      <c r="C124" s="6" t="str">
        <f t="shared" si="5"/>
        <v>2026年1月</v>
      </c>
      <c r="D124" s="6" t="s">
        <v>3865</v>
      </c>
      <c r="E124" s="40" t="s">
        <v>3577</v>
      </c>
      <c r="F124" s="6" t="s">
        <v>11</v>
      </c>
      <c r="G124" s="95" t="s">
        <v>3827</v>
      </c>
      <c r="H124" s="104" t="s">
        <v>82</v>
      </c>
      <c r="I124" s="61"/>
      <c r="J124" s="61"/>
      <c r="K124" s="61"/>
      <c r="L124" s="61"/>
      <c r="M124" s="61">
        <v>5300</v>
      </c>
      <c r="N124" s="6" t="s">
        <v>149</v>
      </c>
      <c r="O124" s="61" t="s">
        <v>3828</v>
      </c>
      <c r="Q124" s="61" t="s">
        <v>685</v>
      </c>
      <c r="R124" s="6"/>
      <c r="S124" s="6" t="s">
        <v>3505</v>
      </c>
      <c r="T124" s="6" t="s">
        <v>3506</v>
      </c>
      <c r="U124" s="6"/>
      <c r="V124" s="6"/>
      <c r="W124" s="6"/>
      <c r="X124" s="6"/>
      <c r="Y124" s="6"/>
      <c r="Z124" s="6"/>
      <c r="AA124" s="6"/>
      <c r="AB124" s="6"/>
      <c r="AC124" s="6"/>
      <c r="AD124" s="6"/>
      <c r="AE124" s="6"/>
      <c r="AF124" s="6"/>
      <c r="AG124" s="6"/>
      <c r="AH124" s="6"/>
      <c r="AI124" s="6"/>
      <c r="AJ124" s="6"/>
      <c r="AK124" s="6"/>
      <c r="AL124" s="6"/>
      <c r="AM124" s="6"/>
    </row>
    <row r="125" ht="30.75" customHeight="1" spans="1:39">
      <c r="A125" s="6" t="s">
        <v>207</v>
      </c>
      <c r="B125" s="7">
        <v>46048</v>
      </c>
      <c r="C125" s="6" t="str">
        <f t="shared" si="5"/>
        <v>2026年1月</v>
      </c>
      <c r="D125" s="6" t="s">
        <v>3866</v>
      </c>
      <c r="E125" s="40" t="s">
        <v>42</v>
      </c>
      <c r="F125" s="6" t="s">
        <v>10</v>
      </c>
      <c r="G125" s="95" t="s">
        <v>3867</v>
      </c>
      <c r="H125" s="104" t="s">
        <v>82</v>
      </c>
      <c r="I125" s="61" t="s">
        <v>3687</v>
      </c>
      <c r="J125" s="61"/>
      <c r="K125" s="6"/>
      <c r="L125" s="6"/>
      <c r="M125" s="6" t="s">
        <v>2232</v>
      </c>
      <c r="N125" s="6" t="s">
        <v>2232</v>
      </c>
      <c r="O125" s="68" t="s">
        <v>3868</v>
      </c>
      <c r="Q125" s="61" t="s">
        <v>689</v>
      </c>
      <c r="R125" s="6"/>
      <c r="S125" s="6" t="s">
        <v>3505</v>
      </c>
      <c r="T125" s="6" t="s">
        <v>3506</v>
      </c>
      <c r="U125" s="6" t="s">
        <v>3869</v>
      </c>
      <c r="V125" s="6"/>
      <c r="W125" s="6"/>
      <c r="X125" s="6"/>
      <c r="Y125" s="6"/>
      <c r="Z125" s="6"/>
      <c r="AA125" s="6"/>
      <c r="AB125" s="6"/>
      <c r="AC125" s="6"/>
      <c r="AD125" s="6"/>
      <c r="AE125" s="6"/>
      <c r="AF125" s="6"/>
      <c r="AG125" s="6"/>
      <c r="AH125" s="6"/>
      <c r="AI125" s="6"/>
      <c r="AJ125" s="6"/>
      <c r="AK125" s="6"/>
      <c r="AL125" s="6"/>
      <c r="AM125" s="6"/>
    </row>
    <row r="126" ht="34.5" customHeight="1" spans="1:39">
      <c r="A126" s="10"/>
      <c r="C126" s="10"/>
      <c r="E126" s="10"/>
      <c r="F126" s="6" t="s">
        <v>10</v>
      </c>
      <c r="G126" s="95" t="s">
        <v>3870</v>
      </c>
      <c r="H126" s="10"/>
      <c r="I126" s="61" t="s">
        <v>3687</v>
      </c>
      <c r="J126" s="61"/>
      <c r="K126" s="6"/>
      <c r="L126" s="6"/>
      <c r="M126" s="6" t="s">
        <v>2232</v>
      </c>
      <c r="N126" s="6" t="s">
        <v>2232</v>
      </c>
      <c r="O126" s="109" t="s">
        <v>3871</v>
      </c>
      <c r="Q126" s="61" t="s">
        <v>689</v>
      </c>
      <c r="R126" s="6"/>
      <c r="S126" s="6" t="s">
        <v>3505</v>
      </c>
      <c r="T126" s="6" t="s">
        <v>3506</v>
      </c>
      <c r="U126" s="6"/>
      <c r="V126" s="6"/>
      <c r="W126" s="6"/>
      <c r="X126" s="6"/>
      <c r="Y126" s="6"/>
      <c r="Z126" s="6"/>
      <c r="AA126" s="6"/>
      <c r="AB126" s="6"/>
      <c r="AC126" s="6"/>
      <c r="AD126" s="6"/>
      <c r="AE126" s="6"/>
      <c r="AF126" s="6"/>
      <c r="AG126" s="6"/>
      <c r="AH126" s="6"/>
      <c r="AI126" s="6"/>
      <c r="AJ126" s="6"/>
      <c r="AK126" s="6"/>
      <c r="AL126" s="6"/>
      <c r="AM126" s="6"/>
    </row>
    <row r="127" ht="33" customHeight="1" spans="1:39">
      <c r="A127" s="6" t="s">
        <v>142</v>
      </c>
      <c r="B127" s="7">
        <v>46048</v>
      </c>
      <c r="C127" s="6" t="str">
        <f>YEAR(B127)&amp;"年"&amp;MONTH(B127)&amp;"月"</f>
        <v>2026年1月</v>
      </c>
      <c r="D127" s="6" t="s">
        <v>3872</v>
      </c>
      <c r="E127" s="40" t="s">
        <v>40</v>
      </c>
      <c r="F127" s="6" t="s">
        <v>11</v>
      </c>
      <c r="G127" s="95" t="s">
        <v>3827</v>
      </c>
      <c r="H127" s="104" t="s">
        <v>82</v>
      </c>
      <c r="I127" s="61"/>
      <c r="J127" s="61"/>
      <c r="K127" s="61"/>
      <c r="L127" s="61"/>
      <c r="M127" s="61" t="s">
        <v>2232</v>
      </c>
      <c r="N127" s="61" t="s">
        <v>2232</v>
      </c>
      <c r="O127" s="61" t="s">
        <v>3828</v>
      </c>
      <c r="Q127" s="61"/>
      <c r="R127" s="6"/>
      <c r="S127" s="6" t="s">
        <v>3505</v>
      </c>
      <c r="T127" s="6" t="s">
        <v>3506</v>
      </c>
      <c r="U127" s="6"/>
      <c r="V127" s="7">
        <v>46048</v>
      </c>
      <c r="W127" s="7">
        <v>46050</v>
      </c>
      <c r="X127" s="6"/>
      <c r="Y127" s="6"/>
      <c r="Z127" s="6"/>
      <c r="AA127" s="6"/>
      <c r="AB127" s="6"/>
      <c r="AC127" s="6"/>
      <c r="AD127" s="6"/>
      <c r="AE127" s="6"/>
      <c r="AF127" s="6"/>
      <c r="AG127" s="6"/>
      <c r="AH127" s="6"/>
      <c r="AI127" s="6"/>
      <c r="AJ127" s="6"/>
      <c r="AK127" s="6"/>
      <c r="AL127" s="6"/>
      <c r="AM127" s="6"/>
    </row>
    <row r="128" ht="21" customHeight="1" spans="1:39">
      <c r="A128" s="10"/>
      <c r="C128" s="10"/>
      <c r="E128" s="10"/>
      <c r="F128" s="10"/>
      <c r="G128" s="95" t="s">
        <v>3873</v>
      </c>
      <c r="H128" s="104" t="s">
        <v>82</v>
      </c>
      <c r="I128" s="61"/>
      <c r="J128" s="61"/>
      <c r="K128" s="61"/>
      <c r="L128" s="61"/>
      <c r="M128" s="10"/>
      <c r="N128" s="109"/>
      <c r="O128" s="61" t="s">
        <v>3874</v>
      </c>
      <c r="Q128" s="61"/>
      <c r="R128" s="6"/>
      <c r="S128" s="6" t="s">
        <v>3505</v>
      </c>
      <c r="T128" s="6" t="s">
        <v>3506</v>
      </c>
      <c r="U128" s="6"/>
      <c r="V128" s="6"/>
      <c r="W128" s="6"/>
      <c r="X128" s="6"/>
      <c r="Y128" s="6"/>
      <c r="Z128" s="6"/>
      <c r="AA128" s="6"/>
      <c r="AB128" s="6"/>
      <c r="AC128" s="6"/>
      <c r="AD128" s="6"/>
      <c r="AE128" s="6"/>
      <c r="AF128" s="6"/>
      <c r="AG128" s="6"/>
      <c r="AH128" s="6"/>
      <c r="AI128" s="6"/>
      <c r="AJ128" s="6"/>
      <c r="AK128" s="6"/>
      <c r="AL128" s="6"/>
      <c r="AM128" s="6"/>
    </row>
    <row r="129" ht="21" customHeight="1" spans="1:39">
      <c r="A129" s="10"/>
      <c r="C129" s="10"/>
      <c r="E129" s="10"/>
      <c r="F129" s="10"/>
      <c r="G129" s="95" t="s">
        <v>3875</v>
      </c>
      <c r="H129" s="104" t="s">
        <v>82</v>
      </c>
      <c r="I129" s="61"/>
      <c r="J129" s="61"/>
      <c r="K129" s="61"/>
      <c r="L129" s="61"/>
      <c r="M129" s="10"/>
      <c r="N129" s="109"/>
      <c r="O129" s="61" t="s">
        <v>3876</v>
      </c>
      <c r="Q129" s="61"/>
      <c r="R129" s="6"/>
      <c r="S129" s="6" t="s">
        <v>3505</v>
      </c>
      <c r="T129" s="6" t="s">
        <v>3506</v>
      </c>
      <c r="U129" s="6"/>
      <c r="V129" s="6"/>
      <c r="W129" s="6"/>
      <c r="X129" s="6"/>
      <c r="Y129" s="6"/>
      <c r="Z129" s="6"/>
      <c r="AA129" s="6"/>
      <c r="AB129" s="6"/>
      <c r="AC129" s="6"/>
      <c r="AD129" s="6"/>
      <c r="AE129" s="6"/>
      <c r="AF129" s="6"/>
      <c r="AG129" s="6"/>
      <c r="AH129" s="6"/>
      <c r="AI129" s="6"/>
      <c r="AJ129" s="6"/>
      <c r="AK129" s="6"/>
      <c r="AL129" s="6"/>
      <c r="AM129" s="6"/>
    </row>
    <row r="130" ht="45" customHeight="1" spans="1:39">
      <c r="A130" s="6" t="s">
        <v>142</v>
      </c>
      <c r="B130" s="7">
        <v>46049</v>
      </c>
      <c r="C130" s="6" t="str">
        <f t="shared" ref="C130:C142" si="6">YEAR(B130)&amp;"年"&amp;MONTH(B130)&amp;"月"</f>
        <v>2026年1月</v>
      </c>
      <c r="D130" s="6" t="s">
        <v>3877</v>
      </c>
      <c r="E130" s="40" t="s">
        <v>40</v>
      </c>
      <c r="F130" s="6" t="s">
        <v>11</v>
      </c>
      <c r="G130" s="95" t="s">
        <v>3878</v>
      </c>
      <c r="H130" s="104" t="s">
        <v>82</v>
      </c>
      <c r="I130" s="61"/>
      <c r="J130" s="61"/>
      <c r="K130" s="61"/>
      <c r="L130" s="61"/>
      <c r="M130" s="61">
        <v>16000</v>
      </c>
      <c r="N130" s="61" t="s">
        <v>139</v>
      </c>
      <c r="O130" s="61" t="s">
        <v>3879</v>
      </c>
      <c r="Q130" s="61"/>
      <c r="R130" s="6"/>
      <c r="S130" s="6"/>
      <c r="T130" s="6"/>
      <c r="U130" s="6"/>
      <c r="V130" s="6"/>
      <c r="W130" s="6"/>
      <c r="X130" s="6"/>
      <c r="Y130" s="6"/>
      <c r="Z130" s="6"/>
      <c r="AA130" s="6"/>
      <c r="AB130" s="6"/>
      <c r="AC130" s="6"/>
      <c r="AD130" s="6"/>
      <c r="AE130" s="6"/>
      <c r="AF130" s="6"/>
      <c r="AG130" s="6"/>
      <c r="AH130" s="6"/>
      <c r="AI130" s="6"/>
      <c r="AJ130" s="6"/>
      <c r="AK130" s="6"/>
      <c r="AL130" s="6"/>
      <c r="AM130" s="6"/>
    </row>
    <row r="131" ht="28" spans="1:39">
      <c r="A131" s="6" t="s">
        <v>142</v>
      </c>
      <c r="B131" s="7">
        <v>46049</v>
      </c>
      <c r="C131" s="6" t="str">
        <f t="shared" si="6"/>
        <v>2026年1月</v>
      </c>
      <c r="D131" s="6" t="s">
        <v>3880</v>
      </c>
      <c r="E131" s="40" t="s">
        <v>40</v>
      </c>
      <c r="F131" s="6" t="s">
        <v>11</v>
      </c>
      <c r="G131" s="95" t="s">
        <v>3881</v>
      </c>
      <c r="H131" s="104" t="s">
        <v>82</v>
      </c>
      <c r="I131" s="61"/>
      <c r="J131" s="61"/>
      <c r="K131" s="61"/>
      <c r="L131" s="61"/>
      <c r="M131" s="61" t="s">
        <v>2232</v>
      </c>
      <c r="N131" s="61" t="s">
        <v>2232</v>
      </c>
      <c r="O131" s="61" t="s">
        <v>3882</v>
      </c>
      <c r="Q131" s="61"/>
      <c r="R131" s="6"/>
      <c r="S131" s="6"/>
      <c r="T131" s="6"/>
      <c r="U131" s="6"/>
      <c r="V131" s="6"/>
      <c r="W131" s="6"/>
      <c r="X131" s="6"/>
      <c r="Y131" s="6"/>
      <c r="Z131" s="6"/>
      <c r="AA131" s="6"/>
      <c r="AB131" s="6"/>
      <c r="AC131" s="6"/>
      <c r="AD131" s="6"/>
      <c r="AE131" s="6"/>
      <c r="AF131" s="6"/>
      <c r="AG131" s="6"/>
      <c r="AH131" s="6"/>
      <c r="AI131" s="6"/>
      <c r="AJ131" s="6"/>
      <c r="AK131" s="6"/>
      <c r="AL131" s="6"/>
      <c r="AM131" s="6"/>
    </row>
    <row r="132" ht="21" customHeight="1" spans="1:39">
      <c r="A132" s="6" t="s">
        <v>142</v>
      </c>
      <c r="B132" s="7">
        <v>46049</v>
      </c>
      <c r="C132" s="6" t="str">
        <f t="shared" si="6"/>
        <v>2026年1月</v>
      </c>
      <c r="D132" s="6" t="s">
        <v>3883</v>
      </c>
      <c r="E132" s="40" t="s">
        <v>40</v>
      </c>
      <c r="F132" s="6" t="s">
        <v>11</v>
      </c>
      <c r="G132" s="95" t="s">
        <v>3884</v>
      </c>
      <c r="H132" s="104" t="s">
        <v>82</v>
      </c>
      <c r="I132" s="61"/>
      <c r="J132" s="61"/>
      <c r="K132" s="61"/>
      <c r="L132" s="61"/>
      <c r="M132" s="61" t="s">
        <v>2232</v>
      </c>
      <c r="N132" s="61" t="s">
        <v>2232</v>
      </c>
      <c r="O132" s="61" t="s">
        <v>3885</v>
      </c>
      <c r="Q132" s="61"/>
      <c r="R132" s="6"/>
      <c r="S132" s="6"/>
      <c r="T132" s="6"/>
      <c r="U132" s="6"/>
      <c r="V132" s="6"/>
      <c r="W132" s="6"/>
      <c r="X132" s="6"/>
      <c r="Y132" s="6"/>
      <c r="Z132" s="6"/>
      <c r="AA132" s="6"/>
      <c r="AB132" s="6"/>
      <c r="AC132" s="6"/>
      <c r="AD132" s="6"/>
      <c r="AE132" s="6"/>
      <c r="AF132" s="6"/>
      <c r="AG132" s="6"/>
      <c r="AH132" s="6"/>
      <c r="AI132" s="6"/>
      <c r="AJ132" s="6"/>
      <c r="AK132" s="6"/>
      <c r="AL132" s="6"/>
      <c r="AM132" s="6"/>
    </row>
    <row r="133" ht="33.75" customHeight="1" spans="1:39">
      <c r="A133" s="6" t="s">
        <v>142</v>
      </c>
      <c r="B133" s="7">
        <v>46050</v>
      </c>
      <c r="C133" s="6" t="str">
        <f t="shared" si="6"/>
        <v>2026年1月</v>
      </c>
      <c r="D133" s="6" t="s">
        <v>3886</v>
      </c>
      <c r="E133" s="40" t="s">
        <v>40</v>
      </c>
      <c r="F133" s="6" t="s">
        <v>11</v>
      </c>
      <c r="G133" s="95" t="s">
        <v>3887</v>
      </c>
      <c r="H133" s="104" t="s">
        <v>82</v>
      </c>
      <c r="I133" s="61"/>
      <c r="J133" s="61"/>
      <c r="K133" s="61"/>
      <c r="L133" s="61"/>
      <c r="M133" s="61" t="s">
        <v>2232</v>
      </c>
      <c r="N133" s="61" t="s">
        <v>2232</v>
      </c>
      <c r="O133" s="61" t="s">
        <v>3888</v>
      </c>
      <c r="Q133" s="61"/>
      <c r="R133" s="6"/>
      <c r="S133" s="6"/>
      <c r="T133" s="6"/>
      <c r="U133" s="6"/>
      <c r="V133" s="6"/>
      <c r="W133" s="6"/>
      <c r="X133" s="6"/>
      <c r="Y133" s="6"/>
      <c r="Z133" s="6"/>
      <c r="AA133" s="6"/>
      <c r="AB133" s="6"/>
      <c r="AC133" s="6"/>
      <c r="AD133" s="6"/>
      <c r="AE133" s="6"/>
      <c r="AF133" s="6"/>
      <c r="AG133" s="6"/>
      <c r="AH133" s="6"/>
      <c r="AI133" s="6"/>
      <c r="AJ133" s="6"/>
      <c r="AK133" s="6"/>
      <c r="AL133" s="6"/>
      <c r="AM133" s="6"/>
    </row>
    <row r="134" ht="31.5" customHeight="1" spans="1:39">
      <c r="A134" s="6" t="s">
        <v>142</v>
      </c>
      <c r="B134" s="7">
        <v>46052</v>
      </c>
      <c r="C134" s="6" t="str">
        <f t="shared" si="6"/>
        <v>2026年1月</v>
      </c>
      <c r="D134" s="6" t="s">
        <v>3889</v>
      </c>
      <c r="E134" s="40" t="s">
        <v>3577</v>
      </c>
      <c r="F134" s="6" t="s">
        <v>11</v>
      </c>
      <c r="G134" s="95" t="s">
        <v>3887</v>
      </c>
      <c r="H134" s="104" t="s">
        <v>82</v>
      </c>
      <c r="I134" s="61"/>
      <c r="J134" s="61"/>
      <c r="K134" s="61"/>
      <c r="L134" s="61"/>
      <c r="M134" s="61"/>
      <c r="N134" s="61"/>
      <c r="O134" s="61" t="s">
        <v>3888</v>
      </c>
      <c r="Q134" s="61"/>
      <c r="R134" s="6"/>
      <c r="S134" s="6"/>
      <c r="T134" s="6"/>
      <c r="U134" s="6"/>
      <c r="V134" s="6"/>
      <c r="W134" s="6"/>
      <c r="X134" s="6"/>
      <c r="Y134" s="6"/>
      <c r="Z134" s="6"/>
      <c r="AA134" s="6"/>
      <c r="AB134" s="6"/>
      <c r="AC134" s="6"/>
      <c r="AD134" s="6"/>
      <c r="AE134" s="6"/>
      <c r="AF134" s="6"/>
      <c r="AG134" s="6"/>
      <c r="AH134" s="6"/>
      <c r="AI134" s="6"/>
      <c r="AJ134" s="6"/>
      <c r="AK134" s="6"/>
      <c r="AL134" s="6"/>
      <c r="AM134" s="6"/>
    </row>
    <row r="135" ht="34.5" customHeight="1" spans="1:39">
      <c r="A135" s="6" t="s">
        <v>207</v>
      </c>
      <c r="B135" s="7">
        <v>46057</v>
      </c>
      <c r="C135" s="6" t="str">
        <f t="shared" si="6"/>
        <v>2026年2月</v>
      </c>
      <c r="D135" s="41" t="s">
        <v>3890</v>
      </c>
      <c r="E135" s="40" t="s">
        <v>40</v>
      </c>
      <c r="F135" s="6" t="s">
        <v>10</v>
      </c>
      <c r="G135" s="95" t="s">
        <v>3891</v>
      </c>
      <c r="H135" s="104" t="s">
        <v>82</v>
      </c>
      <c r="I135" s="61" t="s">
        <v>1005</v>
      </c>
      <c r="J135" s="68" t="s">
        <v>3892</v>
      </c>
      <c r="K135" s="61"/>
      <c r="L135" s="61"/>
      <c r="M135" s="61">
        <v>19999</v>
      </c>
      <c r="N135" s="61" t="s">
        <v>149</v>
      </c>
      <c r="O135" s="61" t="s">
        <v>3893</v>
      </c>
      <c r="Q135" s="61" t="s">
        <v>168</v>
      </c>
      <c r="R135" s="6" t="s">
        <v>3894</v>
      </c>
      <c r="S135" s="6" t="s">
        <v>3505</v>
      </c>
      <c r="T135" s="6" t="s">
        <v>3506</v>
      </c>
      <c r="U135" s="6"/>
      <c r="V135" s="6"/>
      <c r="W135" s="6"/>
      <c r="X135" s="6"/>
      <c r="Y135" s="6"/>
      <c r="Z135" s="6"/>
      <c r="AA135" s="6"/>
      <c r="AB135" s="6"/>
      <c r="AC135" s="6"/>
      <c r="AD135" s="6"/>
      <c r="AE135" s="6"/>
      <c r="AF135" s="6"/>
      <c r="AG135" s="6"/>
      <c r="AH135" s="6"/>
      <c r="AI135" s="6"/>
      <c r="AJ135" s="6"/>
      <c r="AK135" s="6"/>
      <c r="AL135" s="6"/>
      <c r="AM135" s="6"/>
    </row>
    <row r="136" ht="36" customHeight="1" spans="1:39">
      <c r="A136" s="6" t="s">
        <v>142</v>
      </c>
      <c r="B136" s="7">
        <v>46056</v>
      </c>
      <c r="C136" s="6" t="str">
        <f t="shared" si="6"/>
        <v>2026年2月</v>
      </c>
      <c r="D136" s="6" t="s">
        <v>3895</v>
      </c>
      <c r="E136" s="40" t="s">
        <v>40</v>
      </c>
      <c r="F136" s="6" t="s">
        <v>10</v>
      </c>
      <c r="G136" s="95" t="s">
        <v>3896</v>
      </c>
      <c r="H136" s="104" t="s">
        <v>82</v>
      </c>
      <c r="I136" s="61"/>
      <c r="J136" s="61"/>
      <c r="K136" s="61"/>
      <c r="L136" s="61"/>
      <c r="M136" s="61" t="s">
        <v>2232</v>
      </c>
      <c r="N136" s="61" t="s">
        <v>2232</v>
      </c>
      <c r="O136" s="61" t="s">
        <v>3897</v>
      </c>
      <c r="Q136" s="61"/>
      <c r="R136" s="6"/>
      <c r="S136" s="6"/>
      <c r="T136" s="6"/>
      <c r="U136" s="6"/>
      <c r="V136" s="6"/>
      <c r="W136" s="6"/>
      <c r="X136" s="6"/>
      <c r="Y136" s="6"/>
      <c r="Z136" s="6"/>
      <c r="AA136" s="6"/>
      <c r="AB136" s="6"/>
      <c r="AC136" s="6"/>
      <c r="AD136" s="6"/>
      <c r="AE136" s="6"/>
      <c r="AF136" s="6"/>
      <c r="AG136" s="6"/>
      <c r="AH136" s="6"/>
      <c r="AI136" s="6"/>
      <c r="AJ136" s="6"/>
      <c r="AK136" s="6"/>
      <c r="AL136" s="6"/>
      <c r="AM136" s="6"/>
    </row>
    <row r="137" ht="21" customHeight="1" spans="1:39">
      <c r="A137" s="6" t="s">
        <v>207</v>
      </c>
      <c r="B137" s="7">
        <v>46058</v>
      </c>
      <c r="C137" s="6" t="str">
        <f t="shared" si="6"/>
        <v>2026年2月</v>
      </c>
      <c r="D137" s="6" t="s">
        <v>3898</v>
      </c>
      <c r="E137" s="40" t="s">
        <v>3577</v>
      </c>
      <c r="F137" s="6" t="s">
        <v>11</v>
      </c>
      <c r="G137" s="95" t="s">
        <v>3878</v>
      </c>
      <c r="H137" s="104" t="s">
        <v>82</v>
      </c>
      <c r="I137" s="61"/>
      <c r="J137" s="68" t="s">
        <v>3899</v>
      </c>
      <c r="K137" s="61"/>
      <c r="L137" s="61"/>
      <c r="M137" s="61">
        <v>13900</v>
      </c>
      <c r="N137" s="61" t="s">
        <v>149</v>
      </c>
      <c r="O137" s="61" t="s">
        <v>3879</v>
      </c>
      <c r="Q137" s="61"/>
      <c r="R137" s="6"/>
      <c r="S137" s="6" t="s">
        <v>3505</v>
      </c>
      <c r="T137" s="6" t="s">
        <v>3506</v>
      </c>
      <c r="U137" s="6"/>
      <c r="V137" s="6"/>
      <c r="W137" s="6"/>
      <c r="X137" s="6"/>
      <c r="Y137" s="6"/>
      <c r="Z137" s="6"/>
      <c r="AA137" s="6"/>
      <c r="AB137" s="6"/>
      <c r="AC137" s="6"/>
      <c r="AD137" s="6"/>
      <c r="AE137" s="6"/>
      <c r="AF137" s="6"/>
      <c r="AG137" s="6"/>
      <c r="AH137" s="6"/>
      <c r="AI137" s="6"/>
      <c r="AJ137" s="6"/>
      <c r="AK137" s="6"/>
      <c r="AL137" s="6"/>
      <c r="AM137" s="6"/>
    </row>
    <row r="138" ht="43.5" customHeight="1" spans="1:39">
      <c r="A138" s="6" t="s">
        <v>142</v>
      </c>
      <c r="B138" s="7">
        <v>46059</v>
      </c>
      <c r="C138" s="6" t="str">
        <f t="shared" si="6"/>
        <v>2026年2月</v>
      </c>
      <c r="D138" s="111" t="s">
        <v>3900</v>
      </c>
      <c r="E138" s="40" t="s">
        <v>40</v>
      </c>
      <c r="F138" s="6" t="s">
        <v>11</v>
      </c>
      <c r="G138" s="95" t="s">
        <v>3901</v>
      </c>
      <c r="H138" s="104" t="s">
        <v>82</v>
      </c>
      <c r="I138" s="61" t="s">
        <v>3902</v>
      </c>
      <c r="J138" s="61"/>
      <c r="K138" s="61"/>
      <c r="L138" s="61"/>
      <c r="M138" s="61" t="s">
        <v>2232</v>
      </c>
      <c r="N138" s="61" t="s">
        <v>2232</v>
      </c>
      <c r="O138" s="61" t="s">
        <v>3903</v>
      </c>
      <c r="Q138" s="61"/>
      <c r="R138" s="6"/>
      <c r="S138" s="6"/>
      <c r="T138" s="6"/>
      <c r="U138" s="6"/>
      <c r="V138" s="6"/>
      <c r="W138" s="6"/>
      <c r="X138" s="6"/>
      <c r="Y138" s="6"/>
      <c r="Z138" s="6"/>
      <c r="AA138" s="6"/>
      <c r="AB138" s="6"/>
      <c r="AC138" s="6"/>
      <c r="AD138" s="6"/>
      <c r="AE138" s="6"/>
      <c r="AF138" s="6"/>
      <c r="AG138" s="6"/>
      <c r="AH138" s="6"/>
      <c r="AI138" s="6"/>
      <c r="AJ138" s="6"/>
      <c r="AK138" s="6"/>
      <c r="AL138" s="6"/>
      <c r="AM138" s="6"/>
    </row>
    <row r="139" ht="21" customHeight="1" spans="1:39">
      <c r="A139" s="6" t="s">
        <v>207</v>
      </c>
      <c r="B139" s="7">
        <v>46064</v>
      </c>
      <c r="C139" s="6" t="str">
        <f t="shared" si="6"/>
        <v>2026年2月</v>
      </c>
      <c r="D139" s="41" t="s">
        <v>3904</v>
      </c>
      <c r="E139" s="40" t="s">
        <v>40</v>
      </c>
      <c r="F139" s="6" t="s">
        <v>11</v>
      </c>
      <c r="G139" s="95" t="s">
        <v>3905</v>
      </c>
      <c r="H139" s="104" t="s">
        <v>82</v>
      </c>
      <c r="I139" s="61"/>
      <c r="J139" s="61"/>
      <c r="K139" s="61"/>
      <c r="L139" s="61"/>
      <c r="M139" s="61">
        <v>26900</v>
      </c>
      <c r="N139" s="61" t="s">
        <v>149</v>
      </c>
      <c r="O139" s="61" t="s">
        <v>3906</v>
      </c>
      <c r="Q139" s="61"/>
      <c r="R139" s="6"/>
      <c r="S139" s="6"/>
      <c r="T139" s="6"/>
      <c r="U139" s="6"/>
      <c r="V139" s="6"/>
      <c r="W139" s="6"/>
      <c r="X139" s="6"/>
      <c r="Y139" s="6"/>
      <c r="Z139" s="6"/>
      <c r="AA139" s="6"/>
      <c r="AB139" s="6"/>
      <c r="AC139" s="6"/>
      <c r="AD139" s="6"/>
      <c r="AE139" s="6"/>
      <c r="AF139" s="6"/>
      <c r="AG139" s="6"/>
      <c r="AH139" s="6"/>
      <c r="AI139" s="6"/>
      <c r="AJ139" s="6"/>
      <c r="AK139" s="6"/>
      <c r="AL139" s="6"/>
      <c r="AM139" s="6"/>
    </row>
    <row r="140" ht="21" customHeight="1" spans="1:39">
      <c r="A140" s="6" t="s">
        <v>142</v>
      </c>
      <c r="B140" s="7">
        <v>46064</v>
      </c>
      <c r="C140" s="6" t="str">
        <f t="shared" si="6"/>
        <v>2026年2月</v>
      </c>
      <c r="D140" s="6" t="s">
        <v>3907</v>
      </c>
      <c r="E140" s="40" t="s">
        <v>40</v>
      </c>
      <c r="F140" s="6" t="s">
        <v>11</v>
      </c>
      <c r="G140" s="95" t="s">
        <v>3742</v>
      </c>
      <c r="H140" s="104" t="s">
        <v>82</v>
      </c>
      <c r="I140" s="6"/>
      <c r="J140" s="61"/>
      <c r="K140" s="61"/>
      <c r="L140" s="61"/>
      <c r="M140" s="61">
        <v>26790</v>
      </c>
      <c r="N140" s="61" t="s">
        <v>149</v>
      </c>
      <c r="O140" s="61" t="s">
        <v>3743</v>
      </c>
      <c r="Q140" s="61"/>
      <c r="R140" s="6"/>
      <c r="S140" s="6"/>
      <c r="T140" s="6"/>
      <c r="U140" s="6"/>
      <c r="V140" s="6"/>
      <c r="W140" s="6"/>
      <c r="X140" s="6"/>
      <c r="Y140" s="6"/>
      <c r="Z140" s="6"/>
      <c r="AA140" s="6"/>
      <c r="AB140" s="6"/>
      <c r="AC140" s="6"/>
      <c r="AD140" s="6"/>
      <c r="AE140" s="6"/>
      <c r="AF140" s="6"/>
      <c r="AG140" s="6"/>
      <c r="AH140" s="6"/>
      <c r="AI140" s="6"/>
      <c r="AJ140" s="6"/>
      <c r="AK140" s="6"/>
      <c r="AL140" s="6"/>
      <c r="AM140" s="6"/>
    </row>
    <row r="141" ht="32.25" customHeight="1" spans="1:39">
      <c r="A141" s="6" t="s">
        <v>207</v>
      </c>
      <c r="B141" s="7">
        <v>46065</v>
      </c>
      <c r="C141" s="6" t="str">
        <f t="shared" si="6"/>
        <v>2026年2月</v>
      </c>
      <c r="D141" s="6" t="s">
        <v>3908</v>
      </c>
      <c r="E141" s="40" t="s">
        <v>40</v>
      </c>
      <c r="F141" s="6" t="s">
        <v>10</v>
      </c>
      <c r="G141" s="95" t="s">
        <v>3891</v>
      </c>
      <c r="H141" s="104" t="s">
        <v>82</v>
      </c>
      <c r="I141" s="61"/>
      <c r="J141" s="68"/>
      <c r="K141" s="61"/>
      <c r="L141" s="61"/>
      <c r="M141" s="61">
        <v>49970</v>
      </c>
      <c r="N141" s="61" t="s">
        <v>149</v>
      </c>
      <c r="O141" s="61" t="s">
        <v>3893</v>
      </c>
      <c r="Q141" s="61"/>
      <c r="R141" s="6"/>
      <c r="S141" s="6"/>
      <c r="T141" s="6"/>
      <c r="U141" s="6"/>
      <c r="V141" s="6"/>
      <c r="W141" s="6"/>
      <c r="X141" s="6"/>
      <c r="Y141" s="6"/>
      <c r="Z141" s="6"/>
      <c r="AA141" s="6"/>
      <c r="AB141" s="6"/>
      <c r="AC141" s="6"/>
      <c r="AD141" s="6"/>
      <c r="AE141" s="6"/>
      <c r="AF141" s="6"/>
      <c r="AG141" s="6"/>
      <c r="AH141" s="6"/>
      <c r="AI141" s="6"/>
      <c r="AJ141" s="6"/>
      <c r="AK141" s="6"/>
      <c r="AL141" s="6"/>
      <c r="AM141" s="6"/>
    </row>
    <row r="142" ht="21" customHeight="1" spans="1:39">
      <c r="A142" s="6" t="s">
        <v>142</v>
      </c>
      <c r="B142" s="7">
        <v>46065</v>
      </c>
      <c r="C142" s="6" t="str">
        <f t="shared" si="6"/>
        <v>2026年2月</v>
      </c>
      <c r="D142" s="6" t="s">
        <v>3909</v>
      </c>
      <c r="E142" s="40" t="s">
        <v>40</v>
      </c>
      <c r="F142" s="6" t="s">
        <v>11</v>
      </c>
      <c r="G142" s="95" t="s">
        <v>3910</v>
      </c>
      <c r="H142" s="104" t="s">
        <v>82</v>
      </c>
      <c r="I142" s="61"/>
      <c r="J142" s="6"/>
      <c r="K142" s="61"/>
      <c r="L142" s="61"/>
      <c r="M142" s="61">
        <v>270000</v>
      </c>
      <c r="N142" s="61" t="s">
        <v>149</v>
      </c>
      <c r="O142" s="61" t="s">
        <v>3911</v>
      </c>
      <c r="Q142" s="61"/>
      <c r="R142" s="6"/>
      <c r="S142" s="6"/>
      <c r="T142" s="6"/>
      <c r="U142" s="6"/>
      <c r="V142" s="6"/>
      <c r="W142" s="6"/>
      <c r="X142" s="6"/>
      <c r="Y142" s="6"/>
      <c r="Z142" s="6"/>
      <c r="AA142" s="6"/>
      <c r="AB142" s="6"/>
      <c r="AC142" s="6"/>
      <c r="AD142" s="6"/>
      <c r="AE142" s="6"/>
      <c r="AF142" s="6"/>
      <c r="AG142" s="6"/>
      <c r="AH142" s="6"/>
      <c r="AI142" s="6"/>
      <c r="AJ142" s="6"/>
      <c r="AK142" s="6"/>
      <c r="AL142" s="6"/>
      <c r="AM142" s="6"/>
    </row>
    <row r="143" ht="21" customHeight="1" spans="1:39">
      <c r="A143" s="10"/>
      <c r="C143" s="10"/>
      <c r="E143" s="10"/>
      <c r="F143" s="10"/>
      <c r="G143" s="95" t="s">
        <v>3797</v>
      </c>
      <c r="H143" s="104" t="s">
        <v>82</v>
      </c>
      <c r="I143" s="61"/>
      <c r="J143" s="6"/>
      <c r="K143" s="61"/>
      <c r="L143" s="61"/>
      <c r="M143" s="10"/>
      <c r="N143" s="10"/>
      <c r="O143" s="61" t="s">
        <v>3798</v>
      </c>
      <c r="Q143" s="61"/>
      <c r="R143" s="6"/>
      <c r="S143" s="6"/>
      <c r="T143" s="6"/>
      <c r="U143" s="6"/>
      <c r="V143" s="6"/>
      <c r="W143" s="6"/>
      <c r="X143" s="6"/>
      <c r="Y143" s="6"/>
      <c r="Z143" s="6"/>
      <c r="AA143" s="6"/>
      <c r="AB143" s="6"/>
      <c r="AC143" s="6"/>
      <c r="AD143" s="6"/>
      <c r="AE143" s="6"/>
      <c r="AF143" s="6"/>
      <c r="AG143" s="6"/>
      <c r="AH143" s="6"/>
      <c r="AI143" s="6"/>
      <c r="AJ143" s="6"/>
      <c r="AK143" s="6"/>
      <c r="AL143" s="6"/>
      <c r="AM143" s="6"/>
    </row>
    <row r="144" ht="21" customHeight="1" spans="1:39">
      <c r="A144" s="6" t="s">
        <v>207</v>
      </c>
      <c r="B144" s="7">
        <v>46065</v>
      </c>
      <c r="C144" s="6" t="str">
        <f t="shared" ref="C144:C150" si="7">YEAR(B144)&amp;"年"&amp;MONTH(B144)&amp;"月"</f>
        <v>2026年2月</v>
      </c>
      <c r="D144" s="6" t="s">
        <v>3912</v>
      </c>
      <c r="E144" s="40" t="s">
        <v>3577</v>
      </c>
      <c r="F144" s="6" t="s">
        <v>11</v>
      </c>
      <c r="G144" s="95" t="s">
        <v>3742</v>
      </c>
      <c r="H144" s="104" t="s">
        <v>82</v>
      </c>
      <c r="I144" s="61"/>
      <c r="J144" s="61"/>
      <c r="K144" s="61"/>
      <c r="L144" s="61"/>
      <c r="M144" s="61" t="s">
        <v>2232</v>
      </c>
      <c r="N144" s="61" t="s">
        <v>2232</v>
      </c>
      <c r="O144" s="61" t="s">
        <v>3743</v>
      </c>
      <c r="Q144" s="61"/>
      <c r="R144" s="6"/>
      <c r="S144" s="6"/>
      <c r="T144" s="6"/>
      <c r="U144" s="6"/>
      <c r="V144" s="6"/>
      <c r="W144" s="6"/>
      <c r="X144" s="6"/>
      <c r="Y144" s="6"/>
      <c r="Z144" s="6"/>
      <c r="AA144" s="6"/>
      <c r="AB144" s="6"/>
      <c r="AC144" s="6"/>
      <c r="AD144" s="6"/>
      <c r="AE144" s="6"/>
      <c r="AF144" s="6"/>
      <c r="AG144" s="6"/>
      <c r="AH144" s="6"/>
      <c r="AI144" s="6"/>
      <c r="AJ144" s="6"/>
      <c r="AK144" s="6"/>
      <c r="AL144" s="6"/>
      <c r="AM144" s="6"/>
    </row>
    <row r="145" ht="21" customHeight="1" spans="1:39">
      <c r="A145" s="6" t="s">
        <v>142</v>
      </c>
      <c r="B145" s="7">
        <v>46071</v>
      </c>
      <c r="C145" s="6" t="str">
        <f t="shared" si="7"/>
        <v>2026年2月</v>
      </c>
      <c r="D145" s="92" t="s">
        <v>3913</v>
      </c>
      <c r="E145" s="40" t="s">
        <v>40</v>
      </c>
      <c r="F145" s="6" t="s">
        <v>11</v>
      </c>
      <c r="G145" s="95" t="s">
        <v>3901</v>
      </c>
      <c r="H145" s="104" t="s">
        <v>82</v>
      </c>
      <c r="I145" s="61" t="s">
        <v>3902</v>
      </c>
      <c r="J145" s="61"/>
      <c r="K145" s="61"/>
      <c r="L145" s="61"/>
      <c r="M145" s="61">
        <v>69000</v>
      </c>
      <c r="N145" s="61" t="s">
        <v>149</v>
      </c>
      <c r="O145" s="61" t="s">
        <v>3903</v>
      </c>
      <c r="Q145" s="61"/>
      <c r="R145" s="6"/>
      <c r="S145" s="6"/>
      <c r="T145" s="6"/>
      <c r="U145" s="6"/>
      <c r="V145" s="6"/>
      <c r="W145" s="6"/>
      <c r="X145" s="6"/>
      <c r="Y145" s="6"/>
      <c r="Z145" s="6"/>
      <c r="AA145" s="6"/>
      <c r="AB145" s="6"/>
      <c r="AC145" s="6"/>
      <c r="AD145" s="6"/>
      <c r="AE145" s="6"/>
      <c r="AF145" s="6"/>
      <c r="AG145" s="6"/>
      <c r="AH145" s="6"/>
      <c r="AI145" s="6"/>
      <c r="AJ145" s="6"/>
      <c r="AK145" s="6"/>
      <c r="AL145" s="6"/>
      <c r="AM145" s="6"/>
    </row>
    <row r="146" ht="21" customHeight="1" spans="1:39">
      <c r="A146" s="6" t="s">
        <v>142</v>
      </c>
      <c r="B146" s="7">
        <v>46071</v>
      </c>
      <c r="C146" s="6" t="str">
        <f t="shared" si="7"/>
        <v>2026年2月</v>
      </c>
      <c r="D146" s="6" t="s">
        <v>3914</v>
      </c>
      <c r="E146" s="40" t="s">
        <v>40</v>
      </c>
      <c r="F146" s="6" t="s">
        <v>11</v>
      </c>
      <c r="G146" s="95" t="s">
        <v>3915</v>
      </c>
      <c r="H146" s="104" t="s">
        <v>82</v>
      </c>
      <c r="I146" s="61"/>
      <c r="J146" s="61"/>
      <c r="K146" s="61"/>
      <c r="L146" s="61"/>
      <c r="M146" s="61" t="s">
        <v>2232</v>
      </c>
      <c r="N146" s="61" t="s">
        <v>2232</v>
      </c>
      <c r="O146" s="61" t="s">
        <v>3916</v>
      </c>
      <c r="Q146" s="61"/>
      <c r="R146" s="6"/>
      <c r="S146" s="6"/>
      <c r="T146" s="6"/>
      <c r="U146" s="6"/>
      <c r="V146" s="6"/>
      <c r="W146" s="6"/>
      <c r="X146" s="6"/>
      <c r="Y146" s="6"/>
      <c r="Z146" s="6"/>
      <c r="AA146" s="6"/>
      <c r="AB146" s="6"/>
      <c r="AC146" s="6"/>
      <c r="AD146" s="6"/>
      <c r="AE146" s="6"/>
      <c r="AF146" s="6"/>
      <c r="AG146" s="6"/>
      <c r="AH146" s="6"/>
      <c r="AI146" s="6"/>
      <c r="AJ146" s="6"/>
      <c r="AK146" s="6"/>
      <c r="AL146" s="6"/>
      <c r="AM146" s="6"/>
    </row>
    <row r="147" ht="33" customHeight="1" spans="1:39">
      <c r="A147" s="6" t="s">
        <v>142</v>
      </c>
      <c r="B147" s="7">
        <v>46073</v>
      </c>
      <c r="C147" s="6" t="str">
        <f t="shared" si="7"/>
        <v>2026年2月</v>
      </c>
      <c r="D147" s="6" t="s">
        <v>3917</v>
      </c>
      <c r="E147" s="40" t="s">
        <v>42</v>
      </c>
      <c r="F147" s="6" t="s">
        <v>10</v>
      </c>
      <c r="G147" s="95" t="s">
        <v>3918</v>
      </c>
      <c r="H147" s="104" t="s">
        <v>82</v>
      </c>
      <c r="I147" s="61" t="s">
        <v>3919</v>
      </c>
      <c r="J147" s="61"/>
      <c r="K147" s="61"/>
      <c r="L147" s="61"/>
      <c r="M147" s="61" t="s">
        <v>2232</v>
      </c>
      <c r="N147" s="61" t="s">
        <v>2232</v>
      </c>
      <c r="O147" s="68" t="s">
        <v>3920</v>
      </c>
      <c r="Q147" s="61"/>
      <c r="R147" s="6"/>
      <c r="S147" s="6"/>
      <c r="T147" s="6"/>
      <c r="U147" s="6" t="s">
        <v>3869</v>
      </c>
      <c r="V147" s="6"/>
      <c r="W147" s="6"/>
      <c r="X147" s="6"/>
      <c r="Y147" s="6"/>
      <c r="Z147" s="6"/>
      <c r="AA147" s="6"/>
      <c r="AB147" s="6"/>
      <c r="AC147" s="6"/>
      <c r="AD147" s="6"/>
      <c r="AE147" s="6"/>
      <c r="AF147" s="6"/>
      <c r="AG147" s="6"/>
      <c r="AH147" s="6"/>
      <c r="AI147" s="6"/>
      <c r="AJ147" s="6"/>
      <c r="AK147" s="6"/>
      <c r="AL147" s="6"/>
      <c r="AM147" s="6"/>
    </row>
    <row r="148" ht="21" customHeight="1" spans="1:39">
      <c r="A148" s="6" t="s">
        <v>142</v>
      </c>
      <c r="B148" s="7">
        <v>46070</v>
      </c>
      <c r="C148" s="6" t="str">
        <f t="shared" si="7"/>
        <v>2026年2月</v>
      </c>
      <c r="D148" s="6" t="s">
        <v>3921</v>
      </c>
      <c r="E148" s="40" t="s">
        <v>3577</v>
      </c>
      <c r="F148" s="6" t="s">
        <v>11</v>
      </c>
      <c r="G148" s="95" t="s">
        <v>3856</v>
      </c>
      <c r="H148" s="104" t="s">
        <v>82</v>
      </c>
      <c r="I148" s="61" t="s">
        <v>3902</v>
      </c>
      <c r="J148" s="61"/>
      <c r="K148" s="61"/>
      <c r="L148" s="61"/>
      <c r="M148" s="61" t="s">
        <v>2232</v>
      </c>
      <c r="N148" s="61" t="s">
        <v>2232</v>
      </c>
      <c r="O148" s="61" t="s">
        <v>3857</v>
      </c>
      <c r="Q148" s="61"/>
      <c r="R148" s="6"/>
      <c r="S148" s="6"/>
      <c r="T148" s="6"/>
      <c r="U148" s="6"/>
      <c r="V148" s="6"/>
      <c r="W148" s="6"/>
      <c r="X148" s="6"/>
      <c r="Y148" s="6"/>
      <c r="Z148" s="6"/>
      <c r="AA148" s="6"/>
      <c r="AB148" s="6"/>
      <c r="AC148" s="6"/>
      <c r="AD148" s="6"/>
      <c r="AE148" s="6"/>
      <c r="AF148" s="6"/>
      <c r="AG148" s="6"/>
      <c r="AH148" s="6"/>
      <c r="AI148" s="6"/>
      <c r="AJ148" s="6"/>
      <c r="AK148" s="6"/>
      <c r="AL148" s="6"/>
      <c r="AM148" s="6"/>
    </row>
    <row r="149" ht="21" customHeight="1" spans="1:39">
      <c r="A149" s="6" t="s">
        <v>142</v>
      </c>
      <c r="B149" s="7">
        <v>46071</v>
      </c>
      <c r="C149" s="6" t="str">
        <f t="shared" si="7"/>
        <v>2026年2月</v>
      </c>
      <c r="D149" s="6" t="s">
        <v>3922</v>
      </c>
      <c r="E149" s="40" t="s">
        <v>3577</v>
      </c>
      <c r="F149" s="6" t="s">
        <v>11</v>
      </c>
      <c r="G149" s="95" t="s">
        <v>3901</v>
      </c>
      <c r="H149" s="104" t="s">
        <v>82</v>
      </c>
      <c r="I149" s="61"/>
      <c r="J149" s="61"/>
      <c r="K149" s="61"/>
      <c r="L149" s="61"/>
      <c r="M149" s="61">
        <v>69000</v>
      </c>
      <c r="N149" s="61" t="s">
        <v>149</v>
      </c>
      <c r="O149" s="61" t="s">
        <v>3903</v>
      </c>
      <c r="Q149" s="61"/>
      <c r="R149" s="6"/>
      <c r="S149" s="6"/>
      <c r="T149" s="6"/>
      <c r="U149" s="6"/>
      <c r="V149" s="6"/>
      <c r="W149" s="6"/>
      <c r="X149" s="6"/>
      <c r="Y149" s="6"/>
      <c r="Z149" s="6"/>
      <c r="AA149" s="6"/>
      <c r="AB149" s="6"/>
      <c r="AC149" s="6"/>
      <c r="AD149" s="6"/>
      <c r="AE149" s="6"/>
      <c r="AF149" s="6"/>
      <c r="AG149" s="6"/>
      <c r="AH149" s="6"/>
      <c r="AI149" s="6"/>
      <c r="AJ149" s="6"/>
      <c r="AK149" s="6"/>
      <c r="AL149" s="6"/>
      <c r="AM149" s="6"/>
    </row>
    <row r="150" ht="21" customHeight="1" spans="1:39">
      <c r="A150" s="6" t="s">
        <v>142</v>
      </c>
      <c r="B150" s="7">
        <v>46069</v>
      </c>
      <c r="C150" s="6" t="str">
        <f t="shared" si="7"/>
        <v>2026年2月</v>
      </c>
      <c r="D150" s="6" t="s">
        <v>3889</v>
      </c>
      <c r="E150" s="40" t="s">
        <v>3577</v>
      </c>
      <c r="F150" s="6" t="s">
        <v>11</v>
      </c>
      <c r="G150" s="95" t="s">
        <v>3910</v>
      </c>
      <c r="H150" s="104" t="s">
        <v>82</v>
      </c>
      <c r="I150" s="61"/>
      <c r="J150" s="61"/>
      <c r="K150" s="61"/>
      <c r="L150" s="61"/>
      <c r="M150" s="61">
        <v>24000</v>
      </c>
      <c r="N150" s="61" t="s">
        <v>149</v>
      </c>
      <c r="O150" s="61" t="s">
        <v>3911</v>
      </c>
      <c r="Q150" s="61"/>
      <c r="R150" s="6"/>
      <c r="S150" s="6"/>
      <c r="T150" s="6"/>
      <c r="U150" s="6"/>
      <c r="V150" s="6"/>
      <c r="W150" s="6"/>
      <c r="X150" s="6"/>
      <c r="Y150" s="6"/>
      <c r="Z150" s="6"/>
      <c r="AA150" s="6"/>
      <c r="AB150" s="6"/>
      <c r="AC150" s="6"/>
      <c r="AD150" s="6"/>
      <c r="AE150" s="6"/>
      <c r="AF150" s="6"/>
      <c r="AG150" s="6"/>
      <c r="AH150" s="6"/>
      <c r="AI150" s="6"/>
      <c r="AJ150" s="6"/>
      <c r="AK150" s="6"/>
      <c r="AL150" s="6"/>
      <c r="AM150" s="6"/>
    </row>
    <row r="151" ht="21" customHeight="1" spans="1:39">
      <c r="A151" s="10"/>
      <c r="C151" s="10"/>
      <c r="E151" s="10"/>
      <c r="F151" s="10"/>
      <c r="G151" s="95" t="s">
        <v>3797</v>
      </c>
      <c r="H151" s="10"/>
      <c r="I151" s="61"/>
      <c r="J151" s="61"/>
      <c r="K151" s="61"/>
      <c r="L151" s="61"/>
      <c r="M151" s="10"/>
      <c r="N151" s="10"/>
      <c r="O151" s="61" t="s">
        <v>3798</v>
      </c>
      <c r="Q151" s="61"/>
      <c r="R151" s="6"/>
      <c r="S151" s="6"/>
      <c r="T151" s="6"/>
      <c r="U151" s="6"/>
      <c r="V151" s="6"/>
      <c r="W151" s="6"/>
      <c r="X151" s="6"/>
      <c r="Y151" s="6"/>
      <c r="Z151" s="6"/>
      <c r="AA151" s="6"/>
      <c r="AB151" s="6"/>
      <c r="AC151" s="6"/>
      <c r="AD151" s="6"/>
      <c r="AE151" s="6"/>
      <c r="AF151" s="6"/>
      <c r="AG151" s="6"/>
      <c r="AH151" s="6"/>
      <c r="AI151" s="6"/>
      <c r="AJ151" s="6"/>
      <c r="AK151" s="6"/>
      <c r="AL151" s="6"/>
      <c r="AM151" s="6"/>
    </row>
    <row r="152" ht="21" customHeight="1" spans="1:39">
      <c r="A152" s="6" t="s">
        <v>207</v>
      </c>
      <c r="B152" s="7">
        <v>46078</v>
      </c>
      <c r="C152" s="6" t="str">
        <f>YEAR(B152)&amp;"年"&amp;MONTH(B152)&amp;"月"</f>
        <v>2026年2月</v>
      </c>
      <c r="D152" s="6" t="s">
        <v>3923</v>
      </c>
      <c r="E152" s="40" t="s">
        <v>40</v>
      </c>
      <c r="F152" s="6" t="s">
        <v>11</v>
      </c>
      <c r="G152" s="95" t="s">
        <v>3768</v>
      </c>
      <c r="H152" s="104" t="s">
        <v>82</v>
      </c>
      <c r="I152" s="61"/>
      <c r="J152" s="61"/>
      <c r="K152" s="61"/>
      <c r="L152" s="61"/>
      <c r="M152" s="61" t="s">
        <v>2232</v>
      </c>
      <c r="N152" s="61" t="s">
        <v>2232</v>
      </c>
      <c r="O152" s="61" t="s">
        <v>3769</v>
      </c>
      <c r="Q152" s="61"/>
      <c r="R152" s="6"/>
      <c r="S152" s="6"/>
      <c r="T152" s="6"/>
      <c r="U152" s="6"/>
      <c r="V152" s="6"/>
      <c r="W152" s="6"/>
      <c r="X152" s="6"/>
      <c r="Y152" s="6"/>
      <c r="Z152" s="6"/>
      <c r="AA152" s="6"/>
      <c r="AB152" s="6"/>
      <c r="AC152" s="6"/>
      <c r="AD152" s="6"/>
      <c r="AE152" s="6"/>
      <c r="AF152" s="6"/>
      <c r="AG152" s="6"/>
      <c r="AH152" s="6"/>
      <c r="AI152" s="6"/>
      <c r="AJ152" s="6"/>
      <c r="AK152" s="6"/>
      <c r="AL152" s="6"/>
      <c r="AM152" s="6"/>
    </row>
    <row r="153" ht="21" customHeight="1" spans="1:39">
      <c r="A153" s="6" t="s">
        <v>142</v>
      </c>
      <c r="B153" s="7">
        <v>46079</v>
      </c>
      <c r="C153" s="6" t="str">
        <f>YEAR(B153)&amp;"年"&amp;MONTH(B153)&amp;"月"</f>
        <v>2026年2月</v>
      </c>
      <c r="D153" s="6" t="s">
        <v>3924</v>
      </c>
      <c r="E153" s="40" t="s">
        <v>40</v>
      </c>
      <c r="F153" s="6" t="s">
        <v>11</v>
      </c>
      <c r="G153" s="95" t="s">
        <v>3683</v>
      </c>
      <c r="H153" s="104" t="s">
        <v>82</v>
      </c>
      <c r="I153" s="61"/>
      <c r="J153" s="61"/>
      <c r="K153" s="61"/>
      <c r="L153" s="61"/>
      <c r="M153" s="61" t="s">
        <v>2232</v>
      </c>
      <c r="N153" s="61" t="s">
        <v>2232</v>
      </c>
      <c r="O153" s="61" t="s">
        <v>3925</v>
      </c>
      <c r="Q153" s="61"/>
      <c r="R153" s="6"/>
      <c r="S153" s="6"/>
      <c r="T153" s="6"/>
      <c r="U153" s="6"/>
      <c r="V153" s="6"/>
      <c r="W153" s="6"/>
      <c r="X153" s="6"/>
      <c r="Y153" s="6"/>
      <c r="Z153" s="6"/>
      <c r="AA153" s="6"/>
      <c r="AB153" s="6"/>
      <c r="AC153" s="6"/>
      <c r="AD153" s="6"/>
      <c r="AE153" s="6"/>
      <c r="AF153" s="6"/>
      <c r="AG153" s="6"/>
      <c r="AH153" s="6"/>
      <c r="AI153" s="6"/>
      <c r="AJ153" s="6"/>
      <c r="AK153" s="6"/>
      <c r="AL153" s="6"/>
      <c r="AM153" s="6"/>
    </row>
    <row r="154" ht="21" customHeight="1" spans="1:39">
      <c r="A154" s="10"/>
      <c r="C154" s="10"/>
      <c r="E154" s="10"/>
      <c r="F154" s="10"/>
      <c r="G154" s="95" t="s">
        <v>3768</v>
      </c>
      <c r="H154" s="10"/>
      <c r="I154" s="61"/>
      <c r="J154" s="61"/>
      <c r="K154" s="61"/>
      <c r="L154" s="61"/>
      <c r="M154" s="10"/>
      <c r="N154" s="10"/>
      <c r="O154" s="61" t="s">
        <v>3926</v>
      </c>
      <c r="Q154" s="61"/>
      <c r="R154" s="6"/>
      <c r="S154" s="6"/>
      <c r="T154" s="6"/>
      <c r="U154" s="6"/>
      <c r="V154" s="6"/>
      <c r="W154" s="6"/>
      <c r="X154" s="6"/>
      <c r="Y154" s="6"/>
      <c r="Z154" s="6"/>
      <c r="AA154" s="6"/>
      <c r="AB154" s="6"/>
      <c r="AC154" s="6"/>
      <c r="AD154" s="6"/>
      <c r="AE154" s="6"/>
      <c r="AF154" s="6"/>
      <c r="AG154" s="6"/>
      <c r="AH154" s="6"/>
      <c r="AI154" s="6"/>
      <c r="AJ154" s="6"/>
      <c r="AK154" s="6"/>
      <c r="AL154" s="6"/>
      <c r="AM154" s="6"/>
    </row>
    <row r="155" ht="37.5" customHeight="1" spans="1:39">
      <c r="A155" s="6" t="s">
        <v>207</v>
      </c>
      <c r="B155" s="7">
        <v>46079</v>
      </c>
      <c r="C155" s="6" t="str">
        <f>YEAR(B155)&amp;"年"&amp;MONTH(B155)&amp;"月"</f>
        <v>2026年2月</v>
      </c>
      <c r="D155" s="6" t="s">
        <v>3927</v>
      </c>
      <c r="E155" s="40" t="s">
        <v>40</v>
      </c>
      <c r="F155" s="6" t="s">
        <v>11</v>
      </c>
      <c r="G155" s="95" t="s">
        <v>3928</v>
      </c>
      <c r="H155" s="104" t="s">
        <v>82</v>
      </c>
      <c r="I155" s="61"/>
      <c r="J155" s="61"/>
      <c r="K155" s="76"/>
      <c r="L155" s="76"/>
      <c r="M155" s="76">
        <v>131515.26</v>
      </c>
      <c r="N155" s="61" t="s">
        <v>149</v>
      </c>
      <c r="O155" s="61" t="s">
        <v>3929</v>
      </c>
      <c r="Q155" s="61"/>
      <c r="R155" s="6"/>
      <c r="S155" s="6"/>
      <c r="T155" s="6"/>
      <c r="U155" s="6"/>
      <c r="V155" s="6"/>
      <c r="W155" s="6"/>
      <c r="X155" s="6"/>
      <c r="Y155" s="6"/>
      <c r="Z155" s="6"/>
      <c r="AA155" s="6"/>
      <c r="AB155" s="6"/>
      <c r="AC155" s="6"/>
      <c r="AD155" s="6"/>
      <c r="AE155" s="6"/>
      <c r="AF155" s="6"/>
      <c r="AG155" s="6"/>
      <c r="AH155" s="6"/>
      <c r="AI155" s="6"/>
      <c r="AJ155" s="6"/>
      <c r="AK155" s="6"/>
      <c r="AL155" s="6"/>
      <c r="AM155" s="6"/>
    </row>
    <row r="156" ht="37.5" customHeight="1" spans="1:39">
      <c r="A156" s="10"/>
      <c r="C156" s="10"/>
      <c r="E156" s="10"/>
      <c r="F156" s="10"/>
      <c r="G156" s="95" t="s">
        <v>3930</v>
      </c>
      <c r="H156" s="10"/>
      <c r="I156" s="61"/>
      <c r="J156" s="61"/>
      <c r="K156" s="76"/>
      <c r="L156" s="76"/>
      <c r="M156" s="10"/>
      <c r="N156" s="10"/>
      <c r="O156" s="61" t="s">
        <v>3931</v>
      </c>
      <c r="Q156" s="61"/>
      <c r="R156" s="6"/>
      <c r="S156" s="6"/>
      <c r="T156" s="6"/>
      <c r="U156" s="6"/>
      <c r="V156" s="6"/>
      <c r="W156" s="6"/>
      <c r="X156" s="6"/>
      <c r="Y156" s="6"/>
      <c r="Z156" s="6"/>
      <c r="AA156" s="6"/>
      <c r="AB156" s="6"/>
      <c r="AC156" s="6"/>
      <c r="AD156" s="6"/>
      <c r="AE156" s="6"/>
      <c r="AF156" s="6"/>
      <c r="AG156" s="6"/>
      <c r="AH156" s="6"/>
      <c r="AI156" s="6"/>
      <c r="AJ156" s="6"/>
      <c r="AK156" s="6"/>
      <c r="AL156" s="6"/>
      <c r="AM156" s="6"/>
    </row>
    <row r="157" ht="31.5" customHeight="1" spans="1:39">
      <c r="A157" s="6" t="s">
        <v>207</v>
      </c>
      <c r="B157" s="7">
        <v>46079</v>
      </c>
      <c r="C157" s="6" t="str">
        <f>YEAR(B157)&amp;"年"&amp;MONTH(B157)&amp;"月"</f>
        <v>2026年2月</v>
      </c>
      <c r="D157" s="6" t="s">
        <v>3932</v>
      </c>
      <c r="E157" s="40" t="s">
        <v>40</v>
      </c>
      <c r="F157" s="6" t="s">
        <v>11</v>
      </c>
      <c r="G157" s="95" t="s">
        <v>3928</v>
      </c>
      <c r="H157" s="104" t="s">
        <v>82</v>
      </c>
      <c r="I157" s="61"/>
      <c r="J157" s="61"/>
      <c r="K157" s="76"/>
      <c r="L157" s="76"/>
      <c r="M157" s="76">
        <v>131515.26</v>
      </c>
      <c r="N157" s="61" t="s">
        <v>149</v>
      </c>
      <c r="O157" s="61" t="s">
        <v>3929</v>
      </c>
      <c r="Q157" s="61"/>
      <c r="R157" s="6"/>
      <c r="S157" s="6"/>
      <c r="T157" s="6"/>
      <c r="U157" s="6"/>
      <c r="V157" s="6"/>
      <c r="W157" s="6"/>
      <c r="X157" s="6"/>
      <c r="Y157" s="6"/>
      <c r="Z157" s="6"/>
      <c r="AA157" s="6"/>
      <c r="AB157" s="6"/>
      <c r="AC157" s="6"/>
      <c r="AD157" s="6"/>
      <c r="AE157" s="6"/>
      <c r="AF157" s="6"/>
      <c r="AG157" s="6"/>
      <c r="AH157" s="6"/>
      <c r="AI157" s="6"/>
      <c r="AJ157" s="6"/>
      <c r="AK157" s="6"/>
      <c r="AL157" s="6"/>
      <c r="AM157" s="6"/>
    </row>
    <row r="158" ht="33.75" customHeight="1" spans="1:39">
      <c r="A158" s="10"/>
      <c r="C158" s="10"/>
      <c r="E158" s="10"/>
      <c r="F158" s="10"/>
      <c r="G158" s="95" t="s">
        <v>3930</v>
      </c>
      <c r="H158" s="10"/>
      <c r="I158" s="61"/>
      <c r="J158" s="61"/>
      <c r="K158" s="76"/>
      <c r="L158" s="76"/>
      <c r="M158" s="109"/>
      <c r="N158" s="10"/>
      <c r="O158" s="61" t="s">
        <v>3931</v>
      </c>
      <c r="Q158" s="61"/>
      <c r="R158" s="6"/>
      <c r="S158" s="6"/>
      <c r="T158" s="6"/>
      <c r="U158" s="6"/>
      <c r="V158" s="6"/>
      <c r="W158" s="6"/>
      <c r="X158" s="6"/>
      <c r="Y158" s="6"/>
      <c r="Z158" s="6"/>
      <c r="AA158" s="6"/>
      <c r="AB158" s="6"/>
      <c r="AC158" s="6"/>
      <c r="AD158" s="6"/>
      <c r="AE158" s="6"/>
      <c r="AF158" s="6"/>
      <c r="AG158" s="6"/>
      <c r="AH158" s="6"/>
      <c r="AI158" s="6"/>
      <c r="AJ158" s="6"/>
      <c r="AK158" s="6"/>
      <c r="AL158" s="6"/>
      <c r="AM158" s="6"/>
    </row>
    <row r="159" ht="28.5" customHeight="1" spans="1:39">
      <c r="A159" s="6" t="s">
        <v>142</v>
      </c>
      <c r="B159" s="7">
        <v>46080</v>
      </c>
      <c r="C159" s="6" t="str">
        <f>YEAR(B159)&amp;"年"&amp;MONTH(B159)&amp;"月"</f>
        <v>2026年2月</v>
      </c>
      <c r="D159" s="6" t="s">
        <v>3933</v>
      </c>
      <c r="E159" s="40" t="s">
        <v>3577</v>
      </c>
      <c r="F159" s="6" t="s">
        <v>11</v>
      </c>
      <c r="G159" s="95" t="s">
        <v>3934</v>
      </c>
      <c r="H159" s="104" t="s">
        <v>82</v>
      </c>
      <c r="I159" s="61"/>
      <c r="J159" s="61"/>
      <c r="K159" s="61"/>
      <c r="L159" s="61"/>
      <c r="M159" s="61" t="s">
        <v>2232</v>
      </c>
      <c r="N159" s="61" t="s">
        <v>2232</v>
      </c>
      <c r="O159" s="61"/>
      <c r="Q159" s="61"/>
      <c r="R159" s="6"/>
      <c r="S159" s="6"/>
      <c r="T159" s="6"/>
      <c r="U159" s="6"/>
      <c r="V159" s="6"/>
      <c r="W159" s="6"/>
      <c r="X159" s="6"/>
      <c r="Y159" s="6"/>
      <c r="Z159" s="6"/>
      <c r="AA159" s="6"/>
      <c r="AB159" s="6"/>
      <c r="AC159" s="6"/>
      <c r="AD159" s="6"/>
      <c r="AE159" s="6"/>
      <c r="AF159" s="6"/>
      <c r="AG159" s="6"/>
      <c r="AH159" s="6"/>
      <c r="AI159" s="6"/>
      <c r="AJ159" s="6"/>
      <c r="AK159" s="6"/>
      <c r="AL159" s="6"/>
      <c r="AM159" s="6"/>
    </row>
    <row r="160" ht="42" spans="1:39">
      <c r="A160" s="6" t="s">
        <v>142</v>
      </c>
      <c r="B160" s="7">
        <v>46085</v>
      </c>
      <c r="C160" s="6" t="str">
        <f>YEAR(B160)&amp;"年"&amp;MONTH(B160)&amp;"月"</f>
        <v>2026年3月</v>
      </c>
      <c r="D160" s="41" t="s">
        <v>3935</v>
      </c>
      <c r="E160" s="40" t="s">
        <v>40</v>
      </c>
      <c r="F160" s="6" t="s">
        <v>11</v>
      </c>
      <c r="G160" s="95" t="s">
        <v>3831</v>
      </c>
      <c r="H160" s="104" t="s">
        <v>82</v>
      </c>
      <c r="I160" s="61"/>
      <c r="J160" s="61"/>
      <c r="K160" s="61"/>
      <c r="L160" s="61"/>
      <c r="M160" s="61" t="s">
        <v>2232</v>
      </c>
      <c r="N160" s="61" t="s">
        <v>2232</v>
      </c>
      <c r="O160" s="61" t="s">
        <v>3936</v>
      </c>
      <c r="Q160" s="61"/>
      <c r="R160" s="6"/>
      <c r="S160" s="6"/>
      <c r="T160" s="6"/>
      <c r="U160" s="6"/>
      <c r="V160" s="6"/>
      <c r="W160" s="6"/>
      <c r="X160" s="6"/>
      <c r="Y160" s="6"/>
      <c r="Z160" s="6"/>
      <c r="AA160" s="6"/>
      <c r="AB160" s="6"/>
      <c r="AC160" s="6"/>
      <c r="AD160" s="6"/>
      <c r="AE160" s="6"/>
      <c r="AF160" s="6"/>
      <c r="AG160" s="6"/>
      <c r="AH160" s="6"/>
      <c r="AI160" s="6"/>
      <c r="AJ160" s="6"/>
      <c r="AK160" s="6"/>
      <c r="AL160" s="6"/>
      <c r="AM160" s="6"/>
    </row>
    <row r="161" ht="30" customHeight="1" spans="1:39">
      <c r="A161" s="6" t="s">
        <v>142</v>
      </c>
      <c r="B161" s="7">
        <v>46086</v>
      </c>
      <c r="C161" s="6" t="str">
        <f>YEAR(B161)&amp;"年"&amp;MONTH(B161)&amp;"月"</f>
        <v>2026年3月</v>
      </c>
      <c r="D161" s="6" t="s">
        <v>3937</v>
      </c>
      <c r="E161" s="40" t="s">
        <v>40</v>
      </c>
      <c r="F161" s="6" t="s">
        <v>11</v>
      </c>
      <c r="G161" s="95" t="s">
        <v>3938</v>
      </c>
      <c r="H161" s="104" t="s">
        <v>82</v>
      </c>
      <c r="I161" s="61"/>
      <c r="J161" s="61"/>
      <c r="K161" s="61"/>
      <c r="L161" s="61"/>
      <c r="M161" s="61">
        <v>285000</v>
      </c>
      <c r="N161" s="61" t="s">
        <v>149</v>
      </c>
      <c r="O161" s="61" t="s">
        <v>3939</v>
      </c>
      <c r="Q161" s="61"/>
      <c r="R161" s="6"/>
      <c r="S161" s="6"/>
      <c r="T161" s="6"/>
      <c r="U161" s="6"/>
      <c r="V161" s="6"/>
      <c r="W161" s="6"/>
      <c r="X161" s="6"/>
      <c r="Y161" s="6"/>
      <c r="Z161" s="6"/>
      <c r="AA161" s="6"/>
      <c r="AB161" s="6"/>
      <c r="AC161" s="6"/>
      <c r="AD161" s="6"/>
      <c r="AE161" s="6"/>
      <c r="AF161" s="6"/>
      <c r="AG161" s="6"/>
      <c r="AH161" s="6"/>
      <c r="AI161" s="6"/>
      <c r="AJ161" s="6"/>
      <c r="AK161" s="6"/>
      <c r="AL161" s="6"/>
      <c r="AM161" s="6"/>
    </row>
    <row r="162" ht="30" customHeight="1" spans="1:39">
      <c r="A162" s="10"/>
      <c r="C162" s="10"/>
      <c r="E162" s="10"/>
      <c r="F162" s="10"/>
      <c r="G162" s="95" t="s">
        <v>3938</v>
      </c>
      <c r="H162" s="10"/>
      <c r="I162" s="61"/>
      <c r="J162" s="61"/>
      <c r="K162" s="61"/>
      <c r="L162" s="61"/>
      <c r="M162" s="10"/>
      <c r="N162" s="10"/>
      <c r="O162" s="61" t="s">
        <v>3940</v>
      </c>
      <c r="Q162" s="61"/>
      <c r="R162" s="6"/>
      <c r="S162" s="6"/>
      <c r="T162" s="6"/>
      <c r="U162" s="6"/>
      <c r="V162" s="6"/>
      <c r="W162" s="6"/>
      <c r="X162" s="6"/>
      <c r="Y162" s="6"/>
      <c r="Z162" s="6"/>
      <c r="AA162" s="6"/>
      <c r="AB162" s="6"/>
      <c r="AC162" s="6"/>
      <c r="AD162" s="6"/>
      <c r="AE162" s="6"/>
      <c r="AF162" s="6"/>
      <c r="AG162" s="6"/>
      <c r="AH162" s="6"/>
      <c r="AI162" s="6"/>
      <c r="AJ162" s="6"/>
      <c r="AK162" s="6"/>
      <c r="AL162" s="6"/>
      <c r="AM162" s="6"/>
    </row>
    <row r="163" ht="30" customHeight="1" spans="1:39">
      <c r="A163" s="10"/>
      <c r="C163" s="10"/>
      <c r="E163" s="10"/>
      <c r="F163" s="10"/>
      <c r="G163" s="95" t="s">
        <v>3941</v>
      </c>
      <c r="H163" s="10"/>
      <c r="I163" s="61"/>
      <c r="J163" s="61"/>
      <c r="K163" s="61"/>
      <c r="L163" s="61"/>
      <c r="M163" s="10"/>
      <c r="N163" s="10"/>
      <c r="O163" s="61" t="s">
        <v>3942</v>
      </c>
      <c r="Q163" s="61"/>
      <c r="R163" s="6"/>
      <c r="S163" s="6"/>
      <c r="T163" s="6"/>
      <c r="U163" s="6"/>
      <c r="V163" s="6"/>
      <c r="W163" s="6"/>
      <c r="X163" s="6"/>
      <c r="Y163" s="6"/>
      <c r="Z163" s="6"/>
      <c r="AA163" s="6"/>
      <c r="AB163" s="6"/>
      <c r="AC163" s="6"/>
      <c r="AD163" s="6"/>
      <c r="AE163" s="6"/>
      <c r="AF163" s="6"/>
      <c r="AG163" s="6"/>
      <c r="AH163" s="6"/>
      <c r="AI163" s="6"/>
      <c r="AJ163" s="6"/>
      <c r="AK163" s="6"/>
      <c r="AL163" s="6"/>
      <c r="AM163" s="6"/>
    </row>
    <row r="164" ht="30" customHeight="1" spans="1:39">
      <c r="A164" s="10"/>
      <c r="C164" s="10"/>
      <c r="E164" s="10"/>
      <c r="F164" s="10"/>
      <c r="G164" s="95" t="s">
        <v>3943</v>
      </c>
      <c r="H164" s="10"/>
      <c r="I164" s="61"/>
      <c r="J164" s="61"/>
      <c r="K164" s="61"/>
      <c r="L164" s="61"/>
      <c r="M164" s="10"/>
      <c r="N164" s="10"/>
      <c r="O164" s="61" t="s">
        <v>3944</v>
      </c>
      <c r="Q164" s="61"/>
      <c r="R164" s="6"/>
      <c r="S164" s="6"/>
      <c r="T164" s="6"/>
      <c r="U164" s="6"/>
      <c r="V164" s="6"/>
      <c r="W164" s="6"/>
      <c r="X164" s="6"/>
      <c r="Y164" s="6"/>
      <c r="Z164" s="6"/>
      <c r="AA164" s="6"/>
      <c r="AB164" s="6"/>
      <c r="AC164" s="6"/>
      <c r="AD164" s="6"/>
      <c r="AE164" s="6"/>
      <c r="AF164" s="6"/>
      <c r="AG164" s="6"/>
      <c r="AH164" s="6"/>
      <c r="AI164" s="6"/>
      <c r="AJ164" s="6"/>
      <c r="AK164" s="6"/>
      <c r="AL164" s="6"/>
      <c r="AM164" s="6"/>
    </row>
    <row r="165" ht="28" spans="1:39">
      <c r="A165" s="10"/>
      <c r="C165" s="10"/>
      <c r="E165" s="10"/>
      <c r="F165" s="10"/>
      <c r="G165" s="95" t="s">
        <v>3945</v>
      </c>
      <c r="H165" s="10"/>
      <c r="I165" s="61"/>
      <c r="J165" s="61"/>
      <c r="K165" s="61"/>
      <c r="L165" s="61"/>
      <c r="M165" s="10"/>
      <c r="N165" s="10"/>
      <c r="O165" s="61" t="s">
        <v>3946</v>
      </c>
      <c r="Q165" s="61"/>
      <c r="R165" s="6"/>
      <c r="S165" s="6"/>
      <c r="T165" s="6"/>
      <c r="U165" s="6"/>
      <c r="V165" s="6"/>
      <c r="W165" s="6"/>
      <c r="X165" s="6"/>
      <c r="Y165" s="6"/>
      <c r="Z165" s="6"/>
      <c r="AA165" s="6"/>
      <c r="AB165" s="6"/>
      <c r="AC165" s="6"/>
      <c r="AD165" s="6"/>
      <c r="AE165" s="6"/>
      <c r="AF165" s="6"/>
      <c r="AG165" s="6"/>
      <c r="AH165" s="6"/>
      <c r="AI165" s="6"/>
      <c r="AJ165" s="6"/>
      <c r="AK165" s="6"/>
      <c r="AL165" s="6"/>
      <c r="AM165" s="6"/>
    </row>
    <row r="166" ht="34.5" customHeight="1" spans="1:39">
      <c r="A166" s="6" t="s">
        <v>142</v>
      </c>
      <c r="B166" s="7">
        <v>46087</v>
      </c>
      <c r="C166" s="6" t="str">
        <f t="shared" ref="C166:C176" si="8">YEAR(B166)&amp;"年"&amp;MONTH(B166)&amp;"月"</f>
        <v>2026年3月</v>
      </c>
      <c r="D166" s="6" t="s">
        <v>3947</v>
      </c>
      <c r="E166" s="40" t="s">
        <v>40</v>
      </c>
      <c r="F166" s="6" t="s">
        <v>10</v>
      </c>
      <c r="G166" s="95" t="s">
        <v>3891</v>
      </c>
      <c r="H166" s="104" t="s">
        <v>82</v>
      </c>
      <c r="I166" s="61"/>
      <c r="J166" s="61"/>
      <c r="K166" s="86"/>
      <c r="L166" s="86"/>
      <c r="M166" s="86">
        <v>49970</v>
      </c>
      <c r="N166" s="61" t="s">
        <v>149</v>
      </c>
      <c r="O166" s="61" t="s">
        <v>3893</v>
      </c>
      <c r="Q166" s="61"/>
      <c r="R166" s="6" t="s">
        <v>3894</v>
      </c>
      <c r="S166" s="6"/>
      <c r="T166" s="6"/>
      <c r="U166" s="6"/>
      <c r="V166" s="6"/>
      <c r="W166" s="6"/>
      <c r="X166" s="6"/>
      <c r="Y166" s="6"/>
      <c r="Z166" s="6"/>
      <c r="AA166" s="6"/>
      <c r="AB166" s="6"/>
      <c r="AC166" s="6"/>
      <c r="AD166" s="6"/>
      <c r="AE166" s="6"/>
      <c r="AF166" s="6"/>
      <c r="AG166" s="6"/>
      <c r="AH166" s="6"/>
      <c r="AI166" s="6"/>
      <c r="AJ166" s="6"/>
      <c r="AK166" s="6"/>
      <c r="AL166" s="6"/>
      <c r="AM166" s="6"/>
    </row>
    <row r="167" ht="33" customHeight="1" spans="1:39">
      <c r="A167" s="6" t="s">
        <v>142</v>
      </c>
      <c r="B167" s="7">
        <v>46091</v>
      </c>
      <c r="C167" s="6" t="str">
        <f t="shared" si="8"/>
        <v>2026年3月</v>
      </c>
      <c r="D167" s="6" t="s">
        <v>3948</v>
      </c>
      <c r="E167" s="40" t="s">
        <v>40</v>
      </c>
      <c r="F167" s="6" t="s">
        <v>10</v>
      </c>
      <c r="G167" s="95" t="s">
        <v>3949</v>
      </c>
      <c r="H167" s="104" t="s">
        <v>82</v>
      </c>
      <c r="I167" s="61"/>
      <c r="J167" s="61"/>
      <c r="K167" s="76"/>
      <c r="L167" s="76"/>
      <c r="M167" s="76">
        <v>2721.08</v>
      </c>
      <c r="N167" s="61" t="s">
        <v>149</v>
      </c>
      <c r="O167" s="61"/>
      <c r="Q167" s="61"/>
      <c r="R167" s="6"/>
      <c r="S167" s="6"/>
      <c r="T167" s="6"/>
      <c r="U167" s="6"/>
      <c r="V167" s="6"/>
      <c r="W167" s="6"/>
      <c r="X167" s="6"/>
      <c r="Y167" s="6"/>
      <c r="Z167" s="6"/>
      <c r="AA167" s="6"/>
      <c r="AB167" s="6"/>
      <c r="AC167" s="6"/>
      <c r="AD167" s="6"/>
      <c r="AE167" s="6"/>
      <c r="AF167" s="6"/>
      <c r="AG167" s="6"/>
      <c r="AH167" s="6"/>
      <c r="AI167" s="6"/>
      <c r="AJ167" s="6"/>
      <c r="AK167" s="6"/>
      <c r="AL167" s="6"/>
      <c r="AM167" s="6"/>
    </row>
    <row r="168" ht="28" spans="1:39">
      <c r="A168" s="6" t="s">
        <v>142</v>
      </c>
      <c r="B168" s="7">
        <v>46093</v>
      </c>
      <c r="C168" s="6" t="str">
        <f t="shared" si="8"/>
        <v>2026年3月</v>
      </c>
      <c r="D168" s="6" t="s">
        <v>3950</v>
      </c>
      <c r="E168" s="40" t="s">
        <v>42</v>
      </c>
      <c r="F168" s="6" t="s">
        <v>10</v>
      </c>
      <c r="G168" s="95" t="s">
        <v>3951</v>
      </c>
      <c r="H168" s="104" t="s">
        <v>82</v>
      </c>
      <c r="I168" s="61" t="s">
        <v>3687</v>
      </c>
      <c r="J168" s="61"/>
      <c r="K168" s="61"/>
      <c r="L168" s="61"/>
      <c r="M168" s="61" t="s">
        <v>2232</v>
      </c>
      <c r="N168" s="61" t="s">
        <v>2232</v>
      </c>
      <c r="O168" s="68" t="s">
        <v>3952</v>
      </c>
      <c r="Q168" s="61"/>
      <c r="R168" s="6" t="s">
        <v>3953</v>
      </c>
      <c r="S168" s="6"/>
      <c r="T168" s="6"/>
      <c r="U168" s="6"/>
      <c r="V168" s="6"/>
      <c r="W168" s="6"/>
      <c r="X168" s="6"/>
      <c r="Y168" s="6"/>
      <c r="Z168" s="6"/>
      <c r="AA168" s="6"/>
      <c r="AB168" s="6"/>
      <c r="AC168" s="6"/>
      <c r="AD168" s="6"/>
      <c r="AE168" s="6"/>
      <c r="AF168" s="6"/>
      <c r="AG168" s="6"/>
      <c r="AH168" s="6"/>
      <c r="AI168" s="6"/>
      <c r="AJ168" s="6"/>
      <c r="AK168" s="6"/>
      <c r="AL168" s="6"/>
      <c r="AM168" s="6"/>
    </row>
    <row r="169" ht="33.75" customHeight="1" spans="1:39">
      <c r="A169" s="6" t="s">
        <v>78</v>
      </c>
      <c r="B169" s="7">
        <v>46093</v>
      </c>
      <c r="C169" s="6" t="str">
        <f t="shared" si="8"/>
        <v>2026年3月</v>
      </c>
      <c r="D169" s="6" t="s">
        <v>3954</v>
      </c>
      <c r="E169" s="40" t="s">
        <v>42</v>
      </c>
      <c r="F169" s="6" t="s">
        <v>10</v>
      </c>
      <c r="G169" s="95" t="s">
        <v>3955</v>
      </c>
      <c r="H169" s="104" t="s">
        <v>82</v>
      </c>
      <c r="I169" s="61" t="s">
        <v>3687</v>
      </c>
      <c r="J169" s="61"/>
      <c r="K169" s="61"/>
      <c r="L169" s="61"/>
      <c r="M169" s="61" t="s">
        <v>2232</v>
      </c>
      <c r="N169" s="61" t="s">
        <v>2232</v>
      </c>
      <c r="O169" s="68" t="s">
        <v>3956</v>
      </c>
      <c r="P169" s="61" t="s">
        <v>3544</v>
      </c>
      <c r="Q169" s="61" t="s">
        <v>85</v>
      </c>
      <c r="R169" s="6" t="s">
        <v>3957</v>
      </c>
      <c r="S169" s="6"/>
      <c r="T169" s="6"/>
      <c r="U169" s="6"/>
      <c r="V169" s="6"/>
      <c r="W169" s="6"/>
      <c r="X169" s="6"/>
      <c r="Y169" s="6"/>
      <c r="Z169" s="6"/>
      <c r="AA169" s="6"/>
      <c r="AB169" s="6"/>
      <c r="AC169" s="6"/>
      <c r="AD169" s="6"/>
      <c r="AE169" s="6"/>
      <c r="AF169" s="6"/>
      <c r="AG169" s="6"/>
      <c r="AH169" s="6"/>
      <c r="AI169" s="6"/>
      <c r="AJ169" s="6"/>
      <c r="AK169" s="6"/>
      <c r="AL169" s="6"/>
      <c r="AM169" s="6"/>
    </row>
    <row r="170" ht="28" spans="1:39">
      <c r="A170" s="6" t="s">
        <v>207</v>
      </c>
      <c r="B170" s="7">
        <v>46094</v>
      </c>
      <c r="C170" s="6" t="str">
        <f t="shared" si="8"/>
        <v>2026年3月</v>
      </c>
      <c r="D170" s="6" t="s">
        <v>3958</v>
      </c>
      <c r="E170" s="40" t="s">
        <v>3577</v>
      </c>
      <c r="F170" s="6" t="s">
        <v>11</v>
      </c>
      <c r="G170" s="95" t="s">
        <v>3959</v>
      </c>
      <c r="H170" s="104" t="s">
        <v>82</v>
      </c>
      <c r="I170" s="61"/>
      <c r="J170" s="61"/>
      <c r="K170" s="61"/>
      <c r="L170" s="61"/>
      <c r="M170" s="61" t="s">
        <v>2232</v>
      </c>
      <c r="N170" s="61" t="s">
        <v>2232</v>
      </c>
      <c r="O170" s="95" t="s">
        <v>3960</v>
      </c>
      <c r="Q170" s="61"/>
      <c r="R170" s="6"/>
      <c r="S170" s="6"/>
      <c r="T170" s="6"/>
      <c r="U170" s="6"/>
      <c r="V170" s="6"/>
      <c r="W170" s="6"/>
      <c r="X170" s="6"/>
      <c r="Y170" s="6"/>
      <c r="Z170" s="6"/>
      <c r="AA170" s="6"/>
      <c r="AB170" s="6"/>
      <c r="AC170" s="6"/>
      <c r="AD170" s="6"/>
      <c r="AE170" s="6"/>
      <c r="AF170" s="6"/>
      <c r="AG170" s="6"/>
      <c r="AH170" s="6"/>
      <c r="AI170" s="6"/>
      <c r="AJ170" s="6"/>
      <c r="AK170" s="6"/>
      <c r="AL170" s="6"/>
      <c r="AM170" s="6"/>
    </row>
    <row r="171" ht="26.25" customHeight="1" spans="1:39">
      <c r="A171" s="6" t="s">
        <v>142</v>
      </c>
      <c r="B171" s="7">
        <v>46098</v>
      </c>
      <c r="C171" s="6" t="str">
        <f t="shared" si="8"/>
        <v>2026年3月</v>
      </c>
      <c r="D171" s="6" t="s">
        <v>3961</v>
      </c>
      <c r="E171" s="40" t="s">
        <v>40</v>
      </c>
      <c r="F171" s="6" t="s">
        <v>10</v>
      </c>
      <c r="G171" s="95" t="s">
        <v>3891</v>
      </c>
      <c r="H171" s="104" t="s">
        <v>82</v>
      </c>
      <c r="I171" s="61"/>
      <c r="J171" s="61"/>
      <c r="K171" s="61"/>
      <c r="L171" s="61"/>
      <c r="M171" s="61">
        <v>2000</v>
      </c>
      <c r="N171" s="61" t="s">
        <v>149</v>
      </c>
      <c r="O171" s="61" t="s">
        <v>3962</v>
      </c>
      <c r="Q171" s="61"/>
      <c r="R171" s="6"/>
      <c r="S171" s="6"/>
      <c r="T171" s="6"/>
      <c r="U171" s="6"/>
      <c r="V171" s="6"/>
      <c r="W171" s="6"/>
      <c r="X171" s="6"/>
      <c r="Y171" s="6"/>
      <c r="Z171" s="6"/>
      <c r="AA171" s="6"/>
      <c r="AB171" s="6"/>
      <c r="AC171" s="6"/>
      <c r="AD171" s="6"/>
      <c r="AE171" s="6"/>
      <c r="AF171" s="6"/>
      <c r="AG171" s="6"/>
      <c r="AH171" s="6"/>
      <c r="AI171" s="6"/>
      <c r="AJ171" s="6"/>
      <c r="AK171" s="6"/>
      <c r="AL171" s="6"/>
      <c r="AM171" s="6"/>
    </row>
    <row r="172" ht="21" customHeight="1" spans="1:39">
      <c r="A172" s="6" t="s">
        <v>142</v>
      </c>
      <c r="B172" s="7">
        <v>46101</v>
      </c>
      <c r="C172" s="6" t="str">
        <f t="shared" si="8"/>
        <v>2026年3月</v>
      </c>
      <c r="D172" s="6" t="s">
        <v>3963</v>
      </c>
      <c r="E172" s="40" t="s">
        <v>40</v>
      </c>
      <c r="F172" s="6" t="s">
        <v>11</v>
      </c>
      <c r="G172" s="95" t="s">
        <v>3964</v>
      </c>
      <c r="H172" s="104" t="s">
        <v>82</v>
      </c>
      <c r="I172" s="61"/>
      <c r="J172" s="61"/>
      <c r="K172" s="86"/>
      <c r="L172" s="86"/>
      <c r="M172" s="86">
        <v>2205101</v>
      </c>
      <c r="N172" s="61" t="s">
        <v>149</v>
      </c>
      <c r="O172" s="61"/>
      <c r="Q172" s="61"/>
      <c r="R172" s="6"/>
      <c r="S172" s="6"/>
      <c r="T172" s="6"/>
      <c r="U172" s="6"/>
      <c r="V172" s="6"/>
      <c r="W172" s="6"/>
      <c r="X172" s="6"/>
      <c r="Y172" s="6"/>
      <c r="Z172" s="6"/>
      <c r="AA172" s="6"/>
      <c r="AB172" s="6"/>
      <c r="AC172" s="6"/>
      <c r="AD172" s="6"/>
      <c r="AE172" s="6"/>
      <c r="AF172" s="6"/>
      <c r="AG172" s="6"/>
      <c r="AH172" s="6"/>
      <c r="AI172" s="6"/>
      <c r="AJ172" s="6"/>
      <c r="AK172" s="6"/>
      <c r="AL172" s="6"/>
      <c r="AM172" s="6"/>
    </row>
    <row r="173" ht="70" spans="1:39">
      <c r="A173" s="6" t="s">
        <v>872</v>
      </c>
      <c r="B173" s="7">
        <v>46104</v>
      </c>
      <c r="C173" s="6" t="str">
        <f t="shared" si="8"/>
        <v>2026年3月</v>
      </c>
      <c r="D173" s="41" t="s">
        <v>3965</v>
      </c>
      <c r="E173" s="40" t="s">
        <v>40</v>
      </c>
      <c r="F173" s="6" t="s">
        <v>11</v>
      </c>
      <c r="G173" s="95" t="s">
        <v>3768</v>
      </c>
      <c r="H173" s="104" t="s">
        <v>82</v>
      </c>
      <c r="I173" s="61" t="s">
        <v>3966</v>
      </c>
      <c r="J173" s="61"/>
      <c r="K173" s="61"/>
      <c r="L173" s="61"/>
      <c r="M173" s="61" t="s">
        <v>2232</v>
      </c>
      <c r="N173" s="61" t="s">
        <v>2232</v>
      </c>
      <c r="O173" s="61" t="s">
        <v>3769</v>
      </c>
      <c r="Q173" s="61"/>
      <c r="R173" s="6"/>
      <c r="S173" s="6"/>
      <c r="T173" s="6"/>
      <c r="U173" s="6"/>
      <c r="V173" s="87">
        <v>46113</v>
      </c>
      <c r="W173" s="87">
        <v>46115</v>
      </c>
      <c r="X173" s="6"/>
      <c r="Y173" s="6"/>
      <c r="Z173" s="6"/>
      <c r="AA173" s="6"/>
      <c r="AB173" s="6"/>
      <c r="AC173" s="6"/>
      <c r="AD173" s="6"/>
      <c r="AE173" s="6"/>
      <c r="AF173" s="6"/>
      <c r="AG173" s="6"/>
      <c r="AH173" s="6"/>
      <c r="AI173" s="6"/>
      <c r="AJ173" s="6"/>
      <c r="AK173" s="6"/>
      <c r="AL173" s="6"/>
      <c r="AM173" s="6"/>
    </row>
    <row r="174" ht="56" spans="1:39">
      <c r="A174" s="6" t="s">
        <v>872</v>
      </c>
      <c r="B174" s="7">
        <v>46104</v>
      </c>
      <c r="C174" s="6" t="str">
        <f t="shared" si="8"/>
        <v>2026年3月</v>
      </c>
      <c r="D174" s="41" t="s">
        <v>3967</v>
      </c>
      <c r="E174" s="40" t="s">
        <v>40</v>
      </c>
      <c r="F174" s="6" t="s">
        <v>11</v>
      </c>
      <c r="G174" s="95" t="s">
        <v>3801</v>
      </c>
      <c r="H174" s="104" t="s">
        <v>82</v>
      </c>
      <c r="I174" s="61" t="s">
        <v>3966</v>
      </c>
      <c r="J174" s="61"/>
      <c r="K174" s="61"/>
      <c r="L174" s="61"/>
      <c r="M174" s="61" t="s">
        <v>2232</v>
      </c>
      <c r="N174" s="61" t="s">
        <v>2232</v>
      </c>
      <c r="O174" s="95" t="s">
        <v>3968</v>
      </c>
      <c r="Q174" s="61"/>
      <c r="R174" s="6"/>
      <c r="S174" s="6"/>
      <c r="T174" s="6"/>
      <c r="U174" s="6"/>
      <c r="V174" s="6"/>
      <c r="W174" s="6"/>
      <c r="X174" s="6"/>
      <c r="Y174" s="6"/>
      <c r="Z174" s="6"/>
      <c r="AA174" s="6"/>
      <c r="AB174" s="6"/>
      <c r="AC174" s="6"/>
      <c r="AD174" s="6"/>
      <c r="AE174" s="6"/>
      <c r="AF174" s="6"/>
      <c r="AG174" s="6"/>
      <c r="AH174" s="6"/>
      <c r="AI174" s="6"/>
      <c r="AJ174" s="6"/>
      <c r="AK174" s="6"/>
      <c r="AL174" s="6"/>
      <c r="AM174" s="6"/>
    </row>
    <row r="175" ht="28" spans="1:39">
      <c r="A175" s="6" t="s">
        <v>142</v>
      </c>
      <c r="B175" s="7">
        <v>46105</v>
      </c>
      <c r="C175" s="6" t="str">
        <f t="shared" si="8"/>
        <v>2026年3月</v>
      </c>
      <c r="D175" s="6" t="s">
        <v>3969</v>
      </c>
      <c r="E175" s="40" t="s">
        <v>42</v>
      </c>
      <c r="F175" s="6" t="s">
        <v>10</v>
      </c>
      <c r="G175" s="95" t="s">
        <v>3867</v>
      </c>
      <c r="H175" s="104" t="s">
        <v>82</v>
      </c>
      <c r="I175" s="61" t="s">
        <v>3970</v>
      </c>
      <c r="J175" s="61"/>
      <c r="K175" s="61"/>
      <c r="L175" s="61"/>
      <c r="M175" s="61" t="s">
        <v>3971</v>
      </c>
      <c r="N175" s="61" t="s">
        <v>2232</v>
      </c>
      <c r="O175" s="68" t="s">
        <v>3972</v>
      </c>
      <c r="Q175" s="61"/>
      <c r="R175" s="6" t="s">
        <v>3957</v>
      </c>
      <c r="S175" s="6"/>
      <c r="T175" s="6"/>
      <c r="U175" s="6"/>
      <c r="V175" s="6"/>
      <c r="W175" s="6"/>
      <c r="X175" s="6"/>
      <c r="Y175" s="6"/>
      <c r="Z175" s="6"/>
      <c r="AA175" s="6"/>
      <c r="AB175" s="6"/>
      <c r="AC175" s="6"/>
      <c r="AD175" s="6"/>
      <c r="AE175" s="6"/>
      <c r="AF175" s="6"/>
      <c r="AG175" s="6"/>
      <c r="AH175" s="6"/>
      <c r="AI175" s="6"/>
      <c r="AJ175" s="6"/>
      <c r="AK175" s="6"/>
      <c r="AL175" s="6"/>
      <c r="AM175" s="6"/>
    </row>
    <row r="176" ht="30" customHeight="1" spans="1:39">
      <c r="A176" s="6" t="s">
        <v>872</v>
      </c>
      <c r="B176" s="7">
        <v>46104</v>
      </c>
      <c r="C176" s="6" t="str">
        <f t="shared" si="8"/>
        <v>2026年3月</v>
      </c>
      <c r="D176" s="6" t="s">
        <v>3973</v>
      </c>
      <c r="E176" s="40" t="s">
        <v>40</v>
      </c>
      <c r="F176" s="6" t="s">
        <v>11</v>
      </c>
      <c r="G176" s="95" t="s">
        <v>3742</v>
      </c>
      <c r="H176" s="104" t="s">
        <v>82</v>
      </c>
      <c r="I176" s="61" t="s">
        <v>3966</v>
      </c>
      <c r="J176" s="61"/>
      <c r="K176" s="86"/>
      <c r="L176" s="86"/>
      <c r="M176" s="86">
        <v>75620</v>
      </c>
      <c r="N176" s="61" t="s">
        <v>149</v>
      </c>
      <c r="O176" s="61" t="s">
        <v>3743</v>
      </c>
      <c r="Q176" s="61"/>
      <c r="R176" s="6"/>
      <c r="S176" s="6"/>
      <c r="T176" s="6"/>
      <c r="U176" s="6"/>
      <c r="V176" s="6"/>
      <c r="W176" s="6"/>
      <c r="X176" s="6"/>
      <c r="Y176" s="6"/>
      <c r="Z176" s="6"/>
      <c r="AA176" s="6"/>
      <c r="AB176" s="6"/>
      <c r="AC176" s="6"/>
      <c r="AD176" s="6"/>
      <c r="AE176" s="6"/>
      <c r="AF176" s="6"/>
      <c r="AG176" s="6"/>
      <c r="AH176" s="6"/>
      <c r="AI176" s="6"/>
      <c r="AJ176" s="6"/>
      <c r="AK176" s="6"/>
      <c r="AL176" s="6"/>
      <c r="AM176" s="6"/>
    </row>
    <row r="177" ht="30" customHeight="1" spans="1:39">
      <c r="A177" s="10"/>
      <c r="C177" s="10"/>
      <c r="E177" s="10"/>
      <c r="F177" s="10"/>
      <c r="G177" s="95" t="s">
        <v>3938</v>
      </c>
      <c r="H177" s="10"/>
      <c r="I177" s="10"/>
      <c r="J177" s="61"/>
      <c r="K177" s="61"/>
      <c r="L177" s="61"/>
      <c r="M177" s="61">
        <v>13490</v>
      </c>
      <c r="N177" s="61" t="s">
        <v>149</v>
      </c>
      <c r="O177" s="61" t="s">
        <v>3974</v>
      </c>
      <c r="Q177" s="61"/>
      <c r="R177" s="6"/>
      <c r="S177" s="6"/>
      <c r="T177" s="6"/>
      <c r="U177" s="6"/>
      <c r="V177" s="6"/>
      <c r="W177" s="6"/>
      <c r="X177" s="6"/>
      <c r="Y177" s="6"/>
      <c r="Z177" s="6"/>
      <c r="AA177" s="6"/>
      <c r="AB177" s="6"/>
      <c r="AC177" s="6"/>
      <c r="AD177" s="6"/>
      <c r="AE177" s="6"/>
      <c r="AF177" s="6"/>
      <c r="AG177" s="6"/>
      <c r="AH177" s="6"/>
      <c r="AI177" s="6"/>
      <c r="AJ177" s="6"/>
      <c r="AK177" s="6"/>
      <c r="AL177" s="6"/>
      <c r="AM177" s="6"/>
    </row>
    <row r="178" ht="28" spans="1:39">
      <c r="A178" s="6" t="s">
        <v>142</v>
      </c>
      <c r="B178" s="7">
        <v>46106</v>
      </c>
      <c r="C178" s="6" t="str">
        <f t="shared" ref="C178:C200" si="9">YEAR(B178)&amp;"年"&amp;MONTH(B178)&amp;"月"</f>
        <v>2026年3月</v>
      </c>
      <c r="D178" s="6" t="s">
        <v>3975</v>
      </c>
      <c r="E178" s="40" t="s">
        <v>40</v>
      </c>
      <c r="F178" s="6" t="s">
        <v>11</v>
      </c>
      <c r="G178" s="95" t="s">
        <v>3881</v>
      </c>
      <c r="H178" s="104" t="s">
        <v>82</v>
      </c>
      <c r="I178" s="61"/>
      <c r="J178" s="61"/>
      <c r="K178" s="61"/>
      <c r="L178" s="61"/>
      <c r="M178" s="61" t="s">
        <v>3971</v>
      </c>
      <c r="N178" s="61" t="s">
        <v>2232</v>
      </c>
      <c r="O178" s="61" t="s">
        <v>3882</v>
      </c>
      <c r="Q178" s="61"/>
      <c r="R178" s="6"/>
      <c r="S178" s="6"/>
      <c r="T178" s="6"/>
      <c r="U178" s="6"/>
      <c r="V178" s="6"/>
      <c r="W178" s="6"/>
      <c r="X178" s="6"/>
      <c r="Y178" s="6"/>
      <c r="Z178" s="6"/>
      <c r="AA178" s="6"/>
      <c r="AB178" s="6"/>
      <c r="AC178" s="6"/>
      <c r="AD178" s="6"/>
      <c r="AE178" s="6"/>
      <c r="AF178" s="6"/>
      <c r="AG178" s="6"/>
      <c r="AH178" s="6"/>
      <c r="AI178" s="6"/>
      <c r="AJ178" s="6"/>
      <c r="AK178" s="6"/>
      <c r="AL178" s="6"/>
      <c r="AM178" s="6"/>
    </row>
    <row r="179" ht="28" spans="1:39">
      <c r="A179" s="6" t="s">
        <v>872</v>
      </c>
      <c r="B179" s="7">
        <v>46107</v>
      </c>
      <c r="C179" s="6" t="str">
        <f t="shared" si="9"/>
        <v>2026年3月</v>
      </c>
      <c r="D179" s="41" t="s">
        <v>3976</v>
      </c>
      <c r="E179" s="40" t="s">
        <v>42</v>
      </c>
      <c r="F179" s="6" t="s">
        <v>10</v>
      </c>
      <c r="G179" s="95" t="s">
        <v>3977</v>
      </c>
      <c r="H179" s="104" t="s">
        <v>82</v>
      </c>
      <c r="I179" s="61" t="s">
        <v>3978</v>
      </c>
      <c r="J179" s="61"/>
      <c r="K179" s="86"/>
      <c r="L179" s="86"/>
      <c r="M179" s="86">
        <v>9999000</v>
      </c>
      <c r="N179" s="61" t="s">
        <v>1172</v>
      </c>
      <c r="O179" s="68" t="s">
        <v>3979</v>
      </c>
      <c r="Q179" s="61"/>
      <c r="R179" s="6"/>
      <c r="S179" s="6" t="s">
        <v>3505</v>
      </c>
      <c r="T179" s="6" t="s">
        <v>3506</v>
      </c>
      <c r="U179" s="6"/>
      <c r="V179" s="6"/>
      <c r="W179" s="6"/>
      <c r="X179" s="6"/>
      <c r="Y179" s="6"/>
      <c r="Z179" s="6"/>
      <c r="AA179" s="6"/>
      <c r="AB179" s="6"/>
      <c r="AC179" s="6"/>
      <c r="AD179" s="6"/>
      <c r="AE179" s="6"/>
      <c r="AF179" s="6"/>
      <c r="AG179" s="6"/>
      <c r="AH179" s="6"/>
      <c r="AI179" s="6"/>
      <c r="AJ179" s="6"/>
      <c r="AK179" s="6"/>
      <c r="AL179" s="6"/>
      <c r="AM179" s="6"/>
    </row>
    <row r="180" ht="63" customHeight="1" spans="1:39">
      <c r="A180" s="6" t="s">
        <v>872</v>
      </c>
      <c r="B180" s="7">
        <v>46107</v>
      </c>
      <c r="C180" s="6" t="str">
        <f t="shared" si="9"/>
        <v>2026年3月</v>
      </c>
      <c r="D180" s="6" t="s">
        <v>3980</v>
      </c>
      <c r="E180" s="40" t="s">
        <v>40</v>
      </c>
      <c r="F180" s="6" t="s">
        <v>11</v>
      </c>
      <c r="G180" s="95" t="s">
        <v>3981</v>
      </c>
      <c r="H180" s="104" t="s">
        <v>82</v>
      </c>
      <c r="I180" s="61" t="s">
        <v>3966</v>
      </c>
      <c r="J180" s="61"/>
      <c r="K180" s="61"/>
      <c r="L180" s="61"/>
      <c r="M180" s="61" t="s">
        <v>3971</v>
      </c>
      <c r="N180" s="61" t="s">
        <v>2232</v>
      </c>
      <c r="O180" s="61" t="s">
        <v>3982</v>
      </c>
      <c r="Q180" s="61"/>
      <c r="R180" s="6"/>
      <c r="S180" s="6"/>
      <c r="T180" s="6"/>
      <c r="U180" s="6"/>
      <c r="V180" s="6"/>
      <c r="W180" s="6"/>
      <c r="X180" s="6"/>
      <c r="Y180" s="6"/>
      <c r="Z180" s="6"/>
      <c r="AA180" s="6"/>
      <c r="AB180" s="6"/>
      <c r="AC180" s="6"/>
      <c r="AD180" s="6"/>
      <c r="AE180" s="6"/>
      <c r="AF180" s="6"/>
      <c r="AG180" s="6"/>
      <c r="AH180" s="6"/>
      <c r="AI180" s="6"/>
      <c r="AJ180" s="6"/>
      <c r="AK180" s="6"/>
      <c r="AL180" s="6"/>
      <c r="AM180" s="6"/>
    </row>
    <row r="181" ht="42" spans="1:39">
      <c r="A181" s="6" t="s">
        <v>142</v>
      </c>
      <c r="B181" s="7">
        <v>46112</v>
      </c>
      <c r="C181" s="6" t="str">
        <f t="shared" si="9"/>
        <v>2026年3月</v>
      </c>
      <c r="D181" s="6" t="s">
        <v>3983</v>
      </c>
      <c r="E181" s="40" t="s">
        <v>42</v>
      </c>
      <c r="F181" s="6" t="s">
        <v>10</v>
      </c>
      <c r="G181" s="95" t="s">
        <v>3984</v>
      </c>
      <c r="H181" s="104" t="s">
        <v>82</v>
      </c>
      <c r="I181" s="61" t="s">
        <v>3978</v>
      </c>
      <c r="J181" s="61"/>
      <c r="K181" s="86"/>
      <c r="L181" s="86"/>
      <c r="M181" s="86">
        <v>9999000</v>
      </c>
      <c r="N181" s="61" t="s">
        <v>1172</v>
      </c>
      <c r="O181" s="68" t="s">
        <v>3985</v>
      </c>
      <c r="Q181" s="61"/>
      <c r="R181" s="6"/>
      <c r="S181" s="6"/>
      <c r="T181" s="6"/>
      <c r="U181" s="6"/>
      <c r="V181" s="6"/>
      <c r="W181" s="6"/>
      <c r="X181" s="6"/>
      <c r="Y181" s="6"/>
      <c r="Z181" s="6"/>
      <c r="AA181" s="6"/>
      <c r="AB181" s="6"/>
      <c r="AC181" s="6"/>
      <c r="AD181" s="6"/>
      <c r="AE181" s="6"/>
      <c r="AF181" s="6"/>
      <c r="AG181" s="6"/>
      <c r="AH181" s="6"/>
      <c r="AI181" s="6"/>
      <c r="AJ181" s="6"/>
      <c r="AK181" s="6"/>
      <c r="AL181" s="6"/>
      <c r="AM181" s="6"/>
    </row>
    <row r="182" ht="49.5" customHeight="1" spans="1:39">
      <c r="A182" s="6" t="s">
        <v>872</v>
      </c>
      <c r="B182" s="7">
        <v>46112</v>
      </c>
      <c r="C182" s="6" t="str">
        <f t="shared" si="9"/>
        <v>2026年3月</v>
      </c>
      <c r="D182" s="6" t="s">
        <v>3986</v>
      </c>
      <c r="E182" s="40" t="s">
        <v>42</v>
      </c>
      <c r="F182" s="6" t="s">
        <v>10</v>
      </c>
      <c r="G182" s="95" t="s">
        <v>3977</v>
      </c>
      <c r="H182" s="104" t="s">
        <v>82</v>
      </c>
      <c r="I182" s="61" t="s">
        <v>3978</v>
      </c>
      <c r="J182" s="61"/>
      <c r="K182" s="86"/>
      <c r="L182" s="86"/>
      <c r="M182" s="86">
        <v>79998000</v>
      </c>
      <c r="N182" s="61" t="s">
        <v>1172</v>
      </c>
      <c r="O182" s="68" t="s">
        <v>3987</v>
      </c>
      <c r="Q182" s="61"/>
      <c r="R182" s="6"/>
      <c r="S182" s="6" t="s">
        <v>3505</v>
      </c>
      <c r="T182" s="6" t="s">
        <v>3506</v>
      </c>
      <c r="U182" s="6"/>
      <c r="V182" s="6"/>
      <c r="W182" s="6"/>
      <c r="X182" s="6"/>
      <c r="Y182" s="6"/>
      <c r="Z182" s="6"/>
      <c r="AA182" s="6"/>
      <c r="AB182" s="6"/>
      <c r="AC182" s="6"/>
      <c r="AD182" s="6"/>
      <c r="AE182" s="6"/>
      <c r="AF182" s="6"/>
      <c r="AG182" s="6"/>
      <c r="AH182" s="6"/>
      <c r="AI182" s="6"/>
      <c r="AJ182" s="6"/>
      <c r="AK182" s="6"/>
      <c r="AL182" s="6"/>
      <c r="AM182" s="6"/>
    </row>
    <row r="183" ht="21" customHeight="1" spans="1:39">
      <c r="A183" s="6" t="s">
        <v>78</v>
      </c>
      <c r="B183" s="7">
        <v>46106</v>
      </c>
      <c r="C183" s="6" t="str">
        <f t="shared" si="9"/>
        <v>2026年3月</v>
      </c>
      <c r="D183" s="8" t="s">
        <v>3988</v>
      </c>
      <c r="E183" s="40" t="s">
        <v>42</v>
      </c>
      <c r="F183" s="6" t="s">
        <v>10</v>
      </c>
      <c r="G183" s="95" t="s">
        <v>770</v>
      </c>
      <c r="H183" s="104" t="s">
        <v>82</v>
      </c>
      <c r="I183" s="61" t="s">
        <v>3989</v>
      </c>
      <c r="J183" s="61"/>
      <c r="K183" s="61"/>
      <c r="L183" s="61"/>
      <c r="M183" s="61" t="s">
        <v>3971</v>
      </c>
      <c r="N183" s="61" t="s">
        <v>2232</v>
      </c>
      <c r="O183" s="68"/>
      <c r="Q183" s="61"/>
      <c r="R183" s="6"/>
      <c r="S183" s="6"/>
      <c r="T183" s="6"/>
      <c r="U183" s="6"/>
      <c r="V183" s="6"/>
      <c r="W183" s="6"/>
      <c r="X183" s="6"/>
      <c r="Y183" s="6"/>
      <c r="Z183" s="6"/>
      <c r="AA183" s="6"/>
      <c r="AB183" s="6"/>
      <c r="AC183" s="6"/>
      <c r="AD183" s="6"/>
      <c r="AE183" s="6"/>
      <c r="AF183" s="6"/>
      <c r="AG183" s="6"/>
      <c r="AH183" s="6"/>
      <c r="AI183" s="6"/>
      <c r="AJ183" s="6"/>
      <c r="AK183" s="6"/>
      <c r="AL183" s="6"/>
      <c r="AM183" s="6"/>
    </row>
    <row r="184" ht="40.5" customHeight="1" spans="1:39">
      <c r="A184" s="6" t="s">
        <v>872</v>
      </c>
      <c r="B184" s="7">
        <v>46118</v>
      </c>
      <c r="C184" s="6" t="str">
        <f t="shared" si="9"/>
        <v>2026年4月</v>
      </c>
      <c r="D184" s="6" t="s">
        <v>3990</v>
      </c>
      <c r="E184" s="40" t="s">
        <v>42</v>
      </c>
      <c r="F184" s="6" t="s">
        <v>10</v>
      </c>
      <c r="G184" s="95" t="s">
        <v>3991</v>
      </c>
      <c r="H184" s="104" t="s">
        <v>82</v>
      </c>
      <c r="I184" s="61" t="s">
        <v>3978</v>
      </c>
      <c r="J184" s="68" t="s">
        <v>3992</v>
      </c>
      <c r="K184" s="86"/>
      <c r="L184" s="86"/>
      <c r="M184" s="86">
        <v>30000000</v>
      </c>
      <c r="N184" s="61" t="s">
        <v>1172</v>
      </c>
      <c r="O184" s="68" t="s">
        <v>3993</v>
      </c>
      <c r="Q184" s="61"/>
      <c r="R184" s="6"/>
      <c r="S184" s="6" t="s">
        <v>3505</v>
      </c>
      <c r="T184" s="6" t="s">
        <v>3506</v>
      </c>
      <c r="U184" s="6"/>
      <c r="V184" s="6"/>
      <c r="W184" s="6"/>
      <c r="X184" s="6"/>
      <c r="Y184" s="6"/>
      <c r="Z184" s="6"/>
      <c r="AA184" s="6"/>
      <c r="AB184" s="6"/>
      <c r="AC184" s="6"/>
      <c r="AD184" s="6"/>
      <c r="AE184" s="6"/>
      <c r="AF184" s="6"/>
      <c r="AG184" s="6"/>
      <c r="AH184" s="6"/>
      <c r="AI184" s="6"/>
      <c r="AJ184" s="6"/>
      <c r="AK184" s="6"/>
      <c r="AL184" s="6"/>
      <c r="AM184" s="6"/>
    </row>
    <row r="185" ht="42.75" customHeight="1" spans="1:39">
      <c r="A185" s="6" t="s">
        <v>872</v>
      </c>
      <c r="B185" s="7">
        <v>46119</v>
      </c>
      <c r="C185" s="6" t="str">
        <f t="shared" si="9"/>
        <v>2026年4月</v>
      </c>
      <c r="D185" s="6" t="s">
        <v>3994</v>
      </c>
      <c r="E185" s="40" t="s">
        <v>42</v>
      </c>
      <c r="F185" s="6" t="s">
        <v>10</v>
      </c>
      <c r="G185" s="10"/>
      <c r="H185" s="104" t="s">
        <v>82</v>
      </c>
      <c r="I185" s="61" t="s">
        <v>3995</v>
      </c>
      <c r="J185" s="68" t="s">
        <v>3996</v>
      </c>
      <c r="K185" s="86"/>
      <c r="L185" s="86"/>
      <c r="M185" s="86">
        <v>197960000</v>
      </c>
      <c r="N185" s="61" t="s">
        <v>1172</v>
      </c>
      <c r="O185" s="68" t="s">
        <v>3997</v>
      </c>
      <c r="Q185" s="61"/>
      <c r="R185" s="6"/>
      <c r="S185" s="6" t="s">
        <v>3505</v>
      </c>
      <c r="T185" s="6" t="s">
        <v>3506</v>
      </c>
      <c r="U185" s="6"/>
      <c r="V185" s="6"/>
      <c r="W185" s="6"/>
      <c r="X185" s="6"/>
      <c r="Y185" s="6"/>
      <c r="Z185" s="6"/>
      <c r="AA185" s="6"/>
      <c r="AB185" s="6"/>
      <c r="AC185" s="6"/>
      <c r="AD185" s="6"/>
      <c r="AE185" s="6"/>
      <c r="AF185" s="6"/>
      <c r="AG185" s="6"/>
      <c r="AH185" s="6"/>
      <c r="AI185" s="6"/>
      <c r="AJ185" s="6"/>
      <c r="AK185" s="6"/>
      <c r="AL185" s="6"/>
      <c r="AM185" s="6"/>
    </row>
    <row r="186" ht="36" customHeight="1" spans="1:39">
      <c r="A186" s="6" t="s">
        <v>872</v>
      </c>
      <c r="B186" s="7">
        <v>46122</v>
      </c>
      <c r="C186" s="6" t="str">
        <f t="shared" si="9"/>
        <v>2026年4月</v>
      </c>
      <c r="D186" s="6" t="s">
        <v>3998</v>
      </c>
      <c r="E186" s="40" t="s">
        <v>42</v>
      </c>
      <c r="F186" s="6" t="s">
        <v>10</v>
      </c>
      <c r="G186" s="95" t="s">
        <v>3999</v>
      </c>
      <c r="H186" s="104" t="s">
        <v>82</v>
      </c>
      <c r="I186" s="61" t="s">
        <v>4000</v>
      </c>
      <c r="J186" s="61"/>
      <c r="K186" s="61"/>
      <c r="L186" s="61"/>
      <c r="M186" s="61" t="s">
        <v>2232</v>
      </c>
      <c r="N186" s="61" t="s">
        <v>2232</v>
      </c>
      <c r="O186" s="68" t="s">
        <v>4001</v>
      </c>
      <c r="Q186" s="61"/>
      <c r="R186" s="6"/>
      <c r="S186" s="6" t="s">
        <v>3505</v>
      </c>
      <c r="T186" s="6" t="s">
        <v>3506</v>
      </c>
      <c r="U186" s="6"/>
      <c r="V186" s="6"/>
      <c r="W186" s="6"/>
      <c r="X186" s="6"/>
      <c r="Y186" s="6"/>
      <c r="Z186" s="6"/>
      <c r="AA186" s="6"/>
      <c r="AB186" s="6"/>
      <c r="AC186" s="6"/>
      <c r="AD186" s="6"/>
      <c r="AE186" s="6"/>
      <c r="AF186" s="6"/>
      <c r="AG186" s="6"/>
      <c r="AH186" s="6"/>
      <c r="AI186" s="6"/>
      <c r="AJ186" s="6"/>
      <c r="AK186" s="6"/>
      <c r="AL186" s="6"/>
      <c r="AM186" s="6"/>
    </row>
    <row r="187" ht="47.25" customHeight="1" spans="1:39">
      <c r="A187" s="6" t="s">
        <v>872</v>
      </c>
      <c r="B187" s="7">
        <v>46125</v>
      </c>
      <c r="C187" s="6" t="str">
        <f t="shared" si="9"/>
        <v>2026年4月</v>
      </c>
      <c r="D187" s="41" t="s">
        <v>4002</v>
      </c>
      <c r="E187" s="40" t="s">
        <v>40</v>
      </c>
      <c r="F187" s="6" t="s">
        <v>11</v>
      </c>
      <c r="G187" s="95" t="s">
        <v>3964</v>
      </c>
      <c r="H187" s="104" t="s">
        <v>82</v>
      </c>
      <c r="I187" s="61"/>
      <c r="J187" s="61"/>
      <c r="K187" s="61"/>
      <c r="L187" s="61"/>
      <c r="M187" s="61" t="s">
        <v>2232</v>
      </c>
      <c r="N187" s="61" t="s">
        <v>2232</v>
      </c>
      <c r="O187" s="61" t="s">
        <v>4003</v>
      </c>
      <c r="Q187" s="61" t="s">
        <v>3223</v>
      </c>
      <c r="R187" s="6"/>
      <c r="S187" s="6" t="s">
        <v>3505</v>
      </c>
      <c r="T187" s="6" t="s">
        <v>3506</v>
      </c>
      <c r="U187" s="6"/>
      <c r="V187" s="6"/>
      <c r="W187" s="6"/>
      <c r="X187" s="6"/>
      <c r="Y187" s="6"/>
      <c r="Z187" s="6"/>
      <c r="AA187" s="6"/>
      <c r="AB187" s="6"/>
      <c r="AC187" s="6"/>
      <c r="AD187" s="6"/>
      <c r="AE187" s="6"/>
      <c r="AF187" s="6"/>
      <c r="AG187" s="6"/>
      <c r="AH187" s="6"/>
      <c r="AI187" s="6"/>
      <c r="AJ187" s="6"/>
      <c r="AK187" s="6"/>
      <c r="AL187" s="6"/>
      <c r="AM187" s="6"/>
    </row>
    <row r="188" ht="51.75" customHeight="1" spans="1:39">
      <c r="A188" s="6" t="s">
        <v>872</v>
      </c>
      <c r="B188" s="7">
        <v>46125</v>
      </c>
      <c r="C188" s="6" t="str">
        <f t="shared" si="9"/>
        <v>2026年4月</v>
      </c>
      <c r="D188" s="41" t="s">
        <v>4004</v>
      </c>
      <c r="E188" s="40" t="s">
        <v>40</v>
      </c>
      <c r="F188" s="6" t="s">
        <v>11</v>
      </c>
      <c r="G188" s="95" t="s">
        <v>3824</v>
      </c>
      <c r="H188" s="104" t="s">
        <v>82</v>
      </c>
      <c r="I188" s="61"/>
      <c r="J188" s="61"/>
      <c r="K188" s="61"/>
      <c r="L188" s="61"/>
      <c r="M188" s="61" t="s">
        <v>2232</v>
      </c>
      <c r="N188" s="61" t="s">
        <v>2232</v>
      </c>
      <c r="O188" s="61" t="s">
        <v>3825</v>
      </c>
      <c r="Q188" s="61" t="s">
        <v>685</v>
      </c>
      <c r="R188" s="6"/>
      <c r="S188" s="6" t="s">
        <v>3505</v>
      </c>
      <c r="T188" s="6" t="s">
        <v>3506</v>
      </c>
      <c r="U188" s="6"/>
      <c r="V188" s="6"/>
      <c r="W188" s="6"/>
      <c r="X188" s="6"/>
      <c r="Y188" s="6"/>
      <c r="Z188" s="6"/>
      <c r="AA188" s="6"/>
      <c r="AB188" s="6"/>
      <c r="AC188" s="6"/>
      <c r="AD188" s="6"/>
      <c r="AE188" s="6"/>
      <c r="AF188" s="6"/>
      <c r="AG188" s="6"/>
      <c r="AH188" s="6"/>
      <c r="AI188" s="6"/>
      <c r="AJ188" s="6"/>
      <c r="AK188" s="6"/>
      <c r="AL188" s="6"/>
      <c r="AM188" s="6"/>
    </row>
    <row r="189" ht="40.5" customHeight="1" spans="1:39">
      <c r="A189" s="6" t="s">
        <v>872</v>
      </c>
      <c r="B189" s="7">
        <v>46126</v>
      </c>
      <c r="C189" s="6" t="str">
        <f t="shared" si="9"/>
        <v>2026年4月</v>
      </c>
      <c r="D189" s="6" t="s">
        <v>4005</v>
      </c>
      <c r="E189" s="40" t="s">
        <v>40</v>
      </c>
      <c r="F189" s="6" t="s">
        <v>11</v>
      </c>
      <c r="G189" s="95" t="s">
        <v>3809</v>
      </c>
      <c r="H189" s="104" t="s">
        <v>82</v>
      </c>
      <c r="I189" s="61"/>
      <c r="J189" s="61"/>
      <c r="K189" s="61"/>
      <c r="L189" s="61"/>
      <c r="M189" s="61" t="s">
        <v>2232</v>
      </c>
      <c r="N189" s="61" t="s">
        <v>2232</v>
      </c>
      <c r="O189" s="61" t="s">
        <v>3810</v>
      </c>
      <c r="Q189" s="61" t="s">
        <v>685</v>
      </c>
      <c r="R189" s="6"/>
      <c r="S189" s="6" t="s">
        <v>3545</v>
      </c>
      <c r="T189" s="6" t="s">
        <v>3506</v>
      </c>
      <c r="U189" s="6"/>
      <c r="V189" s="6"/>
      <c r="W189" s="6"/>
      <c r="X189" s="6"/>
      <c r="Y189" s="6"/>
      <c r="Z189" s="6"/>
      <c r="AA189" s="6"/>
      <c r="AB189" s="6"/>
      <c r="AC189" s="6"/>
      <c r="AD189" s="6"/>
      <c r="AE189" s="6"/>
      <c r="AF189" s="6"/>
      <c r="AG189" s="6"/>
      <c r="AH189" s="6"/>
      <c r="AI189" s="6"/>
      <c r="AJ189" s="6"/>
      <c r="AK189" s="6"/>
      <c r="AL189" s="6"/>
      <c r="AM189" s="6"/>
    </row>
    <row r="190" ht="53.25" customHeight="1" spans="1:39">
      <c r="A190" s="6" t="s">
        <v>872</v>
      </c>
      <c r="B190" s="7">
        <v>46126</v>
      </c>
      <c r="C190" s="6" t="str">
        <f t="shared" si="9"/>
        <v>2026年4月</v>
      </c>
      <c r="D190" s="6" t="s">
        <v>4006</v>
      </c>
      <c r="E190" s="40" t="s">
        <v>42</v>
      </c>
      <c r="F190" s="6" t="s">
        <v>10</v>
      </c>
      <c r="G190" s="95" t="s">
        <v>4007</v>
      </c>
      <c r="H190" s="104" t="s">
        <v>82</v>
      </c>
      <c r="I190" s="61" t="s">
        <v>3970</v>
      </c>
      <c r="J190" s="68" t="s">
        <v>4008</v>
      </c>
      <c r="K190" s="76"/>
      <c r="L190" s="76"/>
      <c r="M190" s="76">
        <v>216200</v>
      </c>
      <c r="N190" s="61" t="s">
        <v>1172</v>
      </c>
      <c r="O190" s="68" t="s">
        <v>4009</v>
      </c>
      <c r="Q190" s="61" t="s">
        <v>689</v>
      </c>
      <c r="R190" s="6" t="s">
        <v>4010</v>
      </c>
      <c r="S190" s="6" t="s">
        <v>3505</v>
      </c>
      <c r="T190" s="6" t="s">
        <v>3506</v>
      </c>
      <c r="U190" s="6"/>
      <c r="V190" s="6"/>
      <c r="W190" s="6"/>
      <c r="X190" s="6"/>
      <c r="Y190" s="6"/>
      <c r="Z190" s="6"/>
      <c r="AA190" s="6"/>
      <c r="AB190" s="6"/>
      <c r="AC190" s="6"/>
      <c r="AD190" s="6"/>
      <c r="AE190" s="6"/>
      <c r="AF190" s="6"/>
      <c r="AG190" s="6"/>
      <c r="AH190" s="6"/>
      <c r="AI190" s="6"/>
      <c r="AJ190" s="6"/>
      <c r="AK190" s="6"/>
      <c r="AL190" s="6"/>
      <c r="AM190" s="6"/>
    </row>
    <row r="191" ht="47.25" customHeight="1" spans="1:39">
      <c r="A191" s="6" t="s">
        <v>142</v>
      </c>
      <c r="B191" s="7">
        <v>46126</v>
      </c>
      <c r="C191" s="6" t="str">
        <f t="shared" si="9"/>
        <v>2026年4月</v>
      </c>
      <c r="D191" s="6" t="s">
        <v>4011</v>
      </c>
      <c r="E191" s="40" t="s">
        <v>3577</v>
      </c>
      <c r="F191" s="6" t="s">
        <v>11</v>
      </c>
      <c r="G191" s="95" t="s">
        <v>3768</v>
      </c>
      <c r="H191" s="104" t="s">
        <v>82</v>
      </c>
      <c r="I191" s="61"/>
      <c r="J191" s="61"/>
      <c r="K191" s="61"/>
      <c r="L191" s="61"/>
      <c r="M191" s="61">
        <v>12500</v>
      </c>
      <c r="N191" s="61" t="s">
        <v>149</v>
      </c>
      <c r="O191" s="61" t="s">
        <v>3769</v>
      </c>
      <c r="Q191" s="61"/>
      <c r="R191" s="6"/>
      <c r="S191" s="6" t="s">
        <v>3545</v>
      </c>
      <c r="T191" s="6" t="s">
        <v>3506</v>
      </c>
      <c r="U191" s="6"/>
      <c r="V191" s="6"/>
      <c r="W191" s="6"/>
      <c r="X191" s="6"/>
      <c r="Y191" s="6"/>
      <c r="Z191" s="6"/>
      <c r="AA191" s="6"/>
      <c r="AB191" s="6"/>
      <c r="AC191" s="6"/>
      <c r="AD191" s="6"/>
      <c r="AE191" s="6"/>
      <c r="AF191" s="6"/>
      <c r="AG191" s="6"/>
      <c r="AH191" s="6"/>
      <c r="AI191" s="6"/>
      <c r="AJ191" s="6"/>
      <c r="AK191" s="6"/>
      <c r="AL191" s="6"/>
      <c r="AM191" s="6"/>
    </row>
    <row r="192" ht="42.75" customHeight="1" spans="1:39">
      <c r="A192" s="6" t="s">
        <v>872</v>
      </c>
      <c r="B192" s="7">
        <v>46126</v>
      </c>
      <c r="C192" s="6" t="str">
        <f t="shared" si="9"/>
        <v>2026年4月</v>
      </c>
      <c r="D192" s="6" t="s">
        <v>4012</v>
      </c>
      <c r="E192" s="40" t="s">
        <v>3577</v>
      </c>
      <c r="F192" s="6" t="s">
        <v>11</v>
      </c>
      <c r="G192" s="95" t="s">
        <v>3824</v>
      </c>
      <c r="H192" s="104" t="s">
        <v>82</v>
      </c>
      <c r="I192" s="61"/>
      <c r="J192" s="61"/>
      <c r="K192" s="61"/>
      <c r="L192" s="61"/>
      <c r="M192" s="61" t="s">
        <v>2232</v>
      </c>
      <c r="N192" s="61" t="s">
        <v>2232</v>
      </c>
      <c r="O192" s="61" t="s">
        <v>3825</v>
      </c>
      <c r="Q192" s="61" t="s">
        <v>685</v>
      </c>
      <c r="R192" s="6"/>
      <c r="S192" s="6" t="s">
        <v>3505</v>
      </c>
      <c r="T192" s="6" t="s">
        <v>3506</v>
      </c>
      <c r="U192" s="6"/>
      <c r="V192" s="6"/>
      <c r="W192" s="6"/>
      <c r="X192" s="6"/>
      <c r="Y192" s="6"/>
      <c r="Z192" s="6"/>
      <c r="AA192" s="6"/>
      <c r="AB192" s="6"/>
      <c r="AC192" s="6"/>
      <c r="AD192" s="6"/>
      <c r="AE192" s="6"/>
      <c r="AF192" s="6"/>
      <c r="AG192" s="6"/>
      <c r="AH192" s="6"/>
      <c r="AI192" s="6"/>
      <c r="AJ192" s="6"/>
      <c r="AK192" s="6"/>
      <c r="AL192" s="6"/>
      <c r="AM192" s="6"/>
    </row>
    <row r="193" ht="34.5" customHeight="1" spans="1:39">
      <c r="A193" s="6" t="s">
        <v>872</v>
      </c>
      <c r="B193" s="7">
        <v>46127</v>
      </c>
      <c r="C193" s="6" t="str">
        <f t="shared" si="9"/>
        <v>2026年4月</v>
      </c>
      <c r="D193" s="6" t="s">
        <v>4013</v>
      </c>
      <c r="E193" s="40" t="s">
        <v>42</v>
      </c>
      <c r="F193" s="6" t="s">
        <v>10</v>
      </c>
      <c r="G193" s="95" t="s">
        <v>4014</v>
      </c>
      <c r="H193" s="104" t="s">
        <v>82</v>
      </c>
      <c r="I193" s="61" t="s">
        <v>4015</v>
      </c>
      <c r="J193" s="61"/>
      <c r="K193" s="61"/>
      <c r="L193" s="61"/>
      <c r="M193" s="61" t="s">
        <v>2232</v>
      </c>
      <c r="N193" s="61" t="s">
        <v>2232</v>
      </c>
      <c r="O193" s="68" t="s">
        <v>4016</v>
      </c>
      <c r="Q193" s="61" t="s">
        <v>781</v>
      </c>
      <c r="R193" s="6"/>
      <c r="S193" s="6" t="s">
        <v>3505</v>
      </c>
      <c r="T193" s="6" t="s">
        <v>3506</v>
      </c>
      <c r="U193" s="6"/>
      <c r="V193" s="6"/>
      <c r="W193" s="6"/>
      <c r="X193" s="6"/>
      <c r="Y193" s="6"/>
      <c r="Z193" s="6"/>
      <c r="AA193" s="6"/>
      <c r="AB193" s="6"/>
      <c r="AC193" s="6"/>
      <c r="AD193" s="6"/>
      <c r="AE193" s="6"/>
      <c r="AF193" s="6"/>
      <c r="AG193" s="6"/>
      <c r="AH193" s="6"/>
      <c r="AI193" s="6"/>
      <c r="AJ193" s="6"/>
      <c r="AK193" s="6"/>
      <c r="AL193" s="6"/>
      <c r="AM193" s="6"/>
    </row>
    <row r="194" ht="40.5" customHeight="1" spans="1:39">
      <c r="A194" s="6" t="s">
        <v>872</v>
      </c>
      <c r="B194" s="7">
        <v>46126</v>
      </c>
      <c r="C194" s="6" t="str">
        <f t="shared" si="9"/>
        <v>2026年4月</v>
      </c>
      <c r="D194" s="6" t="s">
        <v>4017</v>
      </c>
      <c r="E194" s="40" t="s">
        <v>40</v>
      </c>
      <c r="F194" s="6" t="s">
        <v>11</v>
      </c>
      <c r="G194" s="95" t="s">
        <v>4018</v>
      </c>
      <c r="H194" s="104" t="s">
        <v>82</v>
      </c>
      <c r="I194" s="61"/>
      <c r="J194" s="61"/>
      <c r="K194" s="61"/>
      <c r="L194" s="61"/>
      <c r="M194" s="61" t="s">
        <v>2232</v>
      </c>
      <c r="N194" s="61" t="s">
        <v>2232</v>
      </c>
      <c r="O194" s="61" t="s">
        <v>4019</v>
      </c>
      <c r="Q194" s="61" t="s">
        <v>685</v>
      </c>
      <c r="R194" s="6"/>
      <c r="S194" s="6" t="s">
        <v>3505</v>
      </c>
      <c r="T194" s="6" t="s">
        <v>3506</v>
      </c>
      <c r="U194" s="6"/>
      <c r="V194" s="6"/>
      <c r="W194" s="6"/>
      <c r="X194" s="6"/>
      <c r="Y194" s="6"/>
      <c r="Z194" s="6"/>
      <c r="AA194" s="6"/>
      <c r="AB194" s="6"/>
      <c r="AC194" s="6"/>
      <c r="AD194" s="6"/>
      <c r="AE194" s="6"/>
      <c r="AF194" s="6"/>
      <c r="AG194" s="6"/>
      <c r="AH194" s="6"/>
      <c r="AI194" s="6"/>
      <c r="AJ194" s="6"/>
      <c r="AK194" s="6"/>
      <c r="AL194" s="6"/>
      <c r="AM194" s="6"/>
    </row>
    <row r="195" ht="51.75" customHeight="1" spans="1:39">
      <c r="A195" s="6" t="s">
        <v>872</v>
      </c>
      <c r="B195" s="7">
        <v>46132</v>
      </c>
      <c r="C195" s="6" t="str">
        <f t="shared" si="9"/>
        <v>2026年4月</v>
      </c>
      <c r="D195" s="6" t="s">
        <v>4020</v>
      </c>
      <c r="E195" s="40" t="s">
        <v>3577</v>
      </c>
      <c r="F195" s="6" t="s">
        <v>11</v>
      </c>
      <c r="G195" s="95" t="s">
        <v>3809</v>
      </c>
      <c r="H195" s="104" t="s">
        <v>82</v>
      </c>
      <c r="I195" s="61"/>
      <c r="J195" s="61"/>
      <c r="K195" s="61"/>
      <c r="L195" s="61"/>
      <c r="M195" s="61" t="s">
        <v>2232</v>
      </c>
      <c r="N195" s="61" t="s">
        <v>2232</v>
      </c>
      <c r="O195" s="61" t="s">
        <v>3810</v>
      </c>
      <c r="Q195" s="61" t="s">
        <v>685</v>
      </c>
      <c r="R195" s="6"/>
      <c r="S195" s="6" t="s">
        <v>3545</v>
      </c>
      <c r="T195" s="6" t="s">
        <v>3506</v>
      </c>
      <c r="U195" s="6"/>
      <c r="V195" s="87">
        <v>46132</v>
      </c>
      <c r="W195" s="87">
        <v>46151</v>
      </c>
      <c r="X195" s="6"/>
      <c r="Y195" s="6"/>
      <c r="Z195" s="6"/>
      <c r="AA195" s="6"/>
      <c r="AB195" s="6"/>
      <c r="AC195" s="6"/>
      <c r="AD195" s="6"/>
      <c r="AE195" s="6"/>
      <c r="AF195" s="6"/>
      <c r="AG195" s="6"/>
      <c r="AH195" s="6"/>
      <c r="AI195" s="6"/>
      <c r="AJ195" s="6"/>
      <c r="AK195" s="6"/>
      <c r="AL195" s="6"/>
      <c r="AM195" s="6"/>
    </row>
    <row r="196" ht="30.75" customHeight="1" spans="1:39">
      <c r="A196" s="6" t="s">
        <v>872</v>
      </c>
      <c r="B196" s="7">
        <v>46129</v>
      </c>
      <c r="C196" s="6" t="str">
        <f t="shared" si="9"/>
        <v>2026年4月</v>
      </c>
      <c r="D196" s="41" t="s">
        <v>4021</v>
      </c>
      <c r="E196" s="40" t="s">
        <v>3577</v>
      </c>
      <c r="F196" s="6" t="s">
        <v>11</v>
      </c>
      <c r="G196" s="95" t="s">
        <v>3964</v>
      </c>
      <c r="H196" s="104" t="s">
        <v>82</v>
      </c>
      <c r="I196" s="61"/>
      <c r="J196" s="61"/>
      <c r="K196" s="61"/>
      <c r="L196" s="61"/>
      <c r="M196" s="61" t="s">
        <v>2232</v>
      </c>
      <c r="N196" s="61" t="s">
        <v>2232</v>
      </c>
      <c r="O196" s="61" t="s">
        <v>4003</v>
      </c>
      <c r="Q196" s="61" t="s">
        <v>3223</v>
      </c>
      <c r="R196" s="6"/>
      <c r="S196" s="6" t="s">
        <v>3505</v>
      </c>
      <c r="T196" s="6" t="s">
        <v>3506</v>
      </c>
      <c r="U196" s="6"/>
      <c r="V196" s="6"/>
      <c r="W196" s="6"/>
      <c r="X196" s="6"/>
      <c r="Y196" s="6"/>
      <c r="Z196" s="6"/>
      <c r="AA196" s="6"/>
      <c r="AB196" s="6"/>
      <c r="AC196" s="6"/>
      <c r="AD196" s="6"/>
      <c r="AE196" s="6"/>
      <c r="AF196" s="6"/>
      <c r="AG196" s="6"/>
      <c r="AH196" s="6"/>
      <c r="AI196" s="6"/>
      <c r="AJ196" s="6"/>
      <c r="AK196" s="6"/>
      <c r="AL196" s="6"/>
      <c r="AM196" s="6"/>
    </row>
    <row r="197" ht="54" customHeight="1" spans="1:39">
      <c r="A197" s="6" t="s">
        <v>872</v>
      </c>
      <c r="B197" s="7">
        <v>46132</v>
      </c>
      <c r="C197" s="6" t="str">
        <f t="shared" si="9"/>
        <v>2026年4月</v>
      </c>
      <c r="D197" s="41" t="s">
        <v>4022</v>
      </c>
      <c r="E197" s="40" t="s">
        <v>40</v>
      </c>
      <c r="F197" s="6" t="s">
        <v>11</v>
      </c>
      <c r="G197" s="95" t="s">
        <v>3714</v>
      </c>
      <c r="H197" s="104" t="s">
        <v>82</v>
      </c>
      <c r="I197" s="61"/>
      <c r="J197" s="61"/>
      <c r="K197" s="61"/>
      <c r="L197" s="61"/>
      <c r="M197" s="61" t="s">
        <v>2232</v>
      </c>
      <c r="N197" s="61" t="s">
        <v>2232</v>
      </c>
      <c r="O197" s="61" t="s">
        <v>3715</v>
      </c>
      <c r="Q197" s="61" t="s">
        <v>685</v>
      </c>
      <c r="R197" s="6"/>
      <c r="S197" s="6" t="s">
        <v>3505</v>
      </c>
      <c r="T197" s="6" t="s">
        <v>3506</v>
      </c>
      <c r="U197" s="6"/>
      <c r="V197" s="6"/>
      <c r="W197" s="6"/>
      <c r="X197" s="6"/>
      <c r="Y197" s="6"/>
      <c r="Z197" s="6"/>
      <c r="AA197" s="6"/>
      <c r="AB197" s="6"/>
      <c r="AC197" s="6"/>
      <c r="AD197" s="6"/>
      <c r="AE197" s="6"/>
      <c r="AF197" s="6"/>
      <c r="AG197" s="6"/>
      <c r="AH197" s="6"/>
      <c r="AI197" s="6"/>
      <c r="AJ197" s="6"/>
      <c r="AK197" s="6"/>
      <c r="AL197" s="6"/>
      <c r="AM197" s="6"/>
    </row>
    <row r="198" ht="36.75" customHeight="1" spans="1:39">
      <c r="A198" s="6" t="s">
        <v>142</v>
      </c>
      <c r="B198" s="7">
        <v>46134</v>
      </c>
      <c r="C198" s="6" t="str">
        <f t="shared" si="9"/>
        <v>2026年4月</v>
      </c>
      <c r="D198" s="6" t="s">
        <v>4023</v>
      </c>
      <c r="E198" s="40" t="s">
        <v>40</v>
      </c>
      <c r="F198" s="6" t="s">
        <v>11</v>
      </c>
      <c r="G198" s="41" t="s">
        <v>3930</v>
      </c>
      <c r="H198" s="104" t="s">
        <v>82</v>
      </c>
      <c r="I198" s="61"/>
      <c r="J198" s="61"/>
      <c r="K198" s="61"/>
      <c r="L198" s="61"/>
      <c r="M198" s="61">
        <v>91500</v>
      </c>
      <c r="N198" s="61" t="s">
        <v>149</v>
      </c>
      <c r="O198" s="61" t="s">
        <v>3931</v>
      </c>
      <c r="Q198" s="61" t="s">
        <v>685</v>
      </c>
      <c r="R198" s="6"/>
      <c r="S198" s="6"/>
      <c r="T198" s="6"/>
      <c r="U198" s="6"/>
      <c r="V198" s="6"/>
      <c r="W198" s="6"/>
      <c r="X198" s="6"/>
      <c r="Y198" s="6"/>
      <c r="Z198" s="6"/>
      <c r="AA198" s="6"/>
      <c r="AB198" s="6"/>
      <c r="AC198" s="6"/>
      <c r="AD198" s="6"/>
      <c r="AE198" s="6"/>
      <c r="AF198" s="6"/>
      <c r="AG198" s="6"/>
      <c r="AH198" s="6"/>
      <c r="AI198" s="6"/>
      <c r="AJ198" s="6"/>
      <c r="AK198" s="6"/>
      <c r="AL198" s="6"/>
      <c r="AM198" s="6"/>
    </row>
    <row r="199" ht="33.75" customHeight="1" spans="1:39">
      <c r="A199" s="6" t="s">
        <v>872</v>
      </c>
      <c r="B199" s="7">
        <v>46139</v>
      </c>
      <c r="C199" s="6" t="str">
        <f t="shared" si="9"/>
        <v>2026年4月</v>
      </c>
      <c r="D199" s="6" t="s">
        <v>4024</v>
      </c>
      <c r="E199" s="40" t="s">
        <v>42</v>
      </c>
      <c r="F199" s="6" t="s">
        <v>10</v>
      </c>
      <c r="G199" s="95" t="s">
        <v>3977</v>
      </c>
      <c r="H199" s="104" t="s">
        <v>82</v>
      </c>
      <c r="I199" s="61" t="s">
        <v>3978</v>
      </c>
      <c r="J199" s="61"/>
      <c r="K199" s="86"/>
      <c r="L199" s="86"/>
      <c r="M199" s="86">
        <v>9999000</v>
      </c>
      <c r="N199" s="61" t="s">
        <v>1172</v>
      </c>
      <c r="O199" s="68" t="s">
        <v>3979</v>
      </c>
      <c r="Q199" s="61" t="s">
        <v>801</v>
      </c>
      <c r="R199" s="6"/>
      <c r="S199" s="6" t="s">
        <v>3505</v>
      </c>
      <c r="T199" s="6" t="s">
        <v>3506</v>
      </c>
      <c r="U199" s="6"/>
      <c r="V199" s="6"/>
      <c r="W199" s="6"/>
      <c r="X199" s="6"/>
      <c r="Y199" s="6"/>
      <c r="Z199" s="6"/>
      <c r="AA199" s="6"/>
      <c r="AB199" s="6"/>
      <c r="AC199" s="6"/>
      <c r="AD199" s="6"/>
      <c r="AE199" s="6"/>
      <c r="AF199" s="6"/>
      <c r="AG199" s="6"/>
      <c r="AH199" s="6"/>
      <c r="AI199" s="6"/>
      <c r="AJ199" s="6"/>
      <c r="AK199" s="6"/>
      <c r="AL199" s="6"/>
      <c r="AM199" s="6"/>
    </row>
    <row r="200" ht="41.25" customHeight="1" spans="1:39">
      <c r="A200" s="6" t="s">
        <v>872</v>
      </c>
      <c r="B200" s="7">
        <v>46141</v>
      </c>
      <c r="C200" s="6" t="str">
        <f t="shared" si="9"/>
        <v>2026年4月</v>
      </c>
      <c r="D200" s="94" t="s">
        <v>4025</v>
      </c>
      <c r="E200" s="40" t="s">
        <v>3577</v>
      </c>
      <c r="F200" s="6" t="s">
        <v>11</v>
      </c>
      <c r="G200" s="95" t="s">
        <v>4026</v>
      </c>
      <c r="H200" s="104" t="s">
        <v>82</v>
      </c>
      <c r="I200" s="61"/>
      <c r="J200" s="61"/>
      <c r="K200" s="61"/>
      <c r="L200" s="61"/>
      <c r="M200" s="61" t="s">
        <v>2232</v>
      </c>
      <c r="N200" s="61" t="s">
        <v>2232</v>
      </c>
      <c r="O200" s="61" t="s">
        <v>4027</v>
      </c>
      <c r="Q200" s="61" t="s">
        <v>685</v>
      </c>
      <c r="R200" s="6"/>
      <c r="S200" s="6" t="s">
        <v>3505</v>
      </c>
      <c r="T200" s="6" t="s">
        <v>3506</v>
      </c>
      <c r="U200" s="6"/>
      <c r="V200" s="6"/>
      <c r="W200" s="6"/>
      <c r="X200" s="6"/>
      <c r="Y200" s="6"/>
      <c r="Z200" s="6"/>
      <c r="AA200" s="6"/>
      <c r="AB200" s="6"/>
      <c r="AC200" s="6"/>
      <c r="AD200" s="6"/>
      <c r="AE200" s="6"/>
      <c r="AF200" s="6"/>
      <c r="AG200" s="6"/>
      <c r="AH200" s="6"/>
      <c r="AI200" s="6"/>
      <c r="AJ200" s="6"/>
      <c r="AK200" s="6"/>
      <c r="AL200" s="6"/>
      <c r="AM200" s="6"/>
    </row>
    <row r="201" ht="42" customHeight="1" spans="1:39">
      <c r="A201" s="10"/>
      <c r="C201" s="10"/>
      <c r="E201" s="10"/>
      <c r="F201" s="10"/>
      <c r="G201" s="95" t="s">
        <v>4028</v>
      </c>
      <c r="H201" s="10"/>
      <c r="I201" s="61"/>
      <c r="J201" s="61"/>
      <c r="K201" s="61"/>
      <c r="L201" s="61"/>
      <c r="M201" s="61" t="s">
        <v>2232</v>
      </c>
      <c r="N201" s="61" t="s">
        <v>2232</v>
      </c>
      <c r="O201" s="61" t="s">
        <v>4029</v>
      </c>
      <c r="Q201" s="10"/>
      <c r="R201" s="6"/>
      <c r="S201" s="6" t="s">
        <v>3505</v>
      </c>
      <c r="T201" s="6" t="s">
        <v>3506</v>
      </c>
      <c r="U201" s="6"/>
      <c r="V201" s="6"/>
      <c r="W201" s="6"/>
      <c r="X201" s="6"/>
      <c r="Y201" s="6"/>
      <c r="Z201" s="6"/>
      <c r="AA201" s="6"/>
      <c r="AB201" s="6"/>
      <c r="AC201" s="6"/>
      <c r="AD201" s="6"/>
      <c r="AE201" s="6"/>
      <c r="AF201" s="6"/>
      <c r="AG201" s="6"/>
      <c r="AH201" s="6"/>
      <c r="AI201" s="6"/>
      <c r="AJ201" s="6"/>
      <c r="AK201" s="6"/>
      <c r="AL201" s="6"/>
      <c r="AM201" s="6"/>
    </row>
    <row r="202" ht="48" customHeight="1" spans="1:39">
      <c r="A202" s="6" t="s">
        <v>872</v>
      </c>
      <c r="B202" s="7">
        <v>46142</v>
      </c>
      <c r="C202" s="6" t="str">
        <f>YEAR(B202)&amp;"年"&amp;MONTH(B202)&amp;"月"</f>
        <v>2026年4月</v>
      </c>
      <c r="D202" s="6" t="s">
        <v>4030</v>
      </c>
      <c r="E202" s="40" t="s">
        <v>42</v>
      </c>
      <c r="F202" s="6" t="s">
        <v>10</v>
      </c>
      <c r="G202" s="95" t="s">
        <v>4031</v>
      </c>
      <c r="H202" s="104" t="s">
        <v>290</v>
      </c>
      <c r="I202" s="61" t="s">
        <v>3700</v>
      </c>
      <c r="J202" s="68" t="s">
        <v>4032</v>
      </c>
      <c r="K202" s="76"/>
      <c r="L202" s="76"/>
      <c r="M202" s="76">
        <v>994852</v>
      </c>
      <c r="N202" s="61" t="s">
        <v>1172</v>
      </c>
      <c r="O202" s="68" t="s">
        <v>4033</v>
      </c>
      <c r="Q202" s="61" t="s">
        <v>822</v>
      </c>
      <c r="R202" s="6"/>
      <c r="S202" s="6" t="s">
        <v>3505</v>
      </c>
      <c r="T202" s="6" t="s">
        <v>3506</v>
      </c>
      <c r="U202" s="6"/>
      <c r="V202" s="6"/>
      <c r="W202" s="6"/>
      <c r="X202" s="6"/>
      <c r="Y202" s="6"/>
      <c r="Z202" s="6"/>
      <c r="AA202" s="6"/>
      <c r="AB202" s="6"/>
      <c r="AC202" s="6"/>
      <c r="AD202" s="6"/>
      <c r="AE202" s="6"/>
      <c r="AF202" s="6"/>
      <c r="AG202" s="6"/>
      <c r="AH202" s="6"/>
      <c r="AI202" s="6"/>
      <c r="AJ202" s="6"/>
      <c r="AK202" s="6"/>
      <c r="AL202" s="6"/>
      <c r="AM202" s="6"/>
    </row>
    <row r="203" ht="60.75" customHeight="1" spans="1:39">
      <c r="A203" s="6" t="s">
        <v>872</v>
      </c>
      <c r="B203" s="7">
        <v>46146</v>
      </c>
      <c r="C203" s="6" t="str">
        <f>YEAR(B203)&amp;"年"&amp;MONTH(B203)&amp;"月"</f>
        <v>2026年5月</v>
      </c>
      <c r="D203" s="6" t="s">
        <v>4030</v>
      </c>
      <c r="E203" s="40" t="s">
        <v>42</v>
      </c>
      <c r="F203" s="6" t="s">
        <v>10</v>
      </c>
      <c r="G203" s="95" t="s">
        <v>3991</v>
      </c>
      <c r="H203" s="104" t="s">
        <v>82</v>
      </c>
      <c r="I203" s="61" t="s">
        <v>4034</v>
      </c>
      <c r="J203" s="68" t="s">
        <v>4035</v>
      </c>
      <c r="K203" s="76"/>
      <c r="L203" s="76"/>
      <c r="M203" s="76">
        <v>79990000</v>
      </c>
      <c r="N203" s="61" t="s">
        <v>1172</v>
      </c>
      <c r="O203" s="68" t="s">
        <v>4036</v>
      </c>
      <c r="Q203" s="61" t="s">
        <v>540</v>
      </c>
      <c r="R203" s="6"/>
      <c r="S203" s="6" t="s">
        <v>3505</v>
      </c>
      <c r="T203" s="6" t="s">
        <v>3506</v>
      </c>
      <c r="U203" s="6"/>
      <c r="V203" s="6"/>
      <c r="W203" s="6"/>
      <c r="X203" s="6"/>
      <c r="Y203" s="6"/>
      <c r="Z203" s="6"/>
      <c r="AA203" s="6"/>
      <c r="AB203" s="6"/>
      <c r="AC203" s="6"/>
      <c r="AD203" s="6"/>
      <c r="AE203" s="6"/>
      <c r="AF203" s="6"/>
      <c r="AG203" s="6"/>
      <c r="AH203" s="6"/>
      <c r="AI203" s="6"/>
      <c r="AJ203" s="6"/>
      <c r="AK203" s="6"/>
      <c r="AL203" s="6"/>
      <c r="AM203" s="6"/>
    </row>
    <row r="204" ht="28" spans="1:39">
      <c r="A204" s="6" t="s">
        <v>872</v>
      </c>
      <c r="B204" s="7">
        <v>46149</v>
      </c>
      <c r="C204" s="6" t="str">
        <f>YEAR(B204)&amp;"年"&amp;MONTH(B204)&amp;"月"</f>
        <v>2026年5月</v>
      </c>
      <c r="D204" s="94" t="s">
        <v>4030</v>
      </c>
      <c r="E204" s="40" t="s">
        <v>42</v>
      </c>
      <c r="F204" s="6" t="s">
        <v>10</v>
      </c>
      <c r="G204" s="95" t="s">
        <v>4037</v>
      </c>
      <c r="H204" s="104" t="s">
        <v>82</v>
      </c>
      <c r="I204" s="61" t="s">
        <v>3687</v>
      </c>
      <c r="J204" s="68" t="s">
        <v>4038</v>
      </c>
      <c r="K204" s="76"/>
      <c r="L204" s="76"/>
      <c r="M204" s="76">
        <v>10000000</v>
      </c>
      <c r="N204" s="61" t="s">
        <v>1172</v>
      </c>
      <c r="O204" s="68" t="s">
        <v>4039</v>
      </c>
      <c r="Q204" s="61" t="s">
        <v>4040</v>
      </c>
      <c r="R204" s="8"/>
      <c r="S204" s="6" t="s">
        <v>3505</v>
      </c>
      <c r="T204" s="6" t="s">
        <v>3506</v>
      </c>
      <c r="U204" s="6"/>
      <c r="V204" s="6"/>
      <c r="W204" s="6"/>
      <c r="X204" s="6"/>
      <c r="Y204" s="6"/>
      <c r="Z204" s="6"/>
      <c r="AA204" s="6"/>
      <c r="AB204" s="6"/>
      <c r="AC204" s="6"/>
      <c r="AD204" s="6"/>
      <c r="AE204" s="6"/>
      <c r="AF204" s="6"/>
      <c r="AG204" s="6"/>
      <c r="AH204" s="6"/>
      <c r="AI204" s="6"/>
      <c r="AJ204" s="6"/>
      <c r="AK204" s="6"/>
      <c r="AL204" s="6"/>
      <c r="AM204" s="6"/>
    </row>
    <row r="205" ht="30" customHeight="1" spans="1:39">
      <c r="A205" s="6" t="s">
        <v>872</v>
      </c>
      <c r="B205" s="7">
        <v>46151</v>
      </c>
      <c r="C205" s="6" t="str">
        <f>YEAR(B205)&amp;"年"&amp;MONTH(B205)&amp;"月"</f>
        <v>2026年5月</v>
      </c>
      <c r="D205" s="6" t="s">
        <v>4041</v>
      </c>
      <c r="E205" s="40" t="s">
        <v>40</v>
      </c>
      <c r="F205" s="6" t="s">
        <v>11</v>
      </c>
      <c r="G205" s="95" t="s">
        <v>3875</v>
      </c>
      <c r="H205" s="104" t="s">
        <v>82</v>
      </c>
      <c r="I205" s="61"/>
      <c r="J205" s="61"/>
      <c r="K205" s="61"/>
      <c r="L205" s="61"/>
      <c r="M205" s="61" t="s">
        <v>2232</v>
      </c>
      <c r="N205" s="61" t="s">
        <v>2232</v>
      </c>
      <c r="O205" s="61" t="s">
        <v>4042</v>
      </c>
      <c r="Q205" s="61" t="s">
        <v>685</v>
      </c>
      <c r="R205" s="6"/>
      <c r="S205" s="6" t="s">
        <v>3505</v>
      </c>
      <c r="T205" s="6" t="s">
        <v>3506</v>
      </c>
      <c r="U205" s="6"/>
      <c r="V205" s="6"/>
      <c r="W205" s="6"/>
      <c r="X205" s="6"/>
      <c r="Y205" s="6"/>
      <c r="Z205" s="6"/>
      <c r="AA205" s="6"/>
      <c r="AB205" s="6"/>
      <c r="AC205" s="6"/>
      <c r="AD205" s="6"/>
      <c r="AE205" s="6"/>
      <c r="AF205" s="6"/>
      <c r="AG205" s="6"/>
      <c r="AH205" s="6"/>
      <c r="AI205" s="6"/>
      <c r="AJ205" s="6"/>
      <c r="AK205" s="6"/>
      <c r="AL205" s="6"/>
      <c r="AM205" s="6"/>
    </row>
    <row r="206" ht="30" customHeight="1" spans="1:39">
      <c r="A206" s="10"/>
      <c r="C206" s="10"/>
      <c r="E206" s="10"/>
      <c r="F206" s="10"/>
      <c r="G206" s="95" t="s">
        <v>3827</v>
      </c>
      <c r="H206" s="10"/>
      <c r="I206" s="61"/>
      <c r="J206" s="61" t="s">
        <v>2232</v>
      </c>
      <c r="K206" s="61"/>
      <c r="L206" s="61"/>
      <c r="M206" s="10"/>
      <c r="N206" s="10"/>
      <c r="O206" s="61" t="s">
        <v>3828</v>
      </c>
      <c r="Q206" s="61" t="s">
        <v>1500</v>
      </c>
      <c r="R206" s="6"/>
      <c r="S206" s="6" t="s">
        <v>3545</v>
      </c>
      <c r="T206" s="6" t="s">
        <v>3506</v>
      </c>
      <c r="U206" s="6"/>
      <c r="V206" s="6"/>
      <c r="W206" s="6"/>
      <c r="X206" s="6"/>
      <c r="Y206" s="6"/>
      <c r="Z206" s="6"/>
      <c r="AA206" s="6"/>
      <c r="AB206" s="6"/>
      <c r="AC206" s="6"/>
      <c r="AD206" s="6"/>
      <c r="AE206" s="6"/>
      <c r="AF206" s="6"/>
      <c r="AG206" s="6"/>
      <c r="AH206" s="6"/>
      <c r="AI206" s="6"/>
      <c r="AJ206" s="6"/>
      <c r="AK206" s="6"/>
      <c r="AL206" s="6"/>
      <c r="AM206" s="6"/>
    </row>
    <row r="207" ht="30" customHeight="1" spans="1:39">
      <c r="A207" s="10"/>
      <c r="C207" s="10"/>
      <c r="E207" s="10"/>
      <c r="F207" s="10"/>
      <c r="G207" s="95" t="s">
        <v>3873</v>
      </c>
      <c r="H207" s="10"/>
      <c r="I207" s="61"/>
      <c r="J207" s="61"/>
      <c r="K207" s="61"/>
      <c r="L207" s="61"/>
      <c r="M207" s="10"/>
      <c r="N207" s="10"/>
      <c r="O207" s="61" t="s">
        <v>3874</v>
      </c>
      <c r="Q207" s="61" t="s">
        <v>685</v>
      </c>
      <c r="R207" s="6"/>
      <c r="S207" s="6" t="s">
        <v>3505</v>
      </c>
      <c r="T207" s="6" t="s">
        <v>3506</v>
      </c>
      <c r="U207" s="6"/>
      <c r="V207" s="6"/>
      <c r="W207" s="6"/>
      <c r="X207" s="6"/>
      <c r="Y207" s="6"/>
      <c r="Z207" s="6"/>
      <c r="AA207" s="6"/>
      <c r="AB207" s="6"/>
      <c r="AC207" s="6"/>
      <c r="AD207" s="6"/>
      <c r="AE207" s="6"/>
      <c r="AF207" s="6"/>
      <c r="AG207" s="6"/>
      <c r="AH207" s="6"/>
      <c r="AI207" s="6"/>
      <c r="AJ207" s="6"/>
      <c r="AK207" s="6"/>
      <c r="AL207" s="6"/>
      <c r="AM207" s="6"/>
    </row>
    <row r="208" ht="30" customHeight="1" spans="1:39">
      <c r="A208" s="6" t="s">
        <v>872</v>
      </c>
      <c r="B208" s="7">
        <v>46154</v>
      </c>
      <c r="C208" s="6" t="str">
        <f>YEAR(B208)&amp;"年"&amp;MONTH(B208)&amp;"月"</f>
        <v>2026年5月</v>
      </c>
      <c r="D208" s="6" t="s">
        <v>4030</v>
      </c>
      <c r="E208" s="40" t="s">
        <v>42</v>
      </c>
      <c r="F208" s="6" t="s">
        <v>10</v>
      </c>
      <c r="G208" s="95" t="s">
        <v>4043</v>
      </c>
      <c r="H208" s="104" t="s">
        <v>82</v>
      </c>
      <c r="I208" s="61" t="s">
        <v>4034</v>
      </c>
      <c r="J208" s="68" t="s">
        <v>4044</v>
      </c>
      <c r="K208" s="76"/>
      <c r="L208" s="76"/>
      <c r="M208" s="76">
        <v>263790000</v>
      </c>
      <c r="N208" s="61" t="s">
        <v>1172</v>
      </c>
      <c r="O208" s="68" t="s">
        <v>4045</v>
      </c>
      <c r="Q208" s="61" t="s">
        <v>774</v>
      </c>
      <c r="R208" s="6"/>
      <c r="S208" s="6" t="s">
        <v>3505</v>
      </c>
      <c r="T208" s="6" t="s">
        <v>3506</v>
      </c>
      <c r="U208" s="6"/>
      <c r="V208" s="6"/>
      <c r="W208" s="6"/>
      <c r="X208" s="6"/>
      <c r="Y208" s="6"/>
      <c r="Z208" s="6"/>
      <c r="AA208" s="6"/>
      <c r="AB208" s="6"/>
      <c r="AC208" s="6"/>
      <c r="AD208" s="6"/>
      <c r="AE208" s="6"/>
      <c r="AF208" s="6"/>
      <c r="AG208" s="6"/>
      <c r="AH208" s="6"/>
      <c r="AI208" s="6"/>
      <c r="AJ208" s="6"/>
      <c r="AK208" s="6"/>
      <c r="AL208" s="6"/>
      <c r="AM208" s="6"/>
    </row>
    <row r="209" ht="30" customHeight="1" spans="1:39">
      <c r="A209" s="6" t="s">
        <v>142</v>
      </c>
      <c r="B209" s="7">
        <v>46154</v>
      </c>
      <c r="C209" s="6" t="str">
        <f>YEAR(B209)&amp;"年"&amp;MONTH(B209)&amp;"月"</f>
        <v>2026年5月</v>
      </c>
      <c r="D209" s="6" t="s">
        <v>4046</v>
      </c>
      <c r="E209" s="40" t="s">
        <v>3577</v>
      </c>
      <c r="F209" s="6" t="s">
        <v>10</v>
      </c>
      <c r="G209" s="95" t="s">
        <v>4047</v>
      </c>
      <c r="H209" s="104" t="s">
        <v>82</v>
      </c>
      <c r="I209" s="61" t="s">
        <v>2232</v>
      </c>
      <c r="J209" s="61"/>
      <c r="K209" s="61"/>
      <c r="L209" s="61"/>
      <c r="M209" s="61" t="s">
        <v>2232</v>
      </c>
      <c r="N209" s="61" t="s">
        <v>2232</v>
      </c>
      <c r="O209" s="61" t="s">
        <v>4048</v>
      </c>
      <c r="Q209" s="61"/>
      <c r="R209" s="6"/>
      <c r="S209" s="6"/>
      <c r="T209" s="6"/>
      <c r="U209" s="6"/>
      <c r="V209" s="6"/>
      <c r="W209" s="6"/>
      <c r="X209" s="6"/>
      <c r="Y209" s="6"/>
      <c r="Z209" s="6"/>
      <c r="AA209" s="6"/>
      <c r="AB209" s="6"/>
      <c r="AC209" s="6"/>
      <c r="AD209" s="6"/>
      <c r="AE209" s="6"/>
      <c r="AF209" s="6"/>
      <c r="AG209" s="6"/>
      <c r="AH209" s="6"/>
      <c r="AI209" s="6"/>
      <c r="AJ209" s="6"/>
      <c r="AK209" s="6"/>
      <c r="AL209" s="6"/>
      <c r="AM209" s="6"/>
    </row>
    <row r="210" ht="14" spans="1:39">
      <c r="A210" s="10"/>
      <c r="C210" s="10"/>
      <c r="E210" s="10"/>
      <c r="F210" s="10"/>
      <c r="G210" s="10"/>
      <c r="H210" s="10"/>
      <c r="I210" s="61"/>
      <c r="J210" s="61"/>
      <c r="K210" s="61"/>
      <c r="L210" s="61"/>
      <c r="M210" s="10"/>
      <c r="N210" s="10"/>
      <c r="O210" s="95" t="s">
        <v>4049</v>
      </c>
      <c r="Q210" s="61"/>
      <c r="R210" s="6"/>
      <c r="S210" s="6"/>
      <c r="T210" s="6"/>
      <c r="U210" s="6"/>
      <c r="V210" s="6"/>
      <c r="W210" s="6"/>
      <c r="X210" s="6"/>
      <c r="Y210" s="6"/>
      <c r="Z210" s="6"/>
      <c r="AA210" s="6"/>
      <c r="AB210" s="6"/>
      <c r="AC210" s="6"/>
      <c r="AD210" s="6"/>
      <c r="AE210" s="6"/>
      <c r="AF210" s="6"/>
      <c r="AG210" s="6"/>
      <c r="AH210" s="6"/>
      <c r="AI210" s="6"/>
      <c r="AJ210" s="6"/>
      <c r="AK210" s="6"/>
      <c r="AL210" s="6"/>
      <c r="AM210" s="6"/>
    </row>
    <row r="211" ht="14" spans="1:39">
      <c r="A211" s="10"/>
      <c r="C211" s="10"/>
      <c r="E211" s="10"/>
      <c r="F211" s="10"/>
      <c r="G211" s="10"/>
      <c r="H211" s="10"/>
      <c r="I211" s="6"/>
      <c r="J211" s="61"/>
      <c r="K211" s="61"/>
      <c r="L211" s="61"/>
      <c r="M211" s="10"/>
      <c r="N211" s="10"/>
      <c r="O211" s="61" t="s">
        <v>4050</v>
      </c>
      <c r="Q211" s="61"/>
      <c r="R211" s="6"/>
      <c r="S211" s="6"/>
      <c r="T211" s="6"/>
      <c r="U211" s="6"/>
      <c r="V211" s="6"/>
      <c r="W211" s="6"/>
      <c r="X211" s="6"/>
      <c r="Y211" s="6"/>
      <c r="Z211" s="6"/>
      <c r="AA211" s="6"/>
      <c r="AB211" s="6"/>
      <c r="AC211" s="6"/>
      <c r="AD211" s="6"/>
      <c r="AE211" s="6"/>
      <c r="AF211" s="6"/>
      <c r="AG211" s="6"/>
      <c r="AH211" s="6"/>
      <c r="AI211" s="6"/>
      <c r="AJ211" s="6"/>
      <c r="AK211" s="6"/>
      <c r="AL211" s="6"/>
      <c r="AM211" s="6"/>
    </row>
    <row r="212" ht="42" spans="1:39">
      <c r="A212" s="6" t="s">
        <v>142</v>
      </c>
      <c r="B212" s="7">
        <v>46155</v>
      </c>
      <c r="C212" s="6" t="str">
        <f t="shared" ref="C212:C217" si="10">YEAR(B212)&amp;"年"&amp;MONTH(B212)&amp;"月"</f>
        <v>2026年5月</v>
      </c>
      <c r="D212" s="6" t="s">
        <v>4051</v>
      </c>
      <c r="E212" s="40" t="s">
        <v>40</v>
      </c>
      <c r="F212" s="6" t="s">
        <v>11</v>
      </c>
      <c r="G212" s="95" t="s">
        <v>4052</v>
      </c>
      <c r="H212" s="104" t="s">
        <v>82</v>
      </c>
      <c r="I212" s="61"/>
      <c r="J212" s="61"/>
      <c r="K212" s="61"/>
      <c r="L212" s="61"/>
      <c r="M212" s="61" t="s">
        <v>2232</v>
      </c>
      <c r="N212" s="61" t="s">
        <v>2232</v>
      </c>
      <c r="O212" s="61"/>
      <c r="Q212" s="61"/>
      <c r="R212" s="6"/>
      <c r="S212" s="6"/>
      <c r="T212" s="6"/>
      <c r="U212" s="6"/>
      <c r="V212" s="6"/>
      <c r="W212" s="6"/>
      <c r="X212" s="6"/>
      <c r="Y212" s="6"/>
      <c r="Z212" s="6"/>
      <c r="AA212" s="6"/>
      <c r="AB212" s="6"/>
      <c r="AC212" s="6"/>
      <c r="AD212" s="6"/>
      <c r="AE212" s="6"/>
      <c r="AF212" s="6"/>
      <c r="AG212" s="6"/>
      <c r="AH212" s="6"/>
      <c r="AI212" s="6"/>
      <c r="AJ212" s="6"/>
      <c r="AK212" s="6"/>
      <c r="AL212" s="6"/>
      <c r="AM212" s="6"/>
    </row>
    <row r="213" ht="28" spans="1:39">
      <c r="A213" s="6" t="s">
        <v>872</v>
      </c>
      <c r="B213" s="7">
        <v>46155</v>
      </c>
      <c r="C213" s="6" t="str">
        <f t="shared" si="10"/>
        <v>2026年5月</v>
      </c>
      <c r="D213" s="92" t="s">
        <v>4053</v>
      </c>
      <c r="E213" s="40" t="s">
        <v>40</v>
      </c>
      <c r="F213" s="6" t="s">
        <v>10</v>
      </c>
      <c r="G213" s="95" t="s">
        <v>4054</v>
      </c>
      <c r="H213" s="104" t="s">
        <v>82</v>
      </c>
      <c r="I213" s="61" t="s">
        <v>1707</v>
      </c>
      <c r="J213" s="61"/>
      <c r="K213" s="61"/>
      <c r="L213" s="61"/>
      <c r="M213" s="61" t="s">
        <v>2232</v>
      </c>
      <c r="N213" s="61" t="s">
        <v>2232</v>
      </c>
      <c r="O213" s="68" t="s">
        <v>4055</v>
      </c>
      <c r="Q213" s="61" t="s">
        <v>1537</v>
      </c>
      <c r="R213" s="6"/>
      <c r="S213" s="6" t="s">
        <v>3505</v>
      </c>
      <c r="T213" s="6" t="s">
        <v>3506</v>
      </c>
      <c r="U213" s="6"/>
      <c r="V213" s="87">
        <v>46162</v>
      </c>
      <c r="W213" s="6"/>
      <c r="X213" s="6"/>
      <c r="Y213" s="6"/>
      <c r="Z213" s="6"/>
      <c r="AA213" s="6"/>
      <c r="AB213" s="6"/>
      <c r="AC213" s="6"/>
      <c r="AD213" s="6"/>
      <c r="AE213" s="6"/>
      <c r="AF213" s="6"/>
      <c r="AG213" s="6"/>
      <c r="AH213" s="6"/>
      <c r="AI213" s="6"/>
      <c r="AJ213" s="6"/>
      <c r="AK213" s="6"/>
      <c r="AL213" s="6"/>
      <c r="AM213" s="6"/>
    </row>
    <row r="214" ht="28" spans="1:39">
      <c r="A214" s="6" t="s">
        <v>872</v>
      </c>
      <c r="B214" s="7">
        <v>46157</v>
      </c>
      <c r="C214" s="6" t="str">
        <f t="shared" si="10"/>
        <v>2026年5月</v>
      </c>
      <c r="D214" s="92" t="s">
        <v>4030</v>
      </c>
      <c r="E214" s="40" t="s">
        <v>42</v>
      </c>
      <c r="F214" s="6" t="s">
        <v>10</v>
      </c>
      <c r="G214" s="95" t="s">
        <v>4056</v>
      </c>
      <c r="H214" s="104" t="s">
        <v>82</v>
      </c>
      <c r="I214" s="61" t="s">
        <v>3687</v>
      </c>
      <c r="J214" s="61"/>
      <c r="K214" s="61"/>
      <c r="L214" s="61"/>
      <c r="M214" s="61" t="s">
        <v>2232</v>
      </c>
      <c r="N214" s="61" t="s">
        <v>2232</v>
      </c>
      <c r="O214" s="68" t="s">
        <v>4057</v>
      </c>
      <c r="Q214" s="61" t="s">
        <v>2436</v>
      </c>
      <c r="R214" s="6" t="s">
        <v>4058</v>
      </c>
      <c r="S214" s="6" t="s">
        <v>3505</v>
      </c>
      <c r="T214" s="6" t="s">
        <v>3506</v>
      </c>
      <c r="U214" s="6" t="s">
        <v>4059</v>
      </c>
      <c r="V214" s="6"/>
      <c r="W214" s="6"/>
      <c r="X214" s="6"/>
      <c r="Y214" s="6"/>
      <c r="Z214" s="6"/>
      <c r="AA214" s="6"/>
      <c r="AB214" s="6"/>
      <c r="AC214" s="6"/>
      <c r="AD214" s="6"/>
      <c r="AE214" s="6"/>
      <c r="AF214" s="6"/>
      <c r="AG214" s="6"/>
      <c r="AH214" s="6"/>
      <c r="AI214" s="6"/>
      <c r="AJ214" s="6"/>
      <c r="AK214" s="6"/>
      <c r="AL214" s="6"/>
      <c r="AM214" s="6"/>
    </row>
    <row r="215" ht="28" spans="1:39">
      <c r="A215" s="6" t="s">
        <v>872</v>
      </c>
      <c r="B215" s="7">
        <v>46161</v>
      </c>
      <c r="C215" s="6" t="str">
        <f t="shared" si="10"/>
        <v>2026年5月</v>
      </c>
      <c r="D215" s="6" t="s">
        <v>4060</v>
      </c>
      <c r="E215" s="40" t="s">
        <v>3577</v>
      </c>
      <c r="F215" s="6" t="s">
        <v>11</v>
      </c>
      <c r="G215" s="95" t="s">
        <v>3827</v>
      </c>
      <c r="H215" s="104" t="s">
        <v>82</v>
      </c>
      <c r="I215" s="61"/>
      <c r="J215" s="61"/>
      <c r="K215" s="61"/>
      <c r="L215" s="61"/>
      <c r="M215" s="61" t="s">
        <v>2232</v>
      </c>
      <c r="N215" s="61" t="s">
        <v>2232</v>
      </c>
      <c r="O215" s="61" t="s">
        <v>3828</v>
      </c>
      <c r="Q215" s="61" t="s">
        <v>1500</v>
      </c>
      <c r="R215" s="6"/>
      <c r="S215" s="6" t="s">
        <v>3545</v>
      </c>
      <c r="T215" s="6" t="s">
        <v>3506</v>
      </c>
      <c r="U215" s="6"/>
      <c r="V215" s="6"/>
      <c r="W215" s="6"/>
      <c r="X215" s="6"/>
      <c r="Y215" s="6"/>
      <c r="Z215" s="6"/>
      <c r="AA215" s="6"/>
      <c r="AB215" s="6"/>
      <c r="AC215" s="6"/>
      <c r="AD215" s="6"/>
      <c r="AE215" s="6"/>
      <c r="AF215" s="6"/>
      <c r="AG215" s="6"/>
      <c r="AH215" s="6"/>
      <c r="AI215" s="6"/>
      <c r="AJ215" s="6"/>
      <c r="AK215" s="6"/>
      <c r="AL215" s="6"/>
      <c r="AM215" s="6"/>
    </row>
    <row r="216" ht="28" spans="1:39">
      <c r="A216" s="6" t="s">
        <v>872</v>
      </c>
      <c r="B216" s="7">
        <v>46161</v>
      </c>
      <c r="C216" s="6" t="str">
        <f t="shared" si="10"/>
        <v>2026年5月</v>
      </c>
      <c r="D216" s="6" t="s">
        <v>4061</v>
      </c>
      <c r="E216" s="40" t="s">
        <v>3577</v>
      </c>
      <c r="F216" s="6" t="s">
        <v>10</v>
      </c>
      <c r="G216" s="95" t="s">
        <v>4062</v>
      </c>
      <c r="H216" s="104" t="s">
        <v>82</v>
      </c>
      <c r="I216" s="61" t="s">
        <v>3700</v>
      </c>
      <c r="J216" s="61"/>
      <c r="K216" s="61"/>
      <c r="L216" s="61"/>
      <c r="M216" s="61" t="s">
        <v>2232</v>
      </c>
      <c r="N216" s="61" t="s">
        <v>2232</v>
      </c>
      <c r="O216" s="68" t="s">
        <v>4063</v>
      </c>
      <c r="Q216" s="61" t="s">
        <v>4064</v>
      </c>
      <c r="R216" s="6"/>
      <c r="S216" s="6" t="s">
        <v>3505</v>
      </c>
      <c r="T216" s="6" t="s">
        <v>3506</v>
      </c>
      <c r="U216" s="6"/>
      <c r="V216" s="6"/>
      <c r="W216" s="6"/>
      <c r="X216" s="6"/>
      <c r="Y216" s="6"/>
      <c r="Z216" s="6"/>
      <c r="AA216" s="6"/>
      <c r="AB216" s="6"/>
      <c r="AC216" s="6"/>
      <c r="AD216" s="6"/>
      <c r="AE216" s="6"/>
      <c r="AF216" s="6"/>
      <c r="AG216" s="6"/>
      <c r="AH216" s="6"/>
      <c r="AI216" s="6"/>
      <c r="AJ216" s="6"/>
      <c r="AK216" s="6"/>
      <c r="AL216" s="6"/>
      <c r="AM216" s="6"/>
    </row>
    <row r="217" ht="30" customHeight="1" spans="1:39">
      <c r="A217" s="6" t="s">
        <v>872</v>
      </c>
      <c r="B217" s="7">
        <v>46162</v>
      </c>
      <c r="C217" s="6" t="str">
        <f t="shared" si="10"/>
        <v>2026年5月</v>
      </c>
      <c r="D217" s="6" t="s">
        <v>4065</v>
      </c>
      <c r="E217" s="40" t="s">
        <v>42</v>
      </c>
      <c r="F217" s="6" t="s">
        <v>10</v>
      </c>
      <c r="G217" s="95" t="s">
        <v>4066</v>
      </c>
      <c r="H217" s="104" t="s">
        <v>290</v>
      </c>
      <c r="I217" s="61" t="s">
        <v>3700</v>
      </c>
      <c r="J217" s="61"/>
      <c r="K217" s="61"/>
      <c r="L217" s="61"/>
      <c r="M217" s="61" t="s">
        <v>2232</v>
      </c>
      <c r="N217" s="61" t="s">
        <v>2232</v>
      </c>
      <c r="O217" s="68" t="s">
        <v>4067</v>
      </c>
      <c r="Q217" s="61" t="s">
        <v>4068</v>
      </c>
      <c r="R217" s="6"/>
      <c r="S217" s="6"/>
      <c r="T217" s="6"/>
      <c r="U217" s="6"/>
      <c r="V217" s="6"/>
      <c r="W217" s="6"/>
      <c r="X217" s="6"/>
      <c r="Y217" s="6"/>
      <c r="Z217" s="6"/>
      <c r="AA217" s="6"/>
      <c r="AB217" s="6"/>
      <c r="AC217" s="6"/>
      <c r="AD217" s="6"/>
      <c r="AE217" s="6"/>
      <c r="AF217" s="6"/>
      <c r="AG217" s="6"/>
      <c r="AH217" s="6"/>
      <c r="AI217" s="6"/>
      <c r="AJ217" s="6"/>
      <c r="AK217" s="6"/>
      <c r="AL217" s="6"/>
      <c r="AM217" s="6"/>
    </row>
    <row r="218" ht="14" spans="1:39">
      <c r="A218" s="10"/>
      <c r="C218" s="10"/>
      <c r="E218" s="10"/>
      <c r="F218" s="10"/>
      <c r="G218" s="10"/>
      <c r="H218" s="10"/>
      <c r="I218" s="10"/>
      <c r="J218" s="61"/>
      <c r="K218" s="61"/>
      <c r="L218" s="61"/>
      <c r="M218" s="10"/>
      <c r="N218" s="10"/>
      <c r="O218" s="68" t="s">
        <v>4069</v>
      </c>
      <c r="Q218" s="10"/>
      <c r="R218" s="6"/>
      <c r="S218" s="6"/>
      <c r="T218" s="6"/>
      <c r="U218" s="6"/>
      <c r="V218" s="6"/>
      <c r="W218" s="6"/>
      <c r="X218" s="6"/>
      <c r="Y218" s="6"/>
      <c r="Z218" s="6"/>
      <c r="AA218" s="6"/>
      <c r="AB218" s="6"/>
      <c r="AC218" s="6"/>
      <c r="AD218" s="6"/>
      <c r="AE218" s="6"/>
      <c r="AF218" s="6"/>
      <c r="AG218" s="6"/>
      <c r="AH218" s="6"/>
      <c r="AI218" s="6"/>
      <c r="AJ218" s="6"/>
      <c r="AK218" s="6"/>
      <c r="AL218" s="6"/>
      <c r="AM218" s="6"/>
    </row>
    <row r="219" ht="14" spans="1:39">
      <c r="A219" s="10"/>
      <c r="C219" s="10"/>
      <c r="E219" s="10"/>
      <c r="F219" s="10"/>
      <c r="G219" s="10"/>
      <c r="H219" s="10"/>
      <c r="I219" s="10"/>
      <c r="J219" s="61"/>
      <c r="K219" s="61"/>
      <c r="L219" s="61"/>
      <c r="M219" s="10"/>
      <c r="N219" s="10"/>
      <c r="O219" s="68" t="s">
        <v>4070</v>
      </c>
      <c r="Q219" s="10"/>
      <c r="R219" s="6"/>
      <c r="S219" s="6"/>
      <c r="T219" s="6"/>
      <c r="U219" s="6"/>
      <c r="V219" s="6"/>
      <c r="W219" s="6"/>
      <c r="X219" s="6"/>
      <c r="Y219" s="6"/>
      <c r="Z219" s="6"/>
      <c r="AA219" s="6"/>
      <c r="AB219" s="6"/>
      <c r="AC219" s="6"/>
      <c r="AD219" s="6"/>
      <c r="AE219" s="6"/>
      <c r="AF219" s="6"/>
      <c r="AG219" s="6"/>
      <c r="AH219" s="6"/>
      <c r="AI219" s="6"/>
      <c r="AJ219" s="6"/>
      <c r="AK219" s="6"/>
      <c r="AL219" s="6"/>
      <c r="AM219" s="6"/>
    </row>
    <row r="220" ht="14" spans="1:39">
      <c r="A220" s="10"/>
      <c r="C220" s="10"/>
      <c r="E220" s="10"/>
      <c r="F220" s="10"/>
      <c r="G220" s="10"/>
      <c r="H220" s="10"/>
      <c r="I220" s="10"/>
      <c r="J220" s="61"/>
      <c r="K220" s="61"/>
      <c r="L220" s="61"/>
      <c r="M220" s="10"/>
      <c r="N220" s="10"/>
      <c r="O220" s="68" t="s">
        <v>4071</v>
      </c>
      <c r="Q220" s="10"/>
      <c r="R220" s="6"/>
      <c r="S220" s="6"/>
      <c r="T220" s="6"/>
      <c r="U220" s="6"/>
      <c r="V220" s="6"/>
      <c r="W220" s="6"/>
      <c r="X220" s="6"/>
      <c r="Y220" s="6"/>
      <c r="Z220" s="6"/>
      <c r="AA220" s="6"/>
      <c r="AB220" s="6"/>
      <c r="AC220" s="6"/>
      <c r="AD220" s="6"/>
      <c r="AE220" s="6"/>
      <c r="AF220" s="6"/>
      <c r="AG220" s="6"/>
      <c r="AH220" s="6"/>
      <c r="AI220" s="6"/>
      <c r="AJ220" s="6"/>
      <c r="AK220" s="6"/>
      <c r="AL220" s="6"/>
      <c r="AM220" s="6"/>
    </row>
    <row r="221" ht="14" spans="1:39">
      <c r="A221" s="10"/>
      <c r="C221" s="10"/>
      <c r="E221" s="10"/>
      <c r="F221" s="10"/>
      <c r="G221" s="10"/>
      <c r="H221" s="10"/>
      <c r="I221" s="10"/>
      <c r="J221" s="61"/>
      <c r="K221" s="61"/>
      <c r="L221" s="61"/>
      <c r="M221" s="10"/>
      <c r="N221" s="10"/>
      <c r="O221" s="68" t="s">
        <v>4072</v>
      </c>
      <c r="Q221" s="10"/>
      <c r="R221" s="6"/>
      <c r="S221" s="6"/>
      <c r="T221" s="6"/>
      <c r="U221" s="6"/>
      <c r="V221" s="6"/>
      <c r="W221" s="6"/>
      <c r="X221" s="6"/>
      <c r="Y221" s="6"/>
      <c r="Z221" s="6"/>
      <c r="AA221" s="6"/>
      <c r="AB221" s="6"/>
      <c r="AC221" s="6"/>
      <c r="AD221" s="6"/>
      <c r="AE221" s="6"/>
      <c r="AF221" s="6"/>
      <c r="AG221" s="6"/>
      <c r="AH221" s="6"/>
      <c r="AI221" s="6"/>
      <c r="AJ221" s="6"/>
      <c r="AK221" s="6"/>
      <c r="AL221" s="6"/>
      <c r="AM221" s="6"/>
    </row>
    <row r="222" ht="14" spans="1:39">
      <c r="A222" s="10"/>
      <c r="C222" s="10"/>
      <c r="E222" s="10"/>
      <c r="F222" s="10"/>
      <c r="G222" s="10"/>
      <c r="H222" s="10"/>
      <c r="I222" s="10"/>
      <c r="J222" s="61"/>
      <c r="K222" s="61"/>
      <c r="L222" s="61"/>
      <c r="M222" s="10"/>
      <c r="N222" s="10"/>
      <c r="O222" s="68" t="s">
        <v>4073</v>
      </c>
      <c r="Q222" s="10"/>
      <c r="R222" s="6"/>
      <c r="S222" s="6"/>
      <c r="T222" s="6"/>
      <c r="U222" s="6"/>
      <c r="V222" s="6"/>
      <c r="W222" s="6"/>
      <c r="X222" s="6"/>
      <c r="Y222" s="6"/>
      <c r="Z222" s="6"/>
      <c r="AA222" s="6"/>
      <c r="AB222" s="6"/>
      <c r="AC222" s="6"/>
      <c r="AD222" s="6"/>
      <c r="AE222" s="6"/>
      <c r="AF222" s="6"/>
      <c r="AG222" s="6"/>
      <c r="AH222" s="6"/>
      <c r="AI222" s="6"/>
      <c r="AJ222" s="6"/>
      <c r="AK222" s="6"/>
      <c r="AL222" s="6"/>
      <c r="AM222" s="6"/>
    </row>
    <row r="223" ht="30" customHeight="1" spans="1:39">
      <c r="A223" s="10"/>
      <c r="C223" s="10"/>
      <c r="E223" s="10"/>
      <c r="F223" s="10"/>
      <c r="G223" s="95" t="s">
        <v>4074</v>
      </c>
      <c r="H223" s="104" t="s">
        <v>290</v>
      </c>
      <c r="I223" s="10"/>
      <c r="J223" s="61"/>
      <c r="K223" s="61"/>
      <c r="L223" s="61"/>
      <c r="M223" s="10"/>
      <c r="N223" s="10"/>
      <c r="O223" s="68" t="s">
        <v>4075</v>
      </c>
      <c r="Q223" s="61" t="s">
        <v>813</v>
      </c>
      <c r="R223" s="6"/>
      <c r="S223" s="6"/>
      <c r="T223" s="6"/>
      <c r="U223" s="6"/>
      <c r="V223" s="6"/>
      <c r="W223" s="6"/>
      <c r="X223" s="6"/>
      <c r="Y223" s="6"/>
      <c r="Z223" s="6"/>
      <c r="AA223" s="6"/>
      <c r="AB223" s="6"/>
      <c r="AC223" s="6"/>
      <c r="AD223" s="6"/>
      <c r="AE223" s="6"/>
      <c r="AF223" s="6"/>
      <c r="AG223" s="6"/>
      <c r="AH223" s="6"/>
      <c r="AI223" s="6"/>
      <c r="AJ223" s="6"/>
      <c r="AK223" s="6"/>
      <c r="AL223" s="6"/>
      <c r="AM223" s="6"/>
    </row>
    <row r="224" ht="30" customHeight="1" spans="1:39">
      <c r="A224" s="10"/>
      <c r="C224" s="10"/>
      <c r="E224" s="10"/>
      <c r="F224" s="10"/>
      <c r="G224" s="10"/>
      <c r="H224" s="10"/>
      <c r="I224" s="10"/>
      <c r="J224" s="61"/>
      <c r="K224" s="61"/>
      <c r="L224" s="61"/>
      <c r="M224" s="10"/>
      <c r="N224" s="10"/>
      <c r="O224" s="68" t="s">
        <v>4076</v>
      </c>
      <c r="Q224" s="10"/>
      <c r="R224" s="6"/>
      <c r="S224" s="6"/>
      <c r="T224" s="6"/>
      <c r="U224" s="6"/>
      <c r="V224" s="6"/>
      <c r="W224" s="6"/>
      <c r="X224" s="6"/>
      <c r="Y224" s="6"/>
      <c r="Z224" s="6"/>
      <c r="AA224" s="6"/>
      <c r="AB224" s="6"/>
      <c r="AC224" s="6"/>
      <c r="AD224" s="6"/>
      <c r="AE224" s="6"/>
      <c r="AF224" s="6"/>
      <c r="AG224" s="6"/>
      <c r="AH224" s="6"/>
      <c r="AI224" s="6"/>
      <c r="AJ224" s="6"/>
      <c r="AK224" s="6"/>
      <c r="AL224" s="6"/>
      <c r="AM224" s="6"/>
    </row>
    <row r="225" ht="14" spans="1:39">
      <c r="A225" s="10"/>
      <c r="C225" s="10"/>
      <c r="E225" s="10"/>
      <c r="F225" s="10"/>
      <c r="G225" s="10"/>
      <c r="H225" s="10"/>
      <c r="I225" s="10"/>
      <c r="J225" s="61"/>
      <c r="K225" s="61"/>
      <c r="L225" s="61"/>
      <c r="M225" s="10"/>
      <c r="N225" s="10"/>
      <c r="O225" s="68" t="s">
        <v>4077</v>
      </c>
      <c r="Q225" s="10"/>
      <c r="R225" s="6"/>
      <c r="S225" s="6"/>
      <c r="T225" s="6"/>
      <c r="U225" s="6"/>
      <c r="V225" s="6"/>
      <c r="W225" s="6"/>
      <c r="X225" s="6"/>
      <c r="Y225" s="6"/>
      <c r="Z225" s="6"/>
      <c r="AA225" s="6"/>
      <c r="AB225" s="6"/>
      <c r="AC225" s="6"/>
      <c r="AD225" s="6"/>
      <c r="AE225" s="6"/>
      <c r="AF225" s="6"/>
      <c r="AG225" s="6"/>
      <c r="AH225" s="6"/>
      <c r="AI225" s="6"/>
      <c r="AJ225" s="6"/>
      <c r="AK225" s="6"/>
      <c r="AL225" s="6"/>
      <c r="AM225" s="6"/>
    </row>
    <row r="226" ht="14" spans="1:39">
      <c r="A226" s="10"/>
      <c r="C226" s="10"/>
      <c r="E226" s="10"/>
      <c r="F226" s="10"/>
      <c r="G226" s="10"/>
      <c r="H226" s="10"/>
      <c r="I226" s="10"/>
      <c r="J226" s="61"/>
      <c r="K226" s="61"/>
      <c r="L226" s="61"/>
      <c r="M226" s="10"/>
      <c r="N226" s="10"/>
      <c r="O226" s="68" t="s">
        <v>4078</v>
      </c>
      <c r="Q226" s="10"/>
      <c r="R226" s="6"/>
      <c r="S226" s="6"/>
      <c r="T226" s="6"/>
      <c r="U226" s="6"/>
      <c r="V226" s="6"/>
      <c r="W226" s="6"/>
      <c r="X226" s="6"/>
      <c r="Y226" s="6"/>
      <c r="Z226" s="6"/>
      <c r="AA226" s="6"/>
      <c r="AB226" s="6"/>
      <c r="AC226" s="6"/>
      <c r="AD226" s="6"/>
      <c r="AE226" s="6"/>
      <c r="AF226" s="6"/>
      <c r="AG226" s="6"/>
      <c r="AH226" s="6"/>
      <c r="AI226" s="6"/>
      <c r="AJ226" s="6"/>
      <c r="AK226" s="6"/>
      <c r="AL226" s="6"/>
      <c r="AM226" s="6"/>
    </row>
    <row r="227" ht="14" spans="1:39">
      <c r="A227" s="10"/>
      <c r="C227" s="10"/>
      <c r="E227" s="10"/>
      <c r="F227" s="10"/>
      <c r="G227" s="10"/>
      <c r="H227" s="10"/>
      <c r="I227" s="10"/>
      <c r="J227" s="61"/>
      <c r="K227" s="61"/>
      <c r="L227" s="61"/>
      <c r="M227" s="10"/>
      <c r="N227" s="10"/>
      <c r="O227" s="68" t="s">
        <v>4079</v>
      </c>
      <c r="Q227" s="10"/>
      <c r="R227" s="6"/>
      <c r="S227" s="6"/>
      <c r="T227" s="6"/>
      <c r="U227" s="6"/>
      <c r="V227" s="6"/>
      <c r="W227" s="6"/>
      <c r="X227" s="6"/>
      <c r="Y227" s="6"/>
      <c r="Z227" s="6"/>
      <c r="AA227" s="6"/>
      <c r="AB227" s="6"/>
      <c r="AC227" s="6"/>
      <c r="AD227" s="6"/>
      <c r="AE227" s="6"/>
      <c r="AF227" s="6"/>
      <c r="AG227" s="6"/>
      <c r="AH227" s="6"/>
      <c r="AI227" s="6"/>
      <c r="AJ227" s="6"/>
      <c r="AK227" s="6"/>
      <c r="AL227" s="6"/>
      <c r="AM227" s="6"/>
    </row>
    <row r="228" ht="30" customHeight="1" spans="1:39">
      <c r="A228" s="10"/>
      <c r="C228" s="10"/>
      <c r="E228" s="10"/>
      <c r="F228" s="10"/>
      <c r="G228" s="95" t="s">
        <v>4080</v>
      </c>
      <c r="H228" s="104" t="s">
        <v>290</v>
      </c>
      <c r="I228" s="10"/>
      <c r="J228" s="61"/>
      <c r="K228" s="61"/>
      <c r="L228" s="61"/>
      <c r="M228" s="10"/>
      <c r="N228" s="10"/>
      <c r="O228" s="68" t="s">
        <v>4081</v>
      </c>
      <c r="Q228" s="61" t="s">
        <v>849</v>
      </c>
      <c r="R228" s="6"/>
      <c r="S228" s="6"/>
      <c r="T228" s="6"/>
      <c r="U228" s="6"/>
      <c r="V228" s="6"/>
      <c r="W228" s="6"/>
      <c r="X228" s="6"/>
      <c r="Y228" s="6"/>
      <c r="Z228" s="6"/>
      <c r="AA228" s="6"/>
      <c r="AB228" s="6"/>
      <c r="AC228" s="6"/>
      <c r="AD228" s="6"/>
      <c r="AE228" s="6"/>
      <c r="AF228" s="6"/>
      <c r="AG228" s="6"/>
      <c r="AH228" s="6"/>
      <c r="AI228" s="6"/>
      <c r="AJ228" s="6"/>
      <c r="AK228" s="6"/>
      <c r="AL228" s="6"/>
      <c r="AM228" s="6"/>
    </row>
    <row r="229" ht="14" spans="1:39">
      <c r="A229" s="10"/>
      <c r="C229" s="10"/>
      <c r="E229" s="10"/>
      <c r="F229" s="10"/>
      <c r="G229" s="10"/>
      <c r="H229" s="10"/>
      <c r="I229" s="10"/>
      <c r="J229" s="61"/>
      <c r="K229" s="61"/>
      <c r="L229" s="61"/>
      <c r="M229" s="10"/>
      <c r="N229" s="10"/>
      <c r="O229" s="68" t="s">
        <v>4082</v>
      </c>
      <c r="Q229" s="10"/>
      <c r="R229" s="6"/>
      <c r="S229" s="6"/>
      <c r="T229" s="6"/>
      <c r="U229" s="6"/>
      <c r="V229" s="6"/>
      <c r="W229" s="6"/>
      <c r="X229" s="6"/>
      <c r="Y229" s="6"/>
      <c r="Z229" s="6"/>
      <c r="AA229" s="6"/>
      <c r="AB229" s="6"/>
      <c r="AC229" s="6"/>
      <c r="AD229" s="6"/>
      <c r="AE229" s="6"/>
      <c r="AF229" s="6"/>
      <c r="AG229" s="6"/>
      <c r="AH229" s="6"/>
      <c r="AI229" s="6"/>
      <c r="AJ229" s="6"/>
      <c r="AK229" s="6"/>
      <c r="AL229" s="6"/>
      <c r="AM229" s="6"/>
    </row>
    <row r="230" ht="14" spans="1:39">
      <c r="A230" s="10"/>
      <c r="C230" s="10"/>
      <c r="E230" s="10"/>
      <c r="F230" s="10"/>
      <c r="G230" s="10"/>
      <c r="H230" s="10"/>
      <c r="I230" s="10"/>
      <c r="J230" s="61"/>
      <c r="K230" s="61"/>
      <c r="L230" s="61"/>
      <c r="M230" s="10"/>
      <c r="N230" s="10"/>
      <c r="O230" s="68" t="s">
        <v>4083</v>
      </c>
      <c r="Q230" s="10"/>
      <c r="R230" s="6"/>
      <c r="S230" s="6"/>
      <c r="T230" s="6"/>
      <c r="U230" s="6"/>
      <c r="V230" s="6"/>
      <c r="W230" s="6"/>
      <c r="X230" s="6"/>
      <c r="Y230" s="6"/>
      <c r="Z230" s="6"/>
      <c r="AA230" s="6"/>
      <c r="AB230" s="6"/>
      <c r="AC230" s="6"/>
      <c r="AD230" s="6"/>
      <c r="AE230" s="6"/>
      <c r="AF230" s="6"/>
      <c r="AG230" s="6"/>
      <c r="AH230" s="6"/>
      <c r="AI230" s="6"/>
      <c r="AJ230" s="6"/>
      <c r="AK230" s="6"/>
      <c r="AL230" s="6"/>
      <c r="AM230" s="6"/>
    </row>
    <row r="231" ht="14" spans="1:39">
      <c r="A231" s="10"/>
      <c r="C231" s="10"/>
      <c r="E231" s="10"/>
      <c r="F231" s="10"/>
      <c r="G231" s="10"/>
      <c r="H231" s="10"/>
      <c r="I231" s="10"/>
      <c r="J231" s="61"/>
      <c r="K231" s="61"/>
      <c r="L231" s="61"/>
      <c r="M231" s="10"/>
      <c r="N231" s="10"/>
      <c r="O231" s="68" t="s">
        <v>4084</v>
      </c>
      <c r="Q231" s="10"/>
      <c r="R231" s="6"/>
      <c r="S231" s="6"/>
      <c r="T231" s="6"/>
      <c r="U231" s="6"/>
      <c r="V231" s="6"/>
      <c r="W231" s="6"/>
      <c r="X231" s="6"/>
      <c r="Y231" s="6"/>
      <c r="Z231" s="6"/>
      <c r="AA231" s="6"/>
      <c r="AB231" s="6"/>
      <c r="AC231" s="6"/>
      <c r="AD231" s="6"/>
      <c r="AE231" s="6"/>
      <c r="AF231" s="6"/>
      <c r="AG231" s="6"/>
      <c r="AH231" s="6"/>
      <c r="AI231" s="6"/>
      <c r="AJ231" s="6"/>
      <c r="AK231" s="6"/>
      <c r="AL231" s="6"/>
      <c r="AM231" s="6"/>
    </row>
    <row r="232" ht="14" spans="1:39">
      <c r="A232" s="10"/>
      <c r="C232" s="10"/>
      <c r="E232" s="10"/>
      <c r="F232" s="10"/>
      <c r="G232" s="10"/>
      <c r="H232" s="10"/>
      <c r="I232" s="10"/>
      <c r="J232" s="61"/>
      <c r="K232" s="61"/>
      <c r="L232" s="61"/>
      <c r="M232" s="10"/>
      <c r="N232" s="10"/>
      <c r="O232" s="68" t="s">
        <v>4085</v>
      </c>
      <c r="Q232" s="10"/>
      <c r="R232" s="6"/>
      <c r="S232" s="6"/>
      <c r="T232" s="6"/>
      <c r="U232" s="6"/>
      <c r="V232" s="6"/>
      <c r="W232" s="6"/>
      <c r="X232" s="6"/>
      <c r="Y232" s="6"/>
      <c r="Z232" s="6"/>
      <c r="AA232" s="6"/>
      <c r="AB232" s="6"/>
      <c r="AC232" s="6"/>
      <c r="AD232" s="6"/>
      <c r="AE232" s="6"/>
      <c r="AF232" s="6"/>
      <c r="AG232" s="6"/>
      <c r="AH232" s="6"/>
      <c r="AI232" s="6"/>
      <c r="AJ232" s="6"/>
      <c r="AK232" s="6"/>
      <c r="AL232" s="6"/>
      <c r="AM232" s="6"/>
    </row>
    <row r="233" ht="35.25" customHeight="1" spans="1:39">
      <c r="A233" s="6" t="s">
        <v>872</v>
      </c>
      <c r="B233" s="7">
        <v>46162</v>
      </c>
      <c r="C233" s="6" t="str">
        <f>YEAR(B233)&amp;"年"&amp;MONTH(B233)&amp;"月"</f>
        <v>2026年5月</v>
      </c>
      <c r="D233" s="112" t="s">
        <v>4086</v>
      </c>
      <c r="E233" s="40" t="s">
        <v>40</v>
      </c>
      <c r="F233" s="6" t="s">
        <v>10</v>
      </c>
      <c r="G233" s="95" t="s">
        <v>4087</v>
      </c>
      <c r="H233" s="104" t="s">
        <v>290</v>
      </c>
      <c r="I233" s="61" t="s">
        <v>4088</v>
      </c>
      <c r="J233" s="61"/>
      <c r="K233" s="61"/>
      <c r="L233" s="61"/>
      <c r="M233" s="61" t="s">
        <v>2232</v>
      </c>
      <c r="N233" s="61" t="s">
        <v>2232</v>
      </c>
      <c r="O233" s="61" t="s">
        <v>4089</v>
      </c>
      <c r="Q233" s="61" t="s">
        <v>689</v>
      </c>
      <c r="R233" s="6"/>
      <c r="S233" s="6" t="s">
        <v>3505</v>
      </c>
      <c r="T233" s="6" t="s">
        <v>3506</v>
      </c>
      <c r="U233" s="6"/>
      <c r="V233" s="6"/>
      <c r="W233" s="6"/>
      <c r="X233" s="6"/>
      <c r="Y233" s="6"/>
      <c r="Z233" s="6"/>
      <c r="AA233" s="6"/>
      <c r="AB233" s="6"/>
      <c r="AC233" s="6"/>
      <c r="AD233" s="6"/>
      <c r="AE233" s="6"/>
      <c r="AF233" s="6"/>
      <c r="AG233" s="6"/>
      <c r="AH233" s="6"/>
      <c r="AI233" s="6"/>
      <c r="AJ233" s="6"/>
      <c r="AK233" s="6"/>
      <c r="AL233" s="6"/>
      <c r="AM233" s="6"/>
    </row>
    <row r="234" ht="14" spans="1:39">
      <c r="A234" s="10"/>
      <c r="C234" s="10"/>
      <c r="E234" s="10"/>
      <c r="F234" s="10"/>
      <c r="G234" s="10"/>
      <c r="H234" s="10"/>
      <c r="I234" s="10"/>
      <c r="J234" s="61"/>
      <c r="K234" s="61"/>
      <c r="L234" s="61"/>
      <c r="M234" s="61" t="s">
        <v>2232</v>
      </c>
      <c r="N234" s="61" t="s">
        <v>2232</v>
      </c>
      <c r="O234" s="61" t="s">
        <v>4090</v>
      </c>
      <c r="Q234" s="10"/>
      <c r="R234" s="6"/>
      <c r="U234" s="6"/>
      <c r="V234" s="6"/>
      <c r="W234" s="6"/>
      <c r="X234" s="6"/>
      <c r="Y234" s="6"/>
      <c r="Z234" s="6"/>
      <c r="AA234" s="6"/>
      <c r="AB234" s="6"/>
      <c r="AC234" s="6"/>
      <c r="AD234" s="6"/>
      <c r="AE234" s="6"/>
      <c r="AF234" s="6"/>
      <c r="AG234" s="6"/>
      <c r="AH234" s="6"/>
      <c r="AI234" s="6"/>
      <c r="AJ234" s="6"/>
      <c r="AK234" s="6"/>
      <c r="AL234" s="6"/>
      <c r="AM234" s="6"/>
    </row>
    <row r="235" ht="42" spans="1:39">
      <c r="A235" s="6" t="s">
        <v>872</v>
      </c>
      <c r="B235" s="7">
        <v>46163</v>
      </c>
      <c r="C235" s="6" t="str">
        <f>YEAR(B235)&amp;"年"&amp;MONTH(B235)&amp;"月"</f>
        <v>2026年5月</v>
      </c>
      <c r="D235" s="6" t="s">
        <v>4091</v>
      </c>
      <c r="E235" s="40" t="s">
        <v>42</v>
      </c>
      <c r="F235" s="6" t="s">
        <v>10</v>
      </c>
      <c r="G235" s="95" t="s">
        <v>3955</v>
      </c>
      <c r="H235" s="104" t="s">
        <v>82</v>
      </c>
      <c r="I235" s="61" t="s">
        <v>3687</v>
      </c>
      <c r="J235" s="61"/>
      <c r="K235" s="61"/>
      <c r="L235" s="61"/>
      <c r="M235" s="61" t="s">
        <v>2232</v>
      </c>
      <c r="N235" s="61" t="s">
        <v>2232</v>
      </c>
      <c r="O235" s="68" t="s">
        <v>4092</v>
      </c>
      <c r="Q235" s="61" t="s">
        <v>689</v>
      </c>
      <c r="R235" s="6"/>
      <c r="S235" s="6" t="s">
        <v>3505</v>
      </c>
      <c r="T235" s="6" t="s">
        <v>3506</v>
      </c>
      <c r="U235" s="6"/>
      <c r="V235" s="6"/>
      <c r="W235" s="6"/>
      <c r="X235" s="6"/>
      <c r="Y235" s="6"/>
      <c r="Z235" s="6"/>
      <c r="AA235" s="6"/>
      <c r="AB235" s="6"/>
      <c r="AC235" s="6"/>
      <c r="AD235" s="6"/>
      <c r="AE235" s="6"/>
      <c r="AF235" s="6"/>
      <c r="AG235" s="6"/>
      <c r="AH235" s="6"/>
      <c r="AI235" s="6"/>
      <c r="AJ235" s="6"/>
      <c r="AK235" s="6"/>
      <c r="AL235" s="6"/>
      <c r="AM235" s="6"/>
    </row>
    <row r="236" ht="42" spans="1:39">
      <c r="A236" s="6" t="s">
        <v>142</v>
      </c>
      <c r="B236" s="7">
        <v>46163</v>
      </c>
      <c r="C236" s="6" t="str">
        <f>YEAR(B236)&amp;"年"&amp;MONTH(B236)&amp;"月"</f>
        <v>2026年5月</v>
      </c>
      <c r="D236" s="6" t="s">
        <v>4093</v>
      </c>
      <c r="E236" s="40" t="s">
        <v>3577</v>
      </c>
      <c r="F236" s="6" t="s">
        <v>11</v>
      </c>
      <c r="G236" s="95" t="s">
        <v>4052</v>
      </c>
      <c r="H236" s="61"/>
      <c r="I236" s="61"/>
      <c r="J236" s="61"/>
      <c r="K236" s="61"/>
      <c r="L236" s="61"/>
      <c r="M236" s="61" t="s">
        <v>2232</v>
      </c>
      <c r="N236" s="61" t="s">
        <v>2232</v>
      </c>
      <c r="O236" s="61" t="s">
        <v>4094</v>
      </c>
      <c r="Q236" s="61" t="s">
        <v>1523</v>
      </c>
      <c r="R236" s="6"/>
      <c r="S236" s="6"/>
      <c r="T236" s="6"/>
      <c r="U236" s="6"/>
      <c r="V236" s="6"/>
      <c r="W236" s="6"/>
      <c r="X236" s="6"/>
      <c r="Y236" s="6"/>
      <c r="Z236" s="6"/>
      <c r="AA236" s="6"/>
      <c r="AB236" s="6"/>
      <c r="AC236" s="6"/>
      <c r="AD236" s="6"/>
      <c r="AE236" s="6"/>
      <c r="AF236" s="6"/>
      <c r="AG236" s="6"/>
      <c r="AH236" s="6"/>
      <c r="AI236" s="6"/>
      <c r="AJ236" s="6"/>
      <c r="AK236" s="6"/>
      <c r="AL236" s="6"/>
      <c r="AM236" s="6"/>
    </row>
    <row r="237" ht="21.75" customHeight="1" spans="1:39">
      <c r="A237" s="6" t="s">
        <v>872</v>
      </c>
      <c r="B237" s="7">
        <v>46163</v>
      </c>
      <c r="C237" s="6" t="str">
        <f>YEAR(B237)&amp;"年"&amp;MONTH(B237)&amp;"月"</f>
        <v>2026年5月</v>
      </c>
      <c r="D237" s="41" t="s">
        <v>4095</v>
      </c>
      <c r="E237" s="40" t="s">
        <v>42</v>
      </c>
      <c r="F237" s="6" t="s">
        <v>10</v>
      </c>
      <c r="G237" s="95" t="s">
        <v>4096</v>
      </c>
      <c r="H237" s="104" t="s">
        <v>82</v>
      </c>
      <c r="I237" s="61" t="s">
        <v>4034</v>
      </c>
      <c r="J237" s="68" t="s">
        <v>4097</v>
      </c>
      <c r="K237" s="61"/>
      <c r="L237" s="61"/>
      <c r="M237" s="61" t="s">
        <v>2232</v>
      </c>
      <c r="N237" s="61" t="s">
        <v>2232</v>
      </c>
      <c r="O237" s="68" t="s">
        <v>4098</v>
      </c>
      <c r="Q237" s="61" t="s">
        <v>801</v>
      </c>
      <c r="R237" s="6"/>
      <c r="S237" s="6" t="s">
        <v>3505</v>
      </c>
      <c r="T237" s="6" t="s">
        <v>3506</v>
      </c>
      <c r="U237" s="6"/>
      <c r="V237" s="6"/>
      <c r="W237" s="6"/>
      <c r="X237" s="6"/>
      <c r="Y237" s="6"/>
      <c r="Z237" s="6"/>
      <c r="AA237" s="6"/>
      <c r="AB237" s="6"/>
      <c r="AC237" s="6"/>
      <c r="AD237" s="6"/>
      <c r="AE237" s="6"/>
      <c r="AF237" s="6"/>
      <c r="AG237" s="6"/>
      <c r="AH237" s="6"/>
      <c r="AI237" s="6"/>
      <c r="AJ237" s="6"/>
      <c r="AK237" s="6"/>
      <c r="AL237" s="6"/>
      <c r="AM237" s="6"/>
    </row>
    <row r="238" ht="14" spans="1:39">
      <c r="A238" s="10"/>
      <c r="C238" s="10"/>
      <c r="E238" s="10"/>
      <c r="F238" s="10"/>
      <c r="G238" s="10"/>
      <c r="H238" s="10"/>
      <c r="I238" s="10"/>
      <c r="J238" s="68" t="s">
        <v>4099</v>
      </c>
      <c r="K238" s="61"/>
      <c r="L238" s="61"/>
      <c r="M238" s="61" t="s">
        <v>2232</v>
      </c>
      <c r="N238" s="61" t="s">
        <v>2232</v>
      </c>
      <c r="O238" s="68" t="s">
        <v>4100</v>
      </c>
      <c r="Q238" s="10"/>
      <c r="R238" s="6"/>
      <c r="S238" s="6" t="s">
        <v>3505</v>
      </c>
      <c r="T238" s="6" t="s">
        <v>3506</v>
      </c>
      <c r="U238" s="6"/>
      <c r="V238" s="6"/>
      <c r="W238" s="6"/>
      <c r="X238" s="6"/>
      <c r="Y238" s="6"/>
      <c r="Z238" s="6"/>
      <c r="AA238" s="6"/>
      <c r="AB238" s="6"/>
      <c r="AC238" s="6"/>
      <c r="AD238" s="6"/>
      <c r="AE238" s="6"/>
      <c r="AF238" s="6"/>
      <c r="AG238" s="6"/>
      <c r="AH238" s="6"/>
      <c r="AI238" s="6"/>
      <c r="AJ238" s="6"/>
      <c r="AK238" s="6"/>
      <c r="AL238" s="6"/>
      <c r="AM238" s="6"/>
    </row>
    <row r="239" ht="30" customHeight="1" spans="1:39">
      <c r="A239" s="10"/>
      <c r="C239" s="10"/>
      <c r="E239" s="10"/>
      <c r="F239" s="10"/>
      <c r="G239" s="95" t="s">
        <v>4043</v>
      </c>
      <c r="H239" s="104" t="s">
        <v>82</v>
      </c>
      <c r="I239" s="10"/>
      <c r="J239" s="68" t="s">
        <v>4101</v>
      </c>
      <c r="K239" s="61"/>
      <c r="L239" s="61"/>
      <c r="M239" s="61" t="s">
        <v>2232</v>
      </c>
      <c r="N239" s="61" t="s">
        <v>2232</v>
      </c>
      <c r="O239" s="68" t="s">
        <v>4102</v>
      </c>
      <c r="Q239" s="61" t="s">
        <v>774</v>
      </c>
      <c r="R239" s="6"/>
      <c r="S239" s="6" t="s">
        <v>3505</v>
      </c>
      <c r="T239" s="6" t="s">
        <v>3506</v>
      </c>
      <c r="U239" s="6"/>
      <c r="V239" s="6"/>
      <c r="W239" s="6"/>
      <c r="X239" s="6"/>
      <c r="Y239" s="6"/>
      <c r="Z239" s="6"/>
      <c r="AA239" s="6"/>
      <c r="AB239" s="6"/>
      <c r="AC239" s="6"/>
      <c r="AD239" s="6"/>
      <c r="AE239" s="6"/>
      <c r="AF239" s="6"/>
      <c r="AG239" s="6"/>
      <c r="AH239" s="6"/>
      <c r="AI239" s="6"/>
      <c r="AJ239" s="6"/>
      <c r="AK239" s="6"/>
      <c r="AL239" s="6"/>
      <c r="AM239" s="6"/>
    </row>
    <row r="240" ht="14" spans="1:39">
      <c r="A240" s="10"/>
      <c r="C240" s="10"/>
      <c r="E240" s="10"/>
      <c r="F240" s="10"/>
      <c r="G240" s="10"/>
      <c r="H240" s="10"/>
      <c r="I240" s="10"/>
      <c r="J240" s="68" t="s">
        <v>4044</v>
      </c>
      <c r="K240" s="61"/>
      <c r="L240" s="61"/>
      <c r="M240" s="61" t="s">
        <v>2232</v>
      </c>
      <c r="N240" s="61" t="s">
        <v>2232</v>
      </c>
      <c r="O240" s="68" t="s">
        <v>4045</v>
      </c>
      <c r="Q240" s="10"/>
      <c r="R240" s="6"/>
      <c r="S240" s="6" t="s">
        <v>3505</v>
      </c>
      <c r="T240" s="6" t="s">
        <v>3506</v>
      </c>
      <c r="U240" s="6"/>
      <c r="V240" s="6"/>
      <c r="W240" s="6"/>
      <c r="X240" s="6"/>
      <c r="Y240" s="6"/>
      <c r="Z240" s="6"/>
      <c r="AA240" s="6"/>
      <c r="AB240" s="6"/>
      <c r="AC240" s="6"/>
      <c r="AD240" s="6"/>
      <c r="AE240" s="6"/>
      <c r="AF240" s="6"/>
      <c r="AG240" s="6"/>
      <c r="AH240" s="6"/>
      <c r="AI240" s="6"/>
      <c r="AJ240" s="6"/>
      <c r="AK240" s="6"/>
      <c r="AL240" s="6"/>
      <c r="AM240" s="6"/>
    </row>
    <row r="241" ht="28" spans="1:39">
      <c r="A241" s="6" t="s">
        <v>872</v>
      </c>
      <c r="B241" s="7">
        <v>46164</v>
      </c>
      <c r="C241" s="6" t="str">
        <f>YEAR(B241)&amp;"年"&amp;MONTH(B241)&amp;"月"</f>
        <v>2026年5月</v>
      </c>
      <c r="D241" s="6" t="s">
        <v>4103</v>
      </c>
      <c r="E241" s="40" t="s">
        <v>3577</v>
      </c>
      <c r="F241" s="6" t="s">
        <v>11</v>
      </c>
      <c r="G241" s="95" t="s">
        <v>3789</v>
      </c>
      <c r="H241" s="104" t="s">
        <v>82</v>
      </c>
      <c r="I241" s="61"/>
      <c r="J241" s="61"/>
      <c r="K241" s="61"/>
      <c r="L241" s="61"/>
      <c r="M241" s="61" t="s">
        <v>2232</v>
      </c>
      <c r="N241" s="61" t="s">
        <v>2232</v>
      </c>
      <c r="O241" s="61" t="s">
        <v>3790</v>
      </c>
      <c r="Q241" s="61" t="s">
        <v>685</v>
      </c>
      <c r="R241" s="6"/>
      <c r="S241" s="6" t="s">
        <v>3545</v>
      </c>
      <c r="T241" s="6" t="s">
        <v>3506</v>
      </c>
      <c r="U241" s="6"/>
      <c r="V241" s="6"/>
      <c r="W241" s="6"/>
      <c r="X241" s="6"/>
      <c r="Y241" s="6"/>
      <c r="Z241" s="6"/>
      <c r="AA241" s="6"/>
      <c r="AB241" s="6"/>
      <c r="AC241" s="6"/>
      <c r="AD241" s="6"/>
      <c r="AE241" s="6"/>
      <c r="AF241" s="6"/>
      <c r="AG241" s="6"/>
      <c r="AH241" s="6"/>
      <c r="AI241" s="6"/>
      <c r="AJ241" s="6"/>
      <c r="AK241" s="6"/>
      <c r="AL241" s="6"/>
      <c r="AM241" s="6"/>
    </row>
    <row r="242" ht="28" spans="1:39">
      <c r="A242" s="6" t="s">
        <v>872</v>
      </c>
      <c r="B242" s="7">
        <v>46164</v>
      </c>
      <c r="C242" s="6" t="str">
        <f>YEAR(B242)&amp;"年"&amp;MONTH(B242)&amp;"月"</f>
        <v>2026年5月</v>
      </c>
      <c r="D242" s="6" t="s">
        <v>4104</v>
      </c>
      <c r="E242" s="40" t="s">
        <v>3577</v>
      </c>
      <c r="F242" s="6" t="s">
        <v>11</v>
      </c>
      <c r="G242" s="95" t="s">
        <v>3881</v>
      </c>
      <c r="H242" s="104" t="s">
        <v>82</v>
      </c>
      <c r="I242" s="61"/>
      <c r="J242" s="61"/>
      <c r="K242" s="61"/>
      <c r="L242" s="61"/>
      <c r="M242" s="61" t="s">
        <v>2232</v>
      </c>
      <c r="N242" s="61" t="s">
        <v>2232</v>
      </c>
      <c r="O242" s="61" t="s">
        <v>4105</v>
      </c>
      <c r="Q242" s="61" t="s">
        <v>685</v>
      </c>
      <c r="R242" s="6"/>
      <c r="S242" s="6" t="s">
        <v>3505</v>
      </c>
      <c r="T242" s="6" t="s">
        <v>3506</v>
      </c>
      <c r="U242" s="6"/>
      <c r="V242" s="6"/>
      <c r="W242" s="6"/>
      <c r="X242" s="6"/>
      <c r="Y242" s="6"/>
      <c r="Z242" s="6"/>
      <c r="AA242" s="6"/>
      <c r="AB242" s="6"/>
      <c r="AC242" s="6"/>
      <c r="AD242" s="6"/>
      <c r="AE242" s="6"/>
      <c r="AF242" s="6"/>
      <c r="AG242" s="6"/>
      <c r="AH242" s="6"/>
      <c r="AI242" s="6"/>
      <c r="AJ242" s="6"/>
      <c r="AK242" s="6"/>
      <c r="AL242" s="6"/>
      <c r="AM242" s="6"/>
    </row>
    <row r="243" ht="28" spans="1:39">
      <c r="A243" s="6" t="s">
        <v>872</v>
      </c>
      <c r="B243" s="7">
        <v>46170</v>
      </c>
      <c r="C243" s="6" t="str">
        <f>YEAR(B243)&amp;"年"&amp;MONTH(B243)&amp;"月"</f>
        <v>2026年5月</v>
      </c>
      <c r="D243" s="6" t="s">
        <v>4106</v>
      </c>
      <c r="E243" s="40" t="s">
        <v>42</v>
      </c>
      <c r="F243" s="6" t="s">
        <v>10</v>
      </c>
      <c r="G243" s="113" t="s">
        <v>4107</v>
      </c>
      <c r="H243" s="104" t="s">
        <v>82</v>
      </c>
      <c r="I243" s="61" t="s">
        <v>3687</v>
      </c>
      <c r="J243" s="61"/>
      <c r="K243" s="61"/>
      <c r="L243" s="61"/>
      <c r="M243" s="61" t="s">
        <v>2232</v>
      </c>
      <c r="N243" s="61" t="s">
        <v>2232</v>
      </c>
      <c r="O243" s="68" t="s">
        <v>4108</v>
      </c>
      <c r="Q243" s="61" t="s">
        <v>689</v>
      </c>
      <c r="R243" s="6"/>
      <c r="S243" s="6" t="s">
        <v>3505</v>
      </c>
      <c r="T243" s="6" t="s">
        <v>3506</v>
      </c>
      <c r="U243" s="6"/>
      <c r="V243" s="6"/>
      <c r="W243" s="6"/>
      <c r="X243" s="6"/>
      <c r="Y243" s="6"/>
      <c r="Z243" s="6"/>
      <c r="AA243" s="6"/>
      <c r="AB243" s="6"/>
      <c r="AC243" s="6"/>
      <c r="AD243" s="6"/>
      <c r="AE243" s="6"/>
      <c r="AF243" s="6"/>
      <c r="AG243" s="6"/>
      <c r="AH243" s="6"/>
      <c r="AI243" s="6"/>
      <c r="AJ243" s="6"/>
      <c r="AK243" s="6"/>
      <c r="AL243" s="6"/>
      <c r="AM243" s="6"/>
    </row>
    <row r="244" ht="28" spans="1:39">
      <c r="A244" s="6" t="s">
        <v>872</v>
      </c>
      <c r="B244" s="7">
        <v>46171</v>
      </c>
      <c r="C244" s="6" t="str">
        <f>YEAR(B244)&amp;"年"&amp;MONTH(B244)&amp;"月"</f>
        <v>2026年5月</v>
      </c>
      <c r="D244" s="6" t="s">
        <v>4109</v>
      </c>
      <c r="E244" s="40" t="s">
        <v>40</v>
      </c>
      <c r="F244" s="6" t="s">
        <v>11</v>
      </c>
      <c r="G244" s="95" t="s">
        <v>3821</v>
      </c>
      <c r="H244" s="104" t="s">
        <v>82</v>
      </c>
      <c r="I244" s="61"/>
      <c r="J244" s="61"/>
      <c r="K244" s="61"/>
      <c r="L244" s="61"/>
      <c r="M244" s="61" t="s">
        <v>2232</v>
      </c>
      <c r="N244" s="61" t="s">
        <v>2232</v>
      </c>
      <c r="O244" s="61" t="s">
        <v>3822</v>
      </c>
      <c r="Q244" s="61" t="s">
        <v>685</v>
      </c>
      <c r="R244" s="6"/>
      <c r="S244" s="6" t="s">
        <v>3505</v>
      </c>
      <c r="T244" s="6" t="s">
        <v>3506</v>
      </c>
      <c r="U244" s="6"/>
      <c r="V244" s="6"/>
      <c r="W244" s="6"/>
      <c r="X244" s="6"/>
      <c r="Y244" s="6"/>
      <c r="Z244" s="6"/>
      <c r="AA244" s="6"/>
      <c r="AB244" s="6"/>
      <c r="AC244" s="6"/>
      <c r="AD244" s="6"/>
      <c r="AE244" s="6"/>
      <c r="AF244" s="6"/>
      <c r="AG244" s="6"/>
      <c r="AH244" s="6"/>
      <c r="AI244" s="6"/>
      <c r="AJ244" s="6"/>
      <c r="AK244" s="6"/>
      <c r="AL244" s="6"/>
      <c r="AM244" s="6"/>
    </row>
    <row r="245" ht="30" customHeight="1" spans="1:39">
      <c r="A245" s="6" t="s">
        <v>872</v>
      </c>
      <c r="B245" s="7">
        <v>46171</v>
      </c>
      <c r="C245" s="6" t="str">
        <f>YEAR(B245)&amp;"年"&amp;MONTH(B245)&amp;"月"</f>
        <v>2026年5月</v>
      </c>
      <c r="D245" s="114" t="s">
        <v>4110</v>
      </c>
      <c r="E245" s="40" t="s">
        <v>40</v>
      </c>
      <c r="F245" s="6" t="s">
        <v>10</v>
      </c>
      <c r="G245" s="95" t="s">
        <v>4111</v>
      </c>
      <c r="H245" s="104" t="s">
        <v>290</v>
      </c>
      <c r="I245" s="61" t="s">
        <v>4112</v>
      </c>
      <c r="J245" s="61"/>
      <c r="K245" s="61"/>
      <c r="L245" s="61"/>
      <c r="M245" s="61" t="s">
        <v>2232</v>
      </c>
      <c r="N245" s="61" t="s">
        <v>2232</v>
      </c>
      <c r="O245" s="61" t="s">
        <v>4113</v>
      </c>
      <c r="Q245" s="61" t="s">
        <v>678</v>
      </c>
      <c r="R245" s="6"/>
      <c r="S245" s="6" t="s">
        <v>3505</v>
      </c>
      <c r="T245" s="6" t="s">
        <v>3557</v>
      </c>
      <c r="U245" s="6"/>
      <c r="V245" s="6"/>
      <c r="W245" s="6"/>
      <c r="X245" s="6"/>
      <c r="Y245" s="6"/>
      <c r="Z245" s="6"/>
      <c r="AA245" s="6"/>
      <c r="AB245" s="6"/>
      <c r="AC245" s="6"/>
      <c r="AD245" s="6"/>
      <c r="AE245" s="6"/>
      <c r="AF245" s="6"/>
      <c r="AG245" s="6"/>
      <c r="AH245" s="6"/>
      <c r="AI245" s="6"/>
      <c r="AJ245" s="6"/>
      <c r="AK245" s="6"/>
      <c r="AL245" s="6"/>
      <c r="AM245" s="6"/>
    </row>
    <row r="246" ht="30" customHeight="1" spans="1:39">
      <c r="A246" s="10"/>
      <c r="C246" s="10"/>
      <c r="E246" s="10"/>
      <c r="F246" s="10"/>
      <c r="G246" s="95" t="s">
        <v>4114</v>
      </c>
      <c r="H246" s="10"/>
      <c r="I246" s="61" t="s">
        <v>4115</v>
      </c>
      <c r="J246" s="61"/>
      <c r="K246" s="61"/>
      <c r="L246" s="61"/>
      <c r="M246" s="61" t="s">
        <v>2232</v>
      </c>
      <c r="N246" s="61" t="s">
        <v>2232</v>
      </c>
      <c r="O246" s="10"/>
      <c r="Q246" s="10"/>
      <c r="R246" s="6"/>
      <c r="U246" s="6" t="s">
        <v>4116</v>
      </c>
      <c r="V246" s="6"/>
      <c r="W246" s="6"/>
      <c r="X246" s="6"/>
      <c r="Y246" s="6"/>
      <c r="Z246" s="6"/>
      <c r="AA246" s="6"/>
      <c r="AB246" s="6"/>
      <c r="AC246" s="6"/>
      <c r="AD246" s="6"/>
      <c r="AE246" s="6"/>
      <c r="AF246" s="6"/>
      <c r="AG246" s="6"/>
      <c r="AH246" s="6"/>
      <c r="AI246" s="6"/>
      <c r="AJ246" s="6"/>
      <c r="AK246" s="6"/>
      <c r="AL246" s="6"/>
      <c r="AM246" s="6"/>
    </row>
    <row r="247" ht="45" customHeight="1" spans="1:39">
      <c r="A247" s="6" t="s">
        <v>142</v>
      </c>
      <c r="B247" s="7">
        <v>46175</v>
      </c>
      <c r="C247" s="6" t="str">
        <f>YEAR(B247)&amp;"年"&amp;MONTH(B247)&amp;"月"</f>
        <v>2026年6月</v>
      </c>
      <c r="D247" s="41" t="s">
        <v>4030</v>
      </c>
      <c r="E247" s="40" t="s">
        <v>42</v>
      </c>
      <c r="F247" s="6" t="s">
        <v>10</v>
      </c>
      <c r="G247" s="95" t="s">
        <v>4117</v>
      </c>
      <c r="H247" s="104" t="s">
        <v>1058</v>
      </c>
      <c r="I247" s="61" t="s">
        <v>3700</v>
      </c>
      <c r="K247" s="115">
        <v>166043488</v>
      </c>
      <c r="L247" s="98" t="s">
        <v>1172</v>
      </c>
      <c r="M247" s="86">
        <v>60998700</v>
      </c>
      <c r="N247" s="61" t="s">
        <v>1172</v>
      </c>
      <c r="O247" s="68" t="s">
        <v>4118</v>
      </c>
      <c r="Q247" s="61" t="s">
        <v>801</v>
      </c>
      <c r="R247" s="6"/>
      <c r="S247" s="6" t="s">
        <v>3505</v>
      </c>
      <c r="T247" s="6" t="s">
        <v>3506</v>
      </c>
      <c r="U247" s="6"/>
      <c r="V247" s="6"/>
      <c r="W247" s="6"/>
      <c r="X247" s="6"/>
      <c r="Y247" s="6"/>
      <c r="Z247" s="6"/>
      <c r="AA247" s="6"/>
      <c r="AB247" s="6"/>
      <c r="AC247" s="6"/>
      <c r="AD247" s="6"/>
      <c r="AE247" s="6"/>
      <c r="AF247" s="6"/>
      <c r="AG247" s="6"/>
      <c r="AH247" s="6"/>
      <c r="AI247" s="6"/>
      <c r="AJ247" s="6"/>
      <c r="AK247" s="6"/>
      <c r="AL247" s="6"/>
      <c r="AM247" s="6"/>
    </row>
    <row r="248" ht="30" customHeight="1" spans="1:39">
      <c r="A248" s="10"/>
      <c r="C248" s="10"/>
      <c r="E248" s="10"/>
      <c r="F248" s="10"/>
      <c r="G248" s="95" t="s">
        <v>4043</v>
      </c>
      <c r="H248" s="10"/>
      <c r="I248" s="10"/>
      <c r="J248" s="61"/>
      <c r="K248" s="12"/>
      <c r="L248" s="12"/>
      <c r="M248" s="86">
        <v>31069266</v>
      </c>
      <c r="N248" s="61" t="s">
        <v>1172</v>
      </c>
      <c r="O248" s="68" t="s">
        <v>4119</v>
      </c>
      <c r="Q248" s="61" t="s">
        <v>774</v>
      </c>
      <c r="R248" s="6"/>
      <c r="S248" s="6" t="s">
        <v>3505</v>
      </c>
      <c r="T248" s="6" t="s">
        <v>3506</v>
      </c>
      <c r="U248" s="6"/>
      <c r="V248" s="6"/>
      <c r="W248" s="6"/>
      <c r="X248" s="6"/>
      <c r="Y248" s="6"/>
      <c r="Z248" s="6"/>
      <c r="AA248" s="6"/>
      <c r="AB248" s="6"/>
      <c r="AC248" s="6"/>
      <c r="AD248" s="6"/>
      <c r="AE248" s="6"/>
      <c r="AF248" s="6"/>
      <c r="AG248" s="6"/>
      <c r="AH248" s="6"/>
      <c r="AI248" s="6"/>
      <c r="AJ248" s="6"/>
      <c r="AK248" s="6"/>
      <c r="AL248" s="6"/>
      <c r="AM248" s="6"/>
    </row>
    <row r="249" ht="30" customHeight="1" spans="1:39">
      <c r="A249" s="10"/>
      <c r="C249" s="10"/>
      <c r="E249" s="10"/>
      <c r="F249" s="10"/>
      <c r="G249" s="95" t="s">
        <v>4066</v>
      </c>
      <c r="H249" s="10"/>
      <c r="I249" s="10"/>
      <c r="J249" s="61"/>
      <c r="K249" s="12"/>
      <c r="L249" s="12"/>
      <c r="M249" s="86">
        <v>2155635</v>
      </c>
      <c r="N249" s="61" t="s">
        <v>1172</v>
      </c>
      <c r="O249" s="68" t="s">
        <v>4067</v>
      </c>
      <c r="Q249" s="61" t="s">
        <v>849</v>
      </c>
      <c r="R249" s="6"/>
      <c r="S249" s="6" t="s">
        <v>3505</v>
      </c>
      <c r="T249" s="6"/>
      <c r="U249" s="6"/>
      <c r="V249" s="6"/>
      <c r="W249" s="6"/>
      <c r="X249" s="6"/>
      <c r="Y249" s="6"/>
      <c r="Z249" s="6"/>
      <c r="AA249" s="6"/>
      <c r="AB249" s="6"/>
      <c r="AC249" s="6"/>
      <c r="AD249" s="6"/>
      <c r="AE249" s="6"/>
      <c r="AF249" s="6"/>
      <c r="AG249" s="6"/>
      <c r="AH249" s="6"/>
      <c r="AI249" s="6"/>
      <c r="AJ249" s="6"/>
      <c r="AK249" s="6"/>
      <c r="AL249" s="6"/>
      <c r="AM249" s="6"/>
    </row>
    <row r="250" ht="30" customHeight="1" spans="1:39">
      <c r="A250" s="10"/>
      <c r="C250" s="10"/>
      <c r="E250" s="10"/>
      <c r="F250" s="10"/>
      <c r="G250" s="10"/>
      <c r="H250" s="10"/>
      <c r="I250" s="10"/>
      <c r="J250" s="61"/>
      <c r="K250" s="13"/>
      <c r="L250" s="13"/>
      <c r="M250" s="86">
        <v>71819887</v>
      </c>
      <c r="N250" s="61" t="s">
        <v>1172</v>
      </c>
      <c r="O250" s="68" t="s">
        <v>4070</v>
      </c>
      <c r="Q250" s="61" t="s">
        <v>849</v>
      </c>
      <c r="R250" s="6"/>
      <c r="S250" s="6"/>
      <c r="T250" s="6"/>
      <c r="U250" s="6"/>
      <c r="V250" s="6"/>
      <c r="W250" s="6"/>
      <c r="X250" s="6"/>
      <c r="Y250" s="6"/>
      <c r="Z250" s="6"/>
      <c r="AA250" s="6"/>
      <c r="AB250" s="6"/>
      <c r="AC250" s="6"/>
      <c r="AD250" s="6"/>
      <c r="AE250" s="6"/>
      <c r="AF250" s="6"/>
      <c r="AG250" s="6"/>
      <c r="AH250" s="6"/>
      <c r="AI250" s="6"/>
      <c r="AJ250" s="6"/>
      <c r="AK250" s="6"/>
      <c r="AL250" s="6"/>
      <c r="AM250" s="6"/>
    </row>
    <row r="251" ht="30" customHeight="1" spans="1:39">
      <c r="A251" s="6" t="s">
        <v>872</v>
      </c>
      <c r="B251" s="7">
        <v>46175</v>
      </c>
      <c r="C251" s="6" t="str">
        <f t="shared" ref="C251:C256" si="11">YEAR(B251)&amp;"年"&amp;MONTH(B251)&amp;"月"</f>
        <v>2026年6月</v>
      </c>
      <c r="D251" s="6" t="s">
        <v>4120</v>
      </c>
      <c r="E251" s="40" t="s">
        <v>3577</v>
      </c>
      <c r="F251" s="6" t="s">
        <v>11</v>
      </c>
      <c r="G251" s="95" t="s">
        <v>3768</v>
      </c>
      <c r="H251" s="104" t="s">
        <v>82</v>
      </c>
      <c r="I251" s="61"/>
      <c r="J251" s="61"/>
      <c r="K251" s="61" t="s">
        <v>2232</v>
      </c>
      <c r="L251" s="61" t="s">
        <v>2232</v>
      </c>
      <c r="M251" s="61" t="s">
        <v>2232</v>
      </c>
      <c r="N251" s="61" t="s">
        <v>2232</v>
      </c>
      <c r="O251" s="68" t="s">
        <v>3926</v>
      </c>
      <c r="Q251" s="61" t="s">
        <v>685</v>
      </c>
      <c r="R251" s="6"/>
      <c r="S251" s="6" t="s">
        <v>3545</v>
      </c>
      <c r="T251" s="6" t="s">
        <v>3506</v>
      </c>
      <c r="U251" s="6"/>
      <c r="V251" s="6"/>
      <c r="W251" s="6"/>
      <c r="X251" s="6"/>
      <c r="Y251" s="6"/>
      <c r="Z251" s="6"/>
      <c r="AA251" s="6"/>
      <c r="AB251" s="6"/>
      <c r="AC251" s="6"/>
      <c r="AD251" s="6"/>
      <c r="AE251" s="6"/>
      <c r="AF251" s="6"/>
      <c r="AG251" s="6"/>
      <c r="AH251" s="6"/>
      <c r="AI251" s="6"/>
      <c r="AJ251" s="6"/>
      <c r="AK251" s="6"/>
      <c r="AL251" s="6"/>
      <c r="AM251" s="6"/>
    </row>
    <row r="252" ht="45" customHeight="1" spans="1:39">
      <c r="A252" s="6" t="s">
        <v>872</v>
      </c>
      <c r="B252" s="7">
        <v>46175</v>
      </c>
      <c r="C252" s="6" t="str">
        <f t="shared" si="11"/>
        <v>2026年6月</v>
      </c>
      <c r="D252" s="6" t="s">
        <v>4121</v>
      </c>
      <c r="E252" s="40" t="s">
        <v>40</v>
      </c>
      <c r="F252" s="6" t="s">
        <v>11</v>
      </c>
      <c r="G252" s="10"/>
      <c r="H252" s="104" t="s">
        <v>82</v>
      </c>
      <c r="I252" s="61"/>
      <c r="J252" s="61"/>
      <c r="K252" s="61" t="s">
        <v>3971</v>
      </c>
      <c r="L252" s="61" t="s">
        <v>2232</v>
      </c>
      <c r="M252" s="61" t="s">
        <v>3971</v>
      </c>
      <c r="N252" s="61" t="s">
        <v>2232</v>
      </c>
      <c r="O252" s="10"/>
      <c r="Q252" s="61" t="s">
        <v>685</v>
      </c>
      <c r="R252" s="6"/>
      <c r="U252" s="6"/>
      <c r="V252" s="6"/>
      <c r="W252" s="6"/>
      <c r="X252" s="6"/>
      <c r="Y252" s="6"/>
      <c r="Z252" s="6"/>
      <c r="AA252" s="6"/>
      <c r="AB252" s="6"/>
      <c r="AC252" s="6"/>
      <c r="AD252" s="6"/>
      <c r="AE252" s="6"/>
      <c r="AF252" s="6"/>
      <c r="AG252" s="6"/>
      <c r="AH252" s="6"/>
      <c r="AI252" s="6"/>
      <c r="AJ252" s="6"/>
      <c r="AK252" s="6"/>
      <c r="AL252" s="6"/>
      <c r="AM252" s="6"/>
    </row>
    <row r="253" ht="45" customHeight="1" spans="1:39">
      <c r="A253" s="6" t="s">
        <v>872</v>
      </c>
      <c r="B253" s="7">
        <v>46175</v>
      </c>
      <c r="C253" s="6" t="str">
        <f t="shared" si="11"/>
        <v>2026年6月</v>
      </c>
      <c r="D253" s="6" t="s">
        <v>4122</v>
      </c>
      <c r="E253" s="40" t="s">
        <v>3577</v>
      </c>
      <c r="F253" s="6" t="s">
        <v>11</v>
      </c>
      <c r="G253" s="95" t="s">
        <v>4052</v>
      </c>
      <c r="H253" s="104" t="s">
        <v>82</v>
      </c>
      <c r="I253" s="61"/>
      <c r="J253" s="61"/>
      <c r="K253" s="98" t="s">
        <v>2232</v>
      </c>
      <c r="L253" s="98" t="s">
        <v>2232</v>
      </c>
      <c r="M253" s="61" t="s">
        <v>2232</v>
      </c>
      <c r="N253" s="61" t="s">
        <v>2232</v>
      </c>
      <c r="O253" s="61" t="s">
        <v>4094</v>
      </c>
      <c r="Q253" s="61" t="s">
        <v>685</v>
      </c>
      <c r="R253" s="6"/>
      <c r="S253" s="6"/>
      <c r="T253" s="6"/>
      <c r="U253" s="6"/>
      <c r="V253" s="6"/>
      <c r="W253" s="6"/>
      <c r="X253" s="6"/>
      <c r="Y253" s="6"/>
      <c r="Z253" s="6"/>
      <c r="AA253" s="6"/>
      <c r="AB253" s="6"/>
      <c r="AC253" s="6"/>
      <c r="AD253" s="6"/>
      <c r="AE253" s="6"/>
      <c r="AF253" s="6"/>
      <c r="AG253" s="6"/>
      <c r="AH253" s="6"/>
      <c r="AI253" s="6"/>
      <c r="AJ253" s="6"/>
      <c r="AK253" s="6"/>
      <c r="AL253" s="6"/>
      <c r="AM253" s="6"/>
    </row>
    <row r="254" ht="45" customHeight="1" spans="1:39">
      <c r="A254" s="6" t="s">
        <v>872</v>
      </c>
      <c r="B254" s="7">
        <v>46175</v>
      </c>
      <c r="C254" s="6" t="str">
        <f t="shared" si="11"/>
        <v>2026年6月</v>
      </c>
      <c r="D254" s="6" t="s">
        <v>4123</v>
      </c>
      <c r="E254" s="40" t="s">
        <v>40</v>
      </c>
      <c r="F254" s="6" t="s">
        <v>11</v>
      </c>
      <c r="G254" s="10"/>
      <c r="H254" s="104" t="s">
        <v>82</v>
      </c>
      <c r="I254" s="61"/>
      <c r="J254" s="61"/>
      <c r="K254" s="13"/>
      <c r="L254" s="13"/>
      <c r="M254" s="61" t="s">
        <v>2232</v>
      </c>
      <c r="N254" s="61" t="s">
        <v>2232</v>
      </c>
      <c r="O254" s="10"/>
      <c r="Q254" s="61" t="s">
        <v>685</v>
      </c>
      <c r="R254" s="6"/>
      <c r="S254" s="6"/>
      <c r="T254" s="6"/>
      <c r="U254" s="6"/>
      <c r="V254" s="6"/>
      <c r="W254" s="6"/>
      <c r="X254" s="6"/>
      <c r="Y254" s="6"/>
      <c r="Z254" s="6"/>
      <c r="AA254" s="6"/>
      <c r="AB254" s="6"/>
      <c r="AC254" s="6"/>
      <c r="AD254" s="6"/>
      <c r="AE254" s="6"/>
      <c r="AF254" s="6"/>
      <c r="AG254" s="6"/>
      <c r="AH254" s="6"/>
      <c r="AI254" s="6"/>
      <c r="AJ254" s="6"/>
      <c r="AK254" s="6"/>
      <c r="AL254" s="6"/>
      <c r="AM254" s="6"/>
    </row>
    <row r="255" ht="42" spans="1:39">
      <c r="A255" s="6" t="s">
        <v>872</v>
      </c>
      <c r="B255" s="7">
        <v>46177</v>
      </c>
      <c r="C255" s="6" t="str">
        <f t="shared" si="11"/>
        <v>2026年6月</v>
      </c>
      <c r="D255" s="92" t="s">
        <v>4124</v>
      </c>
      <c r="E255" s="40" t="s">
        <v>42</v>
      </c>
      <c r="F255" s="6" t="s">
        <v>10</v>
      </c>
      <c r="G255" s="95" t="s">
        <v>3955</v>
      </c>
      <c r="H255" s="104" t="s">
        <v>82</v>
      </c>
      <c r="I255" s="61" t="s">
        <v>3687</v>
      </c>
      <c r="J255" s="61"/>
      <c r="K255" s="61" t="s">
        <v>2232</v>
      </c>
      <c r="L255" s="61" t="s">
        <v>2232</v>
      </c>
      <c r="M255" s="61" t="s">
        <v>2232</v>
      </c>
      <c r="N255" s="61" t="s">
        <v>2232</v>
      </c>
      <c r="O255" s="68" t="s">
        <v>4125</v>
      </c>
      <c r="Q255" s="61" t="s">
        <v>689</v>
      </c>
      <c r="R255" s="6"/>
      <c r="S255" s="6" t="s">
        <v>3505</v>
      </c>
      <c r="T255" s="6" t="s">
        <v>3506</v>
      </c>
      <c r="U255" s="6"/>
      <c r="V255" s="6"/>
      <c r="W255" s="6"/>
      <c r="X255" s="6"/>
      <c r="Y255" s="6"/>
      <c r="Z255" s="6"/>
      <c r="AA255" s="6"/>
      <c r="AB255" s="6"/>
      <c r="AC255" s="6"/>
      <c r="AD255" s="6"/>
      <c r="AE255" s="6"/>
      <c r="AF255" s="6"/>
      <c r="AG255" s="6"/>
      <c r="AH255" s="6"/>
      <c r="AI255" s="6"/>
      <c r="AJ255" s="6"/>
      <c r="AK255" s="6"/>
      <c r="AL255" s="6"/>
      <c r="AM255" s="6"/>
    </row>
    <row r="256" ht="30" customHeight="1" spans="1:39">
      <c r="A256" s="6" t="s">
        <v>872</v>
      </c>
      <c r="B256" s="7">
        <v>46182</v>
      </c>
      <c r="C256" s="6" t="str">
        <f t="shared" si="11"/>
        <v>2026年6月</v>
      </c>
      <c r="D256" s="6" t="s">
        <v>4024</v>
      </c>
      <c r="E256" s="40" t="s">
        <v>42</v>
      </c>
      <c r="F256" s="6" t="s">
        <v>10</v>
      </c>
      <c r="G256" s="95" t="s">
        <v>4126</v>
      </c>
      <c r="H256" s="104" t="s">
        <v>290</v>
      </c>
      <c r="I256" s="61" t="s">
        <v>4034</v>
      </c>
      <c r="J256" s="61"/>
      <c r="K256" s="115">
        <v>160000000</v>
      </c>
      <c r="L256" s="98" t="s">
        <v>1172</v>
      </c>
      <c r="M256" s="86">
        <v>100000000</v>
      </c>
      <c r="N256" s="61" t="s">
        <v>1172</v>
      </c>
      <c r="O256" s="68" t="s">
        <v>4127</v>
      </c>
      <c r="Q256" s="61" t="s">
        <v>2701</v>
      </c>
      <c r="R256" s="6"/>
      <c r="S256" s="6" t="s">
        <v>3545</v>
      </c>
      <c r="T256" s="6" t="s">
        <v>3506</v>
      </c>
      <c r="U256" s="6"/>
      <c r="V256" s="6"/>
      <c r="W256" s="6"/>
      <c r="X256" s="6"/>
      <c r="Y256" s="6"/>
      <c r="Z256" s="6"/>
      <c r="AA256" s="6"/>
      <c r="AB256" s="6"/>
      <c r="AC256" s="6"/>
      <c r="AD256" s="6"/>
      <c r="AE256" s="6"/>
      <c r="AF256" s="6"/>
      <c r="AG256" s="6"/>
      <c r="AH256" s="6"/>
      <c r="AI256" s="6"/>
      <c r="AJ256" s="6"/>
      <c r="AK256" s="6"/>
      <c r="AL256" s="6"/>
      <c r="AM256" s="6"/>
    </row>
    <row r="257" ht="14" spans="1:39">
      <c r="A257" s="10"/>
      <c r="C257" s="10"/>
      <c r="E257" s="10"/>
      <c r="F257" s="10"/>
      <c r="G257" s="10"/>
      <c r="H257" s="10"/>
      <c r="I257" s="10"/>
      <c r="J257" s="61"/>
      <c r="K257" s="13"/>
      <c r="L257" s="13"/>
      <c r="M257" s="86">
        <v>60000000</v>
      </c>
      <c r="N257" s="61" t="s">
        <v>1172</v>
      </c>
      <c r="O257" s="68" t="s">
        <v>4128</v>
      </c>
      <c r="Q257" s="10"/>
      <c r="R257" s="6"/>
      <c r="U257" s="6"/>
      <c r="V257" s="6"/>
      <c r="W257" s="6"/>
      <c r="X257" s="6"/>
      <c r="Y257" s="6"/>
      <c r="Z257" s="6"/>
      <c r="AA257" s="6"/>
      <c r="AB257" s="6"/>
      <c r="AC257" s="6"/>
      <c r="AD257" s="6"/>
      <c r="AE257" s="6"/>
      <c r="AF257" s="6"/>
      <c r="AG257" s="6"/>
      <c r="AH257" s="6"/>
      <c r="AI257" s="6"/>
      <c r="AJ257" s="6"/>
      <c r="AK257" s="6"/>
      <c r="AL257" s="6"/>
      <c r="AM257" s="6"/>
    </row>
    <row r="258" ht="30" customHeight="1" spans="1:39">
      <c r="A258" s="10"/>
      <c r="C258" s="10"/>
      <c r="E258" s="10"/>
      <c r="F258" s="10"/>
      <c r="G258" s="95" t="s">
        <v>4066</v>
      </c>
      <c r="H258" s="104" t="s">
        <v>290</v>
      </c>
      <c r="I258" s="61" t="s">
        <v>3700</v>
      </c>
      <c r="J258" s="61"/>
      <c r="K258" s="86">
        <v>49876875</v>
      </c>
      <c r="L258" s="61" t="s">
        <v>1172</v>
      </c>
      <c r="M258" s="86">
        <v>49876875</v>
      </c>
      <c r="N258" s="61" t="s">
        <v>1172</v>
      </c>
      <c r="O258" s="108" t="s">
        <v>4129</v>
      </c>
      <c r="Q258" s="98" t="s">
        <v>849</v>
      </c>
      <c r="R258" s="6"/>
      <c r="S258" s="6" t="s">
        <v>3505</v>
      </c>
      <c r="T258" s="6" t="s">
        <v>3506</v>
      </c>
      <c r="U258" s="6"/>
      <c r="V258" s="6"/>
      <c r="W258" s="6"/>
      <c r="X258" s="6"/>
      <c r="Y258" s="6"/>
      <c r="Z258" s="6"/>
      <c r="AA258" s="6"/>
      <c r="AB258" s="6"/>
      <c r="AC258" s="6"/>
      <c r="AD258" s="6"/>
      <c r="AE258" s="6"/>
      <c r="AF258" s="6"/>
      <c r="AG258" s="6"/>
      <c r="AH258" s="6"/>
      <c r="AI258" s="6"/>
      <c r="AJ258" s="6"/>
      <c r="AK258" s="6"/>
      <c r="AL258" s="6"/>
      <c r="AM258" s="6"/>
    </row>
    <row r="259" ht="30" customHeight="1" spans="1:39">
      <c r="A259" s="11" t="s">
        <v>872</v>
      </c>
      <c r="B259" s="96">
        <v>46185</v>
      </c>
      <c r="C259" s="11" t="str">
        <f>YEAR(B259)&amp;"年"&amp;MONTH(B259)&amp;"月"</f>
        <v>2026年6月</v>
      </c>
      <c r="D259" s="116" t="s">
        <v>4024</v>
      </c>
      <c r="E259" s="117" t="s">
        <v>42</v>
      </c>
      <c r="F259" s="11" t="s">
        <v>10</v>
      </c>
      <c r="G259" s="118" t="s">
        <v>4080</v>
      </c>
      <c r="H259" s="104" t="s">
        <v>290</v>
      </c>
      <c r="I259" s="98" t="s">
        <v>4130</v>
      </c>
      <c r="J259" s="61"/>
      <c r="K259" s="119">
        <v>109848335</v>
      </c>
      <c r="L259" s="98" t="s">
        <v>1172</v>
      </c>
      <c r="M259" s="76">
        <v>48655</v>
      </c>
      <c r="N259" s="61" t="s">
        <v>1172</v>
      </c>
      <c r="O259" s="108" t="s">
        <v>4082</v>
      </c>
      <c r="Q259" s="12"/>
      <c r="R259" s="6"/>
      <c r="S259" s="6" t="s">
        <v>3505</v>
      </c>
      <c r="T259" s="6" t="s">
        <v>3506</v>
      </c>
      <c r="U259" s="6"/>
      <c r="V259" s="6"/>
      <c r="W259" s="6"/>
      <c r="X259" s="6"/>
      <c r="Y259" s="6"/>
      <c r="Z259" s="6"/>
      <c r="AA259" s="6"/>
      <c r="AB259" s="6"/>
      <c r="AC259" s="6"/>
      <c r="AD259" s="6"/>
      <c r="AE259" s="6"/>
      <c r="AF259" s="6"/>
      <c r="AG259" s="6"/>
      <c r="AH259" s="6"/>
      <c r="AI259" s="6"/>
      <c r="AJ259" s="6"/>
      <c r="AK259" s="6"/>
      <c r="AL259" s="6"/>
      <c r="AM259" s="6"/>
    </row>
    <row r="260" ht="14" spans="1:39">
      <c r="A260" s="12"/>
      <c r="B260" s="12"/>
      <c r="C260" s="12"/>
      <c r="D260" s="12"/>
      <c r="E260" s="12"/>
      <c r="F260" s="12"/>
      <c r="G260" s="12"/>
      <c r="H260" s="12"/>
      <c r="I260" s="12"/>
      <c r="J260" s="61"/>
      <c r="K260" s="12"/>
      <c r="L260" s="12"/>
      <c r="M260" s="76">
        <v>39956725</v>
      </c>
      <c r="N260" s="61" t="s">
        <v>1172</v>
      </c>
      <c r="O260" s="68" t="s">
        <v>4081</v>
      </c>
      <c r="Q260" s="12"/>
      <c r="R260" s="6"/>
      <c r="S260" s="6"/>
      <c r="T260" s="6"/>
      <c r="U260" s="6"/>
      <c r="V260" s="6"/>
      <c r="W260" s="6"/>
      <c r="X260" s="6"/>
      <c r="Y260" s="6"/>
      <c r="Z260" s="6"/>
      <c r="AA260" s="6"/>
      <c r="AB260" s="6"/>
      <c r="AC260" s="6"/>
      <c r="AD260" s="6"/>
      <c r="AE260" s="6"/>
      <c r="AF260" s="6"/>
      <c r="AG260" s="6"/>
      <c r="AH260" s="6"/>
      <c r="AI260" s="6"/>
      <c r="AJ260" s="6"/>
      <c r="AK260" s="6"/>
      <c r="AL260" s="6"/>
      <c r="AM260" s="6"/>
    </row>
    <row r="261" ht="14" spans="1:39">
      <c r="A261" s="13"/>
      <c r="B261" s="13"/>
      <c r="C261" s="13"/>
      <c r="D261" s="13"/>
      <c r="E261" s="13"/>
      <c r="F261" s="13"/>
      <c r="G261" s="13"/>
      <c r="H261" s="13"/>
      <c r="I261" s="13"/>
      <c r="J261" s="61"/>
      <c r="K261" s="13"/>
      <c r="L261" s="13"/>
      <c r="M261" s="76">
        <v>69842955</v>
      </c>
      <c r="N261" s="61" t="s">
        <v>1172</v>
      </c>
      <c r="O261" s="68" t="s">
        <v>4084</v>
      </c>
      <c r="Q261" s="13"/>
      <c r="R261" s="6"/>
      <c r="S261" s="6"/>
      <c r="T261" s="6"/>
      <c r="U261" s="6"/>
      <c r="V261" s="6"/>
      <c r="W261" s="6"/>
      <c r="X261" s="6"/>
      <c r="Y261" s="6"/>
      <c r="Z261" s="6"/>
      <c r="AA261" s="6"/>
      <c r="AB261" s="6"/>
      <c r="AC261" s="6"/>
      <c r="AD261" s="6"/>
      <c r="AE261" s="6"/>
      <c r="AF261" s="6"/>
      <c r="AG261" s="6"/>
      <c r="AH261" s="6"/>
      <c r="AI261" s="6"/>
      <c r="AJ261" s="6"/>
      <c r="AK261" s="6"/>
      <c r="AL261" s="6"/>
      <c r="AM261" s="6"/>
    </row>
    <row r="262" ht="42" spans="1:39">
      <c r="A262" s="6" t="s">
        <v>872</v>
      </c>
      <c r="B262" s="7">
        <v>46188</v>
      </c>
      <c r="C262" s="6" t="str">
        <f t="shared" ref="C262:C274" si="12">YEAR(B262)&amp;"年"&amp;MONTH(B262)&amp;"月"</f>
        <v>2026年6月</v>
      </c>
      <c r="D262" s="99" t="s">
        <v>4131</v>
      </c>
      <c r="E262" s="40" t="s">
        <v>42</v>
      </c>
      <c r="F262" s="6" t="s">
        <v>10</v>
      </c>
      <c r="G262" s="95" t="s">
        <v>3955</v>
      </c>
      <c r="H262" s="104" t="s">
        <v>290</v>
      </c>
      <c r="I262" s="61"/>
      <c r="J262" s="61"/>
      <c r="K262" s="61" t="s">
        <v>2232</v>
      </c>
      <c r="L262" s="61" t="s">
        <v>2232</v>
      </c>
      <c r="M262" s="61" t="s">
        <v>2232</v>
      </c>
      <c r="N262" s="61" t="s">
        <v>2232</v>
      </c>
      <c r="O262" s="68" t="s">
        <v>4132</v>
      </c>
      <c r="Q262" s="61" t="s">
        <v>689</v>
      </c>
      <c r="R262" s="6"/>
      <c r="S262" s="6" t="s">
        <v>3505</v>
      </c>
      <c r="T262" s="6" t="s">
        <v>3506</v>
      </c>
      <c r="U262" s="6"/>
      <c r="V262" s="6"/>
      <c r="W262" s="6"/>
      <c r="X262" s="6"/>
      <c r="Y262" s="6"/>
      <c r="Z262" s="6"/>
      <c r="AA262" s="6"/>
      <c r="AB262" s="6"/>
      <c r="AC262" s="6"/>
      <c r="AD262" s="6"/>
      <c r="AE262" s="6"/>
      <c r="AF262" s="6"/>
      <c r="AG262" s="6"/>
      <c r="AH262" s="6"/>
      <c r="AI262" s="6"/>
      <c r="AJ262" s="6"/>
      <c r="AK262" s="6"/>
      <c r="AL262" s="6"/>
      <c r="AM262" s="6"/>
    </row>
    <row r="263" ht="28" spans="1:39">
      <c r="A263" s="6" t="s">
        <v>872</v>
      </c>
      <c r="B263" s="7">
        <v>46188</v>
      </c>
      <c r="C263" s="6" t="str">
        <f t="shared" si="12"/>
        <v>2026年6月</v>
      </c>
      <c r="D263" s="6" t="s">
        <v>4133</v>
      </c>
      <c r="E263" s="40" t="s">
        <v>42</v>
      </c>
      <c r="F263" s="6" t="s">
        <v>10</v>
      </c>
      <c r="G263" s="95" t="s">
        <v>4134</v>
      </c>
      <c r="H263" s="104" t="s">
        <v>82</v>
      </c>
      <c r="I263" s="61" t="s">
        <v>3970</v>
      </c>
      <c r="J263" s="61"/>
      <c r="K263" s="61" t="s">
        <v>2232</v>
      </c>
      <c r="L263" s="61" t="s">
        <v>2232</v>
      </c>
      <c r="M263" s="61" t="s">
        <v>2232</v>
      </c>
      <c r="N263" s="61" t="s">
        <v>2232</v>
      </c>
      <c r="O263" s="68" t="s">
        <v>4135</v>
      </c>
      <c r="Q263" s="61" t="s">
        <v>822</v>
      </c>
      <c r="R263" s="6"/>
      <c r="S263" s="6" t="s">
        <v>3505</v>
      </c>
      <c r="T263" s="6" t="s">
        <v>3506</v>
      </c>
      <c r="U263" s="6"/>
      <c r="V263" s="6"/>
      <c r="W263" s="6"/>
      <c r="X263" s="6"/>
      <c r="Y263" s="6"/>
      <c r="Z263" s="6"/>
      <c r="AA263" s="6"/>
      <c r="AB263" s="6"/>
      <c r="AC263" s="6"/>
      <c r="AD263" s="6"/>
      <c r="AE263" s="6"/>
      <c r="AF263" s="6"/>
      <c r="AG263" s="6"/>
      <c r="AH263" s="6"/>
      <c r="AI263" s="6"/>
      <c r="AJ263" s="6"/>
      <c r="AK263" s="6"/>
      <c r="AL263" s="6"/>
      <c r="AM263" s="6"/>
    </row>
    <row r="264" ht="28" spans="1:39">
      <c r="A264" s="6" t="s">
        <v>872</v>
      </c>
      <c r="B264" s="7">
        <v>46189</v>
      </c>
      <c r="C264" s="6" t="str">
        <f t="shared" si="12"/>
        <v>2026年6月</v>
      </c>
      <c r="D264" s="6" t="s">
        <v>4136</v>
      </c>
      <c r="E264" s="40" t="s">
        <v>40</v>
      </c>
      <c r="F264" s="6" t="s">
        <v>11</v>
      </c>
      <c r="G264" s="95" t="s">
        <v>3824</v>
      </c>
      <c r="H264" s="104" t="s">
        <v>82</v>
      </c>
      <c r="I264" s="61"/>
      <c r="J264" s="61"/>
      <c r="K264" s="61" t="s">
        <v>2232</v>
      </c>
      <c r="L264" s="61" t="s">
        <v>2232</v>
      </c>
      <c r="M264" s="61" t="s">
        <v>2232</v>
      </c>
      <c r="N264" s="61" t="s">
        <v>2232</v>
      </c>
      <c r="O264" s="61" t="s">
        <v>3825</v>
      </c>
      <c r="Q264" s="61" t="s">
        <v>685</v>
      </c>
      <c r="R264" s="6"/>
      <c r="S264" s="6" t="s">
        <v>3505</v>
      </c>
      <c r="T264" s="6" t="s">
        <v>3506</v>
      </c>
      <c r="U264" s="6"/>
      <c r="V264" s="6"/>
      <c r="W264" s="6"/>
      <c r="X264" s="6"/>
      <c r="Y264" s="6"/>
      <c r="Z264" s="6"/>
      <c r="AA264" s="6"/>
      <c r="AB264" s="6"/>
      <c r="AC264" s="6"/>
      <c r="AD264" s="6"/>
      <c r="AE264" s="6"/>
      <c r="AF264" s="6"/>
      <c r="AG264" s="6"/>
      <c r="AH264" s="6"/>
      <c r="AI264" s="6"/>
      <c r="AJ264" s="6"/>
      <c r="AK264" s="6"/>
      <c r="AL264" s="6"/>
      <c r="AM264" s="6"/>
    </row>
    <row r="265" ht="56" spans="1:39">
      <c r="A265" s="6" t="s">
        <v>78</v>
      </c>
      <c r="B265" s="7">
        <v>46188</v>
      </c>
      <c r="C265" s="6" t="str">
        <f t="shared" si="12"/>
        <v>2026年6月</v>
      </c>
      <c r="D265" s="41" t="s">
        <v>4137</v>
      </c>
      <c r="E265" s="40" t="s">
        <v>42</v>
      </c>
      <c r="F265" s="6" t="s">
        <v>10</v>
      </c>
      <c r="G265" s="61" t="s">
        <v>770</v>
      </c>
      <c r="H265" s="104" t="s">
        <v>82</v>
      </c>
      <c r="I265" s="61"/>
      <c r="J265" s="61"/>
      <c r="K265" s="61" t="s">
        <v>2232</v>
      </c>
      <c r="L265" s="61" t="s">
        <v>2232</v>
      </c>
      <c r="M265" s="61" t="s">
        <v>2232</v>
      </c>
      <c r="N265" s="61" t="s">
        <v>2232</v>
      </c>
      <c r="O265" s="61"/>
      <c r="Q265" s="61"/>
      <c r="R265" s="6"/>
      <c r="S265" s="6"/>
      <c r="T265" s="6"/>
      <c r="U265" s="6"/>
      <c r="V265" s="6"/>
      <c r="W265" s="6"/>
      <c r="X265" s="6"/>
      <c r="Y265" s="6"/>
      <c r="Z265" s="6"/>
      <c r="AA265" s="6"/>
      <c r="AB265" s="6"/>
      <c r="AC265" s="6"/>
      <c r="AD265" s="6"/>
      <c r="AE265" s="6"/>
      <c r="AF265" s="6"/>
      <c r="AG265" s="6"/>
      <c r="AH265" s="6"/>
      <c r="AI265" s="6"/>
      <c r="AJ265" s="6"/>
      <c r="AK265" s="6"/>
      <c r="AL265" s="6"/>
      <c r="AM265" s="6"/>
    </row>
    <row r="266" ht="28" spans="1:39">
      <c r="A266" s="6" t="s">
        <v>142</v>
      </c>
      <c r="B266" s="7">
        <v>46190</v>
      </c>
      <c r="C266" s="6" t="str">
        <f t="shared" si="12"/>
        <v>2026年6月</v>
      </c>
      <c r="D266" s="6" t="s">
        <v>4138</v>
      </c>
      <c r="E266" s="40" t="s">
        <v>40</v>
      </c>
      <c r="F266" s="6" t="s">
        <v>11</v>
      </c>
      <c r="G266" s="95" t="s">
        <v>4139</v>
      </c>
      <c r="H266" s="104" t="s">
        <v>82</v>
      </c>
      <c r="I266" s="61"/>
      <c r="J266" s="61"/>
      <c r="K266" s="61" t="s">
        <v>2232</v>
      </c>
      <c r="L266" s="61" t="s">
        <v>2232</v>
      </c>
      <c r="M266" s="61" t="s">
        <v>2232</v>
      </c>
      <c r="N266" s="61" t="s">
        <v>2232</v>
      </c>
      <c r="O266" s="61"/>
      <c r="Q266" s="61"/>
      <c r="R266" s="6"/>
      <c r="S266" s="6"/>
      <c r="T266" s="6"/>
      <c r="U266" s="6"/>
      <c r="V266" s="6"/>
      <c r="W266" s="6"/>
      <c r="X266" s="6"/>
      <c r="Y266" s="6"/>
      <c r="Z266" s="6"/>
      <c r="AA266" s="6"/>
      <c r="AB266" s="6"/>
      <c r="AC266" s="6"/>
      <c r="AD266" s="6"/>
      <c r="AE266" s="6"/>
      <c r="AF266" s="6"/>
      <c r="AG266" s="6"/>
      <c r="AH266" s="6"/>
      <c r="AI266" s="6"/>
      <c r="AJ266" s="6"/>
      <c r="AK266" s="6"/>
      <c r="AL266" s="6"/>
      <c r="AM266" s="6"/>
    </row>
    <row r="267" ht="28" spans="1:39">
      <c r="A267" s="6" t="s">
        <v>872</v>
      </c>
      <c r="B267" s="7">
        <v>46190</v>
      </c>
      <c r="C267" s="6" t="str">
        <f t="shared" si="12"/>
        <v>2026年6月</v>
      </c>
      <c r="D267" s="6" t="s">
        <v>4024</v>
      </c>
      <c r="E267" s="40" t="s">
        <v>42</v>
      </c>
      <c r="F267" s="6" t="s">
        <v>10</v>
      </c>
      <c r="G267" s="95" t="s">
        <v>4126</v>
      </c>
      <c r="H267" s="104" t="s">
        <v>290</v>
      </c>
      <c r="I267" s="61" t="s">
        <v>4034</v>
      </c>
      <c r="J267" s="61"/>
      <c r="K267" s="76">
        <v>59100000</v>
      </c>
      <c r="L267" s="61" t="s">
        <v>1172</v>
      </c>
      <c r="M267" s="76">
        <v>59100000</v>
      </c>
      <c r="N267" s="61" t="s">
        <v>1172</v>
      </c>
      <c r="O267" s="68" t="s">
        <v>4140</v>
      </c>
      <c r="Q267" s="61" t="s">
        <v>2701</v>
      </c>
      <c r="R267" s="6"/>
      <c r="S267" s="6" t="s">
        <v>3545</v>
      </c>
      <c r="T267" s="6" t="s">
        <v>3506</v>
      </c>
      <c r="U267" s="6"/>
      <c r="V267" s="6"/>
      <c r="W267" s="6"/>
      <c r="X267" s="6"/>
      <c r="Y267" s="6"/>
      <c r="Z267" s="6"/>
      <c r="AA267" s="6"/>
      <c r="AB267" s="6"/>
      <c r="AC267" s="6"/>
      <c r="AD267" s="6"/>
      <c r="AE267" s="6"/>
      <c r="AF267" s="6"/>
      <c r="AG267" s="6"/>
      <c r="AH267" s="6"/>
      <c r="AI267" s="6"/>
      <c r="AJ267" s="6"/>
      <c r="AK267" s="6"/>
      <c r="AL267" s="6"/>
      <c r="AM267" s="6"/>
    </row>
    <row r="268" ht="28" spans="1:39">
      <c r="A268" s="6" t="s">
        <v>872</v>
      </c>
      <c r="B268" s="7">
        <v>46190</v>
      </c>
      <c r="C268" s="6" t="str">
        <f t="shared" si="12"/>
        <v>2026年6月</v>
      </c>
      <c r="D268" s="41" t="s">
        <v>4141</v>
      </c>
      <c r="E268" s="40" t="s">
        <v>42</v>
      </c>
      <c r="F268" s="6" t="s">
        <v>10</v>
      </c>
      <c r="G268" s="95" t="s">
        <v>4134</v>
      </c>
      <c r="H268" s="104" t="s">
        <v>290</v>
      </c>
      <c r="I268" s="61" t="s">
        <v>3970</v>
      </c>
      <c r="J268" s="61"/>
      <c r="K268" s="61" t="s">
        <v>2232</v>
      </c>
      <c r="L268" s="61" t="s">
        <v>2232</v>
      </c>
      <c r="M268" s="61" t="s">
        <v>2232</v>
      </c>
      <c r="N268" s="61" t="s">
        <v>2232</v>
      </c>
      <c r="O268" s="68" t="s">
        <v>4142</v>
      </c>
      <c r="Q268" s="61" t="s">
        <v>822</v>
      </c>
      <c r="R268" s="6"/>
      <c r="S268" s="6" t="s">
        <v>3505</v>
      </c>
      <c r="T268" s="6" t="s">
        <v>3506</v>
      </c>
      <c r="U268" s="6"/>
      <c r="V268" s="6"/>
      <c r="W268" s="6"/>
      <c r="X268" s="6"/>
      <c r="Y268" s="6"/>
      <c r="Z268" s="6"/>
      <c r="AA268" s="6"/>
      <c r="AB268" s="6"/>
      <c r="AC268" s="6"/>
      <c r="AD268" s="6"/>
      <c r="AE268" s="6"/>
      <c r="AF268" s="6"/>
      <c r="AG268" s="6"/>
      <c r="AH268" s="6"/>
      <c r="AI268" s="6"/>
      <c r="AJ268" s="6"/>
      <c r="AK268" s="6"/>
      <c r="AL268" s="6"/>
      <c r="AM268" s="6"/>
    </row>
    <row r="269" ht="28" spans="1:39">
      <c r="A269" s="6" t="s">
        <v>872</v>
      </c>
      <c r="B269" s="7">
        <v>46190</v>
      </c>
      <c r="C269" s="6" t="str">
        <f t="shared" si="12"/>
        <v>2026年6月</v>
      </c>
      <c r="D269" s="6" t="s">
        <v>4143</v>
      </c>
      <c r="E269" s="40" t="s">
        <v>3577</v>
      </c>
      <c r="F269" s="6" t="s">
        <v>11</v>
      </c>
      <c r="G269" s="95" t="s">
        <v>3765</v>
      </c>
      <c r="H269" s="104" t="s">
        <v>82</v>
      </c>
      <c r="I269" s="61"/>
      <c r="J269" s="61"/>
      <c r="K269" s="61" t="s">
        <v>2232</v>
      </c>
      <c r="L269" s="61" t="s">
        <v>2232</v>
      </c>
      <c r="M269" s="61" t="s">
        <v>2232</v>
      </c>
      <c r="N269" s="61" t="s">
        <v>2232</v>
      </c>
      <c r="O269" s="61" t="s">
        <v>4144</v>
      </c>
      <c r="Q269" s="61" t="s">
        <v>685</v>
      </c>
      <c r="R269" s="6"/>
      <c r="S269" s="6" t="s">
        <v>3545</v>
      </c>
      <c r="T269" s="6" t="s">
        <v>3506</v>
      </c>
      <c r="U269" s="6"/>
      <c r="V269" s="6"/>
      <c r="W269" s="6"/>
      <c r="X269" s="6"/>
      <c r="Y269" s="6"/>
      <c r="Z269" s="6"/>
      <c r="AA269" s="6"/>
      <c r="AB269" s="6"/>
      <c r="AC269" s="6"/>
      <c r="AD269" s="6"/>
      <c r="AE269" s="6"/>
      <c r="AF269" s="6"/>
      <c r="AG269" s="6"/>
      <c r="AH269" s="6"/>
      <c r="AI269" s="6"/>
      <c r="AJ269" s="6"/>
      <c r="AK269" s="6"/>
      <c r="AL269" s="6"/>
      <c r="AM269" s="6"/>
    </row>
    <row r="270" ht="28" spans="1:39">
      <c r="A270" s="6" t="s">
        <v>872</v>
      </c>
      <c r="B270" s="7">
        <v>46197</v>
      </c>
      <c r="C270" s="6" t="str">
        <f t="shared" si="12"/>
        <v>2026年6月</v>
      </c>
      <c r="D270" s="6" t="s">
        <v>4145</v>
      </c>
      <c r="E270" s="40" t="s">
        <v>40</v>
      </c>
      <c r="F270" s="6" t="s">
        <v>11</v>
      </c>
      <c r="G270" s="95" t="s">
        <v>4146</v>
      </c>
      <c r="H270" s="104" t="s">
        <v>82</v>
      </c>
      <c r="I270" s="61"/>
      <c r="J270" s="61"/>
      <c r="K270" s="61" t="s">
        <v>2232</v>
      </c>
      <c r="L270" s="61" t="s">
        <v>2232</v>
      </c>
      <c r="M270" s="61" t="s">
        <v>2232</v>
      </c>
      <c r="N270" s="61" t="s">
        <v>2232</v>
      </c>
      <c r="O270" s="61" t="s">
        <v>4147</v>
      </c>
      <c r="Q270" s="61" t="s">
        <v>685</v>
      </c>
      <c r="R270" s="6"/>
      <c r="S270" s="6" t="s">
        <v>3505</v>
      </c>
      <c r="T270" s="6" t="s">
        <v>3506</v>
      </c>
      <c r="U270" s="6"/>
      <c r="V270" s="6"/>
      <c r="W270" s="6"/>
      <c r="X270" s="6"/>
      <c r="Y270" s="6"/>
      <c r="Z270" s="6"/>
      <c r="AA270" s="6"/>
      <c r="AB270" s="6"/>
      <c r="AC270" s="6"/>
      <c r="AD270" s="6"/>
      <c r="AE270" s="6"/>
      <c r="AF270" s="6"/>
      <c r="AG270" s="6"/>
      <c r="AH270" s="6"/>
      <c r="AI270" s="6"/>
      <c r="AJ270" s="6"/>
      <c r="AK270" s="6"/>
      <c r="AL270" s="6"/>
      <c r="AM270" s="6"/>
    </row>
    <row r="271" ht="28" spans="1:39">
      <c r="A271" s="6" t="s">
        <v>872</v>
      </c>
      <c r="B271" s="7">
        <v>46198</v>
      </c>
      <c r="C271" s="6" t="str">
        <f t="shared" si="12"/>
        <v>2026年6月</v>
      </c>
      <c r="D271" s="6" t="s">
        <v>4024</v>
      </c>
      <c r="E271" s="40" t="s">
        <v>42</v>
      </c>
      <c r="F271" s="6" t="s">
        <v>10</v>
      </c>
      <c r="G271" s="95" t="s">
        <v>4037</v>
      </c>
      <c r="H271" s="104" t="s">
        <v>290</v>
      </c>
      <c r="I271" s="61" t="s">
        <v>3970</v>
      </c>
      <c r="J271" s="61"/>
      <c r="K271" s="76">
        <v>10000000</v>
      </c>
      <c r="L271" s="61" t="s">
        <v>1172</v>
      </c>
      <c r="M271" s="76">
        <v>10000000</v>
      </c>
      <c r="N271" s="61" t="s">
        <v>1172</v>
      </c>
      <c r="O271" s="68" t="s">
        <v>4148</v>
      </c>
      <c r="Q271" s="61" t="s">
        <v>4040</v>
      </c>
      <c r="R271" s="6"/>
      <c r="S271" s="6" t="s">
        <v>3505</v>
      </c>
      <c r="T271" s="6" t="s">
        <v>3506</v>
      </c>
      <c r="U271" s="6"/>
      <c r="V271" s="6"/>
      <c r="W271" s="6"/>
      <c r="X271" s="6"/>
      <c r="Y271" s="6"/>
      <c r="Z271" s="6"/>
      <c r="AA271" s="6"/>
      <c r="AB271" s="6"/>
      <c r="AC271" s="6"/>
      <c r="AD271" s="6"/>
      <c r="AE271" s="6"/>
      <c r="AF271" s="6"/>
      <c r="AG271" s="6"/>
      <c r="AH271" s="6"/>
      <c r="AI271" s="6"/>
      <c r="AJ271" s="6"/>
      <c r="AK271" s="6"/>
      <c r="AL271" s="6"/>
      <c r="AM271" s="6"/>
    </row>
    <row r="272" ht="28" spans="1:39">
      <c r="A272" s="6" t="s">
        <v>872</v>
      </c>
      <c r="B272" s="7">
        <v>46198</v>
      </c>
      <c r="C272" s="6" t="str">
        <f t="shared" si="12"/>
        <v>2026年6月</v>
      </c>
      <c r="D272" s="6" t="s">
        <v>4024</v>
      </c>
      <c r="E272" s="40" t="s">
        <v>42</v>
      </c>
      <c r="F272" s="6" t="s">
        <v>10</v>
      </c>
      <c r="G272" s="95" t="s">
        <v>4117</v>
      </c>
      <c r="H272" s="104" t="s">
        <v>290</v>
      </c>
      <c r="I272" s="61" t="s">
        <v>4034</v>
      </c>
      <c r="J272" s="61"/>
      <c r="K272" s="76">
        <v>5011900</v>
      </c>
      <c r="L272" s="61" t="s">
        <v>1172</v>
      </c>
      <c r="M272" s="76">
        <v>5011900</v>
      </c>
      <c r="N272" s="61" t="s">
        <v>1172</v>
      </c>
      <c r="O272" s="68" t="s">
        <v>4149</v>
      </c>
      <c r="Q272" s="61" t="s">
        <v>801</v>
      </c>
      <c r="R272" s="6"/>
      <c r="S272" s="6" t="s">
        <v>3505</v>
      </c>
      <c r="T272" s="6" t="s">
        <v>3506</v>
      </c>
      <c r="U272" s="6"/>
      <c r="V272" s="6"/>
      <c r="W272" s="6"/>
      <c r="X272" s="6"/>
      <c r="Y272" s="6"/>
      <c r="Z272" s="6"/>
      <c r="AA272" s="6"/>
      <c r="AB272" s="6"/>
      <c r="AC272" s="6"/>
      <c r="AD272" s="6"/>
      <c r="AE272" s="6"/>
      <c r="AF272" s="6"/>
      <c r="AG272" s="6"/>
      <c r="AH272" s="6"/>
      <c r="AI272" s="6"/>
      <c r="AJ272" s="6"/>
      <c r="AK272" s="6"/>
      <c r="AL272" s="6"/>
      <c r="AM272" s="6"/>
    </row>
    <row r="273" ht="28" spans="1:39">
      <c r="A273" s="6" t="s">
        <v>872</v>
      </c>
      <c r="B273" s="7">
        <v>46204</v>
      </c>
      <c r="C273" s="6" t="str">
        <f t="shared" si="12"/>
        <v>2026年7月</v>
      </c>
      <c r="D273" s="6" t="s">
        <v>4024</v>
      </c>
      <c r="E273" s="40" t="s">
        <v>42</v>
      </c>
      <c r="F273" s="6" t="s">
        <v>10</v>
      </c>
      <c r="G273" s="95" t="s">
        <v>4066</v>
      </c>
      <c r="H273" s="104" t="s">
        <v>290</v>
      </c>
      <c r="I273" s="61" t="s">
        <v>3700</v>
      </c>
      <c r="J273" s="61"/>
      <c r="K273" s="76">
        <v>49975355</v>
      </c>
      <c r="L273" s="61" t="s">
        <v>1172</v>
      </c>
      <c r="M273" s="76">
        <v>49975355</v>
      </c>
      <c r="N273" s="61" t="s">
        <v>1172</v>
      </c>
      <c r="O273" s="68" t="s">
        <v>4072</v>
      </c>
      <c r="Q273" s="61" t="s">
        <v>849</v>
      </c>
      <c r="R273" s="6"/>
      <c r="S273" s="6" t="s">
        <v>3505</v>
      </c>
      <c r="T273" s="6" t="s">
        <v>3506</v>
      </c>
      <c r="U273" s="6"/>
      <c r="V273" s="6"/>
      <c r="W273" s="6"/>
      <c r="X273" s="6"/>
      <c r="Y273" s="6"/>
      <c r="Z273" s="6"/>
      <c r="AA273" s="6"/>
      <c r="AB273" s="6"/>
      <c r="AC273" s="6"/>
      <c r="AD273" s="6"/>
      <c r="AE273" s="6"/>
      <c r="AF273" s="6"/>
      <c r="AG273" s="6"/>
      <c r="AH273" s="6"/>
      <c r="AI273" s="6"/>
      <c r="AJ273" s="6"/>
      <c r="AK273" s="6"/>
      <c r="AL273" s="6"/>
      <c r="AM273" s="6"/>
    </row>
    <row r="274" ht="28" spans="1:39">
      <c r="A274" s="6" t="s">
        <v>872</v>
      </c>
      <c r="B274" s="7">
        <v>46204</v>
      </c>
      <c r="C274" s="6" t="str">
        <f t="shared" si="12"/>
        <v>2026年7月</v>
      </c>
      <c r="D274" s="6" t="s">
        <v>4150</v>
      </c>
      <c r="E274" s="40" t="s">
        <v>42</v>
      </c>
      <c r="F274" s="6" t="s">
        <v>10</v>
      </c>
      <c r="G274" s="95" t="s">
        <v>4151</v>
      </c>
      <c r="H274" s="104" t="s">
        <v>290</v>
      </c>
      <c r="I274" s="61" t="s">
        <v>3970</v>
      </c>
      <c r="J274" s="61"/>
      <c r="K274" s="61" t="s">
        <v>2232</v>
      </c>
      <c r="L274" s="61" t="s">
        <v>2232</v>
      </c>
      <c r="M274" s="61" t="s">
        <v>2232</v>
      </c>
      <c r="N274" s="61" t="s">
        <v>2232</v>
      </c>
      <c r="O274" s="68" t="s">
        <v>4152</v>
      </c>
      <c r="Q274" s="61" t="s">
        <v>822</v>
      </c>
      <c r="R274" s="6"/>
      <c r="S274" s="6"/>
      <c r="T274" s="6"/>
      <c r="U274" s="6"/>
      <c r="V274" s="6"/>
      <c r="W274" s="6"/>
      <c r="X274" s="6"/>
      <c r="Y274" s="6"/>
      <c r="Z274" s="6"/>
      <c r="AA274" s="6"/>
      <c r="AB274" s="6"/>
      <c r="AC274" s="6"/>
      <c r="AD274" s="6"/>
      <c r="AE274" s="6"/>
      <c r="AF274" s="6"/>
      <c r="AG274" s="6"/>
      <c r="AH274" s="6"/>
      <c r="AI274" s="6"/>
      <c r="AJ274" s="6"/>
      <c r="AK274" s="6"/>
      <c r="AL274" s="6"/>
      <c r="AM274" s="6"/>
    </row>
    <row r="275" ht="14" spans="1:39">
      <c r="A275" s="61"/>
      <c r="B275" s="6"/>
      <c r="C275" s="6"/>
      <c r="D275" s="6"/>
      <c r="E275" s="40"/>
      <c r="F275" s="6"/>
      <c r="G275" s="61"/>
      <c r="H275" s="61"/>
      <c r="I275" s="61"/>
      <c r="J275" s="61"/>
      <c r="K275" s="61"/>
      <c r="L275" s="61"/>
      <c r="M275" s="61"/>
      <c r="N275" s="61"/>
      <c r="O275" s="61"/>
      <c r="Q275" s="61"/>
      <c r="R275" s="6"/>
      <c r="S275" s="6"/>
      <c r="T275" s="6"/>
      <c r="U275" s="6"/>
      <c r="V275" s="6"/>
      <c r="W275" s="6"/>
      <c r="X275" s="6"/>
      <c r="Y275" s="6"/>
      <c r="Z275" s="6"/>
      <c r="AA275" s="6"/>
      <c r="AB275" s="6"/>
      <c r="AC275" s="6"/>
      <c r="AD275" s="6"/>
      <c r="AE275" s="6"/>
      <c r="AF275" s="6"/>
      <c r="AG275" s="6"/>
      <c r="AH275" s="6"/>
      <c r="AI275" s="6"/>
      <c r="AJ275" s="6"/>
      <c r="AK275" s="6"/>
      <c r="AL275" s="6"/>
      <c r="AM275" s="6"/>
    </row>
    <row r="276" ht="14" spans="1:39">
      <c r="A276" s="61"/>
      <c r="B276" s="6"/>
      <c r="C276" s="6"/>
      <c r="D276" s="6"/>
      <c r="E276" s="40"/>
      <c r="F276" s="6"/>
      <c r="G276" s="61"/>
      <c r="H276" s="61"/>
      <c r="I276" s="61"/>
      <c r="J276" s="61"/>
      <c r="K276" s="61"/>
      <c r="L276" s="61"/>
      <c r="M276" s="61"/>
      <c r="N276" s="61"/>
      <c r="O276" s="61"/>
      <c r="Q276" s="61"/>
      <c r="R276" s="6"/>
      <c r="S276" s="6"/>
      <c r="T276" s="6"/>
      <c r="U276" s="6"/>
      <c r="V276" s="6"/>
      <c r="W276" s="6"/>
      <c r="X276" s="6"/>
      <c r="Y276" s="6"/>
      <c r="Z276" s="6"/>
      <c r="AA276" s="6"/>
      <c r="AB276" s="6"/>
      <c r="AC276" s="6"/>
      <c r="AD276" s="6"/>
      <c r="AE276" s="6"/>
      <c r="AF276" s="6"/>
      <c r="AG276" s="6"/>
      <c r="AH276" s="6"/>
      <c r="AI276" s="6"/>
      <c r="AJ276" s="6"/>
      <c r="AK276" s="6"/>
      <c r="AL276" s="6"/>
      <c r="AM276" s="6"/>
    </row>
    <row r="277" ht="14" spans="1:39">
      <c r="A277" s="61"/>
      <c r="B277" s="6"/>
      <c r="C277" s="6"/>
      <c r="D277" s="6"/>
      <c r="E277" s="40"/>
      <c r="F277" s="6"/>
      <c r="G277" s="61"/>
      <c r="H277" s="61"/>
      <c r="I277" s="61"/>
      <c r="J277" s="61"/>
      <c r="K277" s="61"/>
      <c r="L277" s="61"/>
      <c r="M277" s="61"/>
      <c r="N277" s="61"/>
      <c r="O277" s="61"/>
      <c r="Q277" s="61"/>
      <c r="R277" s="6"/>
      <c r="S277" s="6"/>
      <c r="T277" s="6"/>
      <c r="U277" s="6"/>
      <c r="V277" s="6"/>
      <c r="W277" s="6"/>
      <c r="X277" s="6"/>
      <c r="Y277" s="6"/>
      <c r="Z277" s="6"/>
      <c r="AA277" s="6"/>
      <c r="AB277" s="6"/>
      <c r="AC277" s="6"/>
      <c r="AD277" s="6"/>
      <c r="AE277" s="6"/>
      <c r="AF277" s="6"/>
      <c r="AG277" s="6"/>
      <c r="AH277" s="6"/>
      <c r="AI277" s="6"/>
      <c r="AJ277" s="6"/>
      <c r="AK277" s="6"/>
      <c r="AL277" s="6"/>
      <c r="AM277" s="6"/>
    </row>
    <row r="278" ht="14" spans="1:39">
      <c r="A278" s="61"/>
      <c r="B278" s="6"/>
      <c r="C278" s="6"/>
      <c r="D278" s="6"/>
      <c r="E278" s="40"/>
      <c r="F278" s="6"/>
      <c r="G278" s="61"/>
      <c r="H278" s="61"/>
      <c r="I278" s="61"/>
      <c r="J278" s="61"/>
      <c r="K278" s="61"/>
      <c r="L278" s="61"/>
      <c r="M278" s="61"/>
      <c r="N278" s="61"/>
      <c r="O278" s="61"/>
      <c r="Q278" s="61"/>
      <c r="R278" s="6"/>
      <c r="S278" s="6"/>
      <c r="T278" s="6"/>
      <c r="U278" s="6"/>
      <c r="V278" s="6"/>
      <c r="W278" s="6"/>
      <c r="X278" s="6"/>
      <c r="Y278" s="6"/>
      <c r="Z278" s="6"/>
      <c r="AA278" s="6"/>
      <c r="AB278" s="6"/>
      <c r="AC278" s="6"/>
      <c r="AD278" s="6"/>
      <c r="AE278" s="6"/>
      <c r="AF278" s="6"/>
      <c r="AG278" s="6"/>
      <c r="AH278" s="6"/>
      <c r="AI278" s="6"/>
      <c r="AJ278" s="6"/>
      <c r="AK278" s="6"/>
      <c r="AL278" s="6"/>
      <c r="AM278" s="6"/>
    </row>
    <row r="279" ht="14" spans="1:39">
      <c r="A279" s="61"/>
      <c r="B279" s="6"/>
      <c r="C279" s="6"/>
      <c r="D279" s="6"/>
      <c r="E279" s="40"/>
      <c r="F279" s="6"/>
      <c r="G279" s="61"/>
      <c r="H279" s="61"/>
      <c r="I279" s="61"/>
      <c r="J279" s="61"/>
      <c r="K279" s="61"/>
      <c r="L279" s="61"/>
      <c r="M279" s="61"/>
      <c r="N279" s="61"/>
      <c r="O279" s="61"/>
      <c r="Q279" s="61"/>
      <c r="R279" s="6"/>
      <c r="S279" s="6"/>
      <c r="T279" s="6"/>
      <c r="U279" s="6"/>
      <c r="V279" s="6"/>
      <c r="W279" s="6"/>
      <c r="X279" s="6"/>
      <c r="Y279" s="6"/>
      <c r="Z279" s="6"/>
      <c r="AA279" s="6"/>
      <c r="AB279" s="6"/>
      <c r="AC279" s="6"/>
      <c r="AD279" s="6"/>
      <c r="AE279" s="6"/>
      <c r="AF279" s="6"/>
      <c r="AG279" s="6"/>
      <c r="AH279" s="6"/>
      <c r="AI279" s="6"/>
      <c r="AJ279" s="6"/>
      <c r="AK279" s="6"/>
      <c r="AL279" s="6"/>
      <c r="AM279" s="6"/>
    </row>
    <row r="280" ht="14" spans="1:39">
      <c r="A280" s="61"/>
      <c r="B280" s="6"/>
      <c r="C280" s="6"/>
      <c r="D280" s="6"/>
      <c r="E280" s="40"/>
      <c r="F280" s="6"/>
      <c r="G280" s="61"/>
      <c r="H280" s="61"/>
      <c r="I280" s="61"/>
      <c r="J280" s="61"/>
      <c r="K280" s="61"/>
      <c r="L280" s="61"/>
      <c r="M280" s="61"/>
      <c r="N280" s="61"/>
      <c r="O280" s="61"/>
      <c r="Q280" s="61"/>
      <c r="R280" s="6"/>
      <c r="S280" s="6"/>
      <c r="T280" s="6"/>
      <c r="U280" s="6"/>
      <c r="V280" s="6"/>
      <c r="W280" s="6"/>
      <c r="X280" s="6"/>
      <c r="Y280" s="6"/>
      <c r="Z280" s="6"/>
      <c r="AA280" s="6"/>
      <c r="AB280" s="6"/>
      <c r="AC280" s="6"/>
      <c r="AD280" s="6"/>
      <c r="AE280" s="6"/>
      <c r="AF280" s="6"/>
      <c r="AG280" s="6"/>
      <c r="AH280" s="6"/>
      <c r="AI280" s="6"/>
      <c r="AJ280" s="6"/>
      <c r="AK280" s="6"/>
      <c r="AL280" s="6"/>
      <c r="AM280" s="6"/>
    </row>
    <row r="281" ht="14" spans="1:39">
      <c r="A281" s="61"/>
      <c r="B281" s="6"/>
      <c r="C281" s="6"/>
      <c r="D281" s="6"/>
      <c r="E281" s="40"/>
      <c r="F281" s="6"/>
      <c r="G281" s="61"/>
      <c r="H281" s="61"/>
      <c r="I281" s="61"/>
      <c r="J281" s="61"/>
      <c r="K281" s="61"/>
      <c r="L281" s="61"/>
      <c r="M281" s="61"/>
      <c r="N281" s="61"/>
      <c r="O281" s="61"/>
      <c r="Q281" s="61"/>
      <c r="R281" s="6"/>
      <c r="S281" s="6"/>
      <c r="T281" s="6"/>
      <c r="U281" s="6"/>
      <c r="V281" s="6"/>
      <c r="W281" s="6"/>
      <c r="X281" s="6"/>
      <c r="Y281" s="6"/>
      <c r="Z281" s="6"/>
      <c r="AA281" s="6"/>
      <c r="AB281" s="6"/>
      <c r="AC281" s="6"/>
      <c r="AD281" s="6"/>
      <c r="AE281" s="6"/>
      <c r="AF281" s="6"/>
      <c r="AG281" s="6"/>
      <c r="AH281" s="6"/>
      <c r="AI281" s="6"/>
      <c r="AJ281" s="6"/>
      <c r="AK281" s="6"/>
      <c r="AL281" s="6"/>
      <c r="AM281" s="6"/>
    </row>
    <row r="282" ht="14" spans="1:39">
      <c r="A282" s="61"/>
      <c r="B282" s="6"/>
      <c r="C282" s="6"/>
      <c r="D282" s="6"/>
      <c r="E282" s="40"/>
      <c r="F282" s="6"/>
      <c r="G282" s="61"/>
      <c r="H282" s="61"/>
      <c r="I282" s="61"/>
      <c r="J282" s="61"/>
      <c r="K282" s="61"/>
      <c r="L282" s="61"/>
      <c r="M282" s="61"/>
      <c r="N282" s="61"/>
      <c r="O282" s="61"/>
      <c r="Q282" s="61"/>
      <c r="R282" s="6"/>
      <c r="S282" s="6"/>
      <c r="T282" s="6"/>
      <c r="U282" s="6"/>
      <c r="V282" s="6"/>
      <c r="W282" s="6"/>
      <c r="X282" s="6"/>
      <c r="Y282" s="6"/>
      <c r="Z282" s="6"/>
      <c r="AA282" s="6"/>
      <c r="AB282" s="6"/>
      <c r="AC282" s="6"/>
      <c r="AD282" s="6"/>
      <c r="AE282" s="6"/>
      <c r="AF282" s="6"/>
      <c r="AG282" s="6"/>
      <c r="AH282" s="6"/>
      <c r="AI282" s="6"/>
      <c r="AJ282" s="6"/>
      <c r="AK282" s="6"/>
      <c r="AL282" s="6"/>
      <c r="AM282" s="6"/>
    </row>
    <row r="283" ht="14" spans="1:39">
      <c r="A283" s="61"/>
      <c r="B283" s="6"/>
      <c r="C283" s="6"/>
      <c r="D283" s="6"/>
      <c r="E283" s="40"/>
      <c r="F283" s="6"/>
      <c r="G283" s="61"/>
      <c r="H283" s="61"/>
      <c r="I283" s="61"/>
      <c r="J283" s="61"/>
      <c r="K283" s="61"/>
      <c r="L283" s="61"/>
      <c r="M283" s="61"/>
      <c r="N283" s="61"/>
      <c r="O283" s="61"/>
      <c r="Q283" s="61"/>
      <c r="R283" s="6"/>
      <c r="S283" s="6"/>
      <c r="T283" s="6"/>
      <c r="U283" s="6"/>
      <c r="V283" s="6"/>
      <c r="W283" s="6"/>
      <c r="X283" s="6"/>
      <c r="Y283" s="6"/>
      <c r="Z283" s="6"/>
      <c r="AA283" s="6"/>
      <c r="AB283" s="6"/>
      <c r="AC283" s="6"/>
      <c r="AD283" s="6"/>
      <c r="AE283" s="6"/>
      <c r="AF283" s="6"/>
      <c r="AG283" s="6"/>
      <c r="AH283" s="6"/>
      <c r="AI283" s="6"/>
      <c r="AJ283" s="6"/>
      <c r="AK283" s="6"/>
      <c r="AL283" s="6"/>
      <c r="AM283" s="6"/>
    </row>
    <row r="284" ht="14" spans="1:39">
      <c r="A284" s="61"/>
      <c r="B284" s="6"/>
      <c r="C284" s="6"/>
      <c r="D284" s="6"/>
      <c r="E284" s="40"/>
      <c r="F284" s="6"/>
      <c r="G284" s="61"/>
      <c r="H284" s="61"/>
      <c r="I284" s="61"/>
      <c r="J284" s="61"/>
      <c r="K284" s="61"/>
      <c r="L284" s="61"/>
      <c r="M284" s="61"/>
      <c r="N284" s="61"/>
      <c r="O284" s="61"/>
      <c r="Q284" s="61"/>
      <c r="R284" s="6"/>
      <c r="S284" s="6"/>
      <c r="T284" s="6"/>
      <c r="U284" s="6"/>
      <c r="V284" s="6"/>
      <c r="W284" s="6"/>
      <c r="X284" s="6"/>
      <c r="Y284" s="6"/>
      <c r="Z284" s="6"/>
      <c r="AA284" s="6"/>
      <c r="AB284" s="6"/>
      <c r="AC284" s="6"/>
      <c r="AD284" s="6"/>
      <c r="AE284" s="6"/>
      <c r="AF284" s="6"/>
      <c r="AG284" s="6"/>
      <c r="AH284" s="6"/>
      <c r="AI284" s="6"/>
      <c r="AJ284" s="6"/>
      <c r="AK284" s="6"/>
      <c r="AL284" s="6"/>
      <c r="AM284" s="6"/>
    </row>
    <row r="285" ht="14" spans="1:39">
      <c r="A285" s="61"/>
      <c r="B285" s="6"/>
      <c r="C285" s="6"/>
      <c r="D285" s="6"/>
      <c r="E285" s="40"/>
      <c r="F285" s="6"/>
      <c r="G285" s="61"/>
      <c r="H285" s="61"/>
      <c r="I285" s="61"/>
      <c r="J285" s="61"/>
      <c r="K285" s="61"/>
      <c r="L285" s="61"/>
      <c r="M285" s="61"/>
      <c r="N285" s="61"/>
      <c r="O285" s="61"/>
      <c r="Q285" s="61"/>
      <c r="R285" s="6"/>
      <c r="S285" s="6"/>
      <c r="T285" s="6"/>
      <c r="U285" s="6"/>
      <c r="V285" s="6"/>
      <c r="W285" s="6"/>
      <c r="X285" s="6"/>
      <c r="Y285" s="6"/>
      <c r="Z285" s="6"/>
      <c r="AA285" s="6"/>
      <c r="AB285" s="6"/>
      <c r="AC285" s="6"/>
      <c r="AD285" s="6"/>
      <c r="AE285" s="6"/>
      <c r="AF285" s="6"/>
      <c r="AG285" s="6"/>
      <c r="AH285" s="6"/>
      <c r="AI285" s="6"/>
      <c r="AJ285" s="6"/>
      <c r="AK285" s="6"/>
      <c r="AL285" s="6"/>
      <c r="AM285" s="6"/>
    </row>
    <row r="286" ht="14" spans="1:39">
      <c r="A286" s="61"/>
      <c r="B286" s="6"/>
      <c r="C286" s="6"/>
      <c r="D286" s="6"/>
      <c r="E286" s="40"/>
      <c r="F286" s="6"/>
      <c r="G286" s="61"/>
      <c r="H286" s="61"/>
      <c r="I286" s="61"/>
      <c r="J286" s="61"/>
      <c r="K286" s="61"/>
      <c r="L286" s="61"/>
      <c r="M286" s="61"/>
      <c r="N286" s="61"/>
      <c r="O286" s="61"/>
      <c r="Q286" s="61"/>
      <c r="R286" s="6"/>
      <c r="S286" s="6"/>
      <c r="T286" s="6"/>
      <c r="U286" s="6"/>
      <c r="V286" s="6"/>
      <c r="W286" s="6"/>
      <c r="X286" s="6"/>
      <c r="Y286" s="6"/>
      <c r="Z286" s="6"/>
      <c r="AA286" s="6"/>
      <c r="AB286" s="6"/>
      <c r="AC286" s="6"/>
      <c r="AD286" s="6"/>
      <c r="AE286" s="6"/>
      <c r="AF286" s="6"/>
      <c r="AG286" s="6"/>
      <c r="AH286" s="6"/>
      <c r="AI286" s="6"/>
      <c r="AJ286" s="6"/>
      <c r="AK286" s="6"/>
      <c r="AL286" s="6"/>
      <c r="AM286" s="6"/>
    </row>
    <row r="287" ht="14" spans="1:39">
      <c r="A287" s="61"/>
      <c r="B287" s="6"/>
      <c r="C287" s="6"/>
      <c r="D287" s="6"/>
      <c r="E287" s="40"/>
      <c r="F287" s="6"/>
      <c r="G287" s="61"/>
      <c r="H287" s="61"/>
      <c r="I287" s="61"/>
      <c r="J287" s="61"/>
      <c r="K287" s="61"/>
      <c r="L287" s="61"/>
      <c r="M287" s="61"/>
      <c r="N287" s="61"/>
      <c r="O287" s="61"/>
      <c r="Q287" s="61"/>
      <c r="R287" s="6"/>
      <c r="S287" s="6"/>
      <c r="T287" s="6"/>
      <c r="U287" s="6"/>
      <c r="V287" s="6"/>
      <c r="W287" s="6"/>
      <c r="X287" s="6"/>
      <c r="Y287" s="6"/>
      <c r="Z287" s="6"/>
      <c r="AA287" s="6"/>
      <c r="AB287" s="6"/>
      <c r="AC287" s="6"/>
      <c r="AD287" s="6"/>
      <c r="AE287" s="6"/>
      <c r="AF287" s="6"/>
      <c r="AG287" s="6"/>
      <c r="AH287" s="6"/>
      <c r="AI287" s="6"/>
      <c r="AJ287" s="6"/>
      <c r="AK287" s="6"/>
      <c r="AL287" s="6"/>
      <c r="AM287" s="6"/>
    </row>
    <row r="288" ht="14" spans="1:39">
      <c r="A288" s="61"/>
      <c r="B288" s="6"/>
      <c r="C288" s="6"/>
      <c r="D288" s="6"/>
      <c r="E288" s="40"/>
      <c r="F288" s="6"/>
      <c r="G288" s="61"/>
      <c r="H288" s="61"/>
      <c r="I288" s="61"/>
      <c r="J288" s="61"/>
      <c r="K288" s="61"/>
      <c r="L288" s="61"/>
      <c r="M288" s="61"/>
      <c r="N288" s="61"/>
      <c r="O288" s="61"/>
      <c r="Q288" s="61"/>
      <c r="R288" s="6"/>
      <c r="S288" s="6"/>
      <c r="T288" s="6"/>
      <c r="U288" s="6"/>
      <c r="V288" s="6"/>
      <c r="W288" s="6"/>
      <c r="X288" s="6"/>
      <c r="Y288" s="6"/>
      <c r="Z288" s="6"/>
      <c r="AA288" s="6"/>
      <c r="AB288" s="6"/>
      <c r="AC288" s="6"/>
      <c r="AD288" s="6"/>
      <c r="AE288" s="6"/>
      <c r="AF288" s="6"/>
      <c r="AG288" s="6"/>
      <c r="AH288" s="6"/>
      <c r="AI288" s="6"/>
      <c r="AJ288" s="6"/>
      <c r="AK288" s="6"/>
      <c r="AL288" s="6"/>
      <c r="AM288" s="6"/>
    </row>
    <row r="289" ht="14" spans="1:39">
      <c r="A289" s="61"/>
      <c r="B289" s="6"/>
      <c r="C289" s="6"/>
      <c r="D289" s="6"/>
      <c r="E289" s="40"/>
      <c r="F289" s="6"/>
      <c r="G289" s="61"/>
      <c r="H289" s="61"/>
      <c r="I289" s="61"/>
      <c r="J289" s="61"/>
      <c r="K289" s="61"/>
      <c r="L289" s="61"/>
      <c r="M289" s="61"/>
      <c r="N289" s="61"/>
      <c r="O289" s="61"/>
      <c r="Q289" s="61"/>
      <c r="R289" s="6"/>
      <c r="S289" s="6"/>
      <c r="T289" s="6"/>
      <c r="U289" s="6"/>
      <c r="V289" s="6"/>
      <c r="W289" s="6"/>
      <c r="X289" s="6"/>
      <c r="Y289" s="6"/>
      <c r="Z289" s="6"/>
      <c r="AA289" s="6"/>
      <c r="AB289" s="6"/>
      <c r="AC289" s="6"/>
      <c r="AD289" s="6"/>
      <c r="AE289" s="6"/>
      <c r="AF289" s="6"/>
      <c r="AG289" s="6"/>
      <c r="AH289" s="6"/>
      <c r="AI289" s="6"/>
      <c r="AJ289" s="6"/>
      <c r="AK289" s="6"/>
      <c r="AL289" s="6"/>
      <c r="AM289" s="6"/>
    </row>
    <row r="290" ht="14" spans="1:39">
      <c r="A290" s="61"/>
      <c r="B290" s="6"/>
      <c r="C290" s="6"/>
      <c r="D290" s="6"/>
      <c r="E290" s="40"/>
      <c r="F290" s="6"/>
      <c r="G290" s="61"/>
      <c r="H290" s="61"/>
      <c r="I290" s="61"/>
      <c r="J290" s="61"/>
      <c r="K290" s="61"/>
      <c r="L290" s="61"/>
      <c r="M290" s="61"/>
      <c r="N290" s="61"/>
      <c r="O290" s="61"/>
      <c r="Q290" s="61"/>
      <c r="R290" s="6"/>
      <c r="S290" s="6"/>
      <c r="T290" s="6"/>
      <c r="U290" s="6"/>
      <c r="V290" s="6"/>
      <c r="W290" s="6"/>
      <c r="X290" s="6"/>
      <c r="Y290" s="6"/>
      <c r="Z290" s="6"/>
      <c r="AA290" s="6"/>
      <c r="AB290" s="6"/>
      <c r="AC290" s="6"/>
      <c r="AD290" s="6"/>
      <c r="AE290" s="6"/>
      <c r="AF290" s="6"/>
      <c r="AG290" s="6"/>
      <c r="AH290" s="6"/>
      <c r="AI290" s="6"/>
      <c r="AJ290" s="6"/>
      <c r="AK290" s="6"/>
      <c r="AL290" s="6"/>
      <c r="AM290" s="6"/>
    </row>
    <row r="291" ht="14" spans="1:39">
      <c r="A291" s="61"/>
      <c r="B291" s="6"/>
      <c r="C291" s="6"/>
      <c r="D291" s="6"/>
      <c r="E291" s="40"/>
      <c r="F291" s="6"/>
      <c r="G291" s="61"/>
      <c r="H291" s="61"/>
      <c r="I291" s="61"/>
      <c r="J291" s="61"/>
      <c r="K291" s="61"/>
      <c r="L291" s="61"/>
      <c r="M291" s="61"/>
      <c r="N291" s="61"/>
      <c r="O291" s="61"/>
      <c r="Q291" s="61"/>
      <c r="R291" s="6"/>
      <c r="S291" s="6"/>
      <c r="T291" s="6"/>
      <c r="U291" s="6"/>
      <c r="V291" s="6"/>
      <c r="W291" s="6"/>
      <c r="X291" s="6"/>
      <c r="Y291" s="6"/>
      <c r="Z291" s="6"/>
      <c r="AA291" s="6"/>
      <c r="AB291" s="6"/>
      <c r="AC291" s="6"/>
      <c r="AD291" s="6"/>
      <c r="AE291" s="6"/>
      <c r="AF291" s="6"/>
      <c r="AG291" s="6"/>
      <c r="AH291" s="6"/>
      <c r="AI291" s="6"/>
      <c r="AJ291" s="6"/>
      <c r="AK291" s="6"/>
      <c r="AL291" s="6"/>
      <c r="AM291" s="6"/>
    </row>
    <row r="292" ht="14" spans="1:39">
      <c r="A292" s="61"/>
      <c r="B292" s="6"/>
      <c r="C292" s="6"/>
      <c r="D292" s="6"/>
      <c r="E292" s="40"/>
      <c r="F292" s="6"/>
      <c r="G292" s="61"/>
      <c r="H292" s="61"/>
      <c r="I292" s="61"/>
      <c r="J292" s="61"/>
      <c r="K292" s="61"/>
      <c r="L292" s="61"/>
      <c r="M292" s="61"/>
      <c r="N292" s="61"/>
      <c r="O292" s="61"/>
      <c r="Q292" s="61"/>
      <c r="R292" s="6"/>
      <c r="S292" s="6"/>
      <c r="T292" s="6"/>
      <c r="U292" s="6"/>
      <c r="V292" s="6"/>
      <c r="W292" s="6"/>
      <c r="X292" s="6"/>
      <c r="Y292" s="6"/>
      <c r="Z292" s="6"/>
      <c r="AA292" s="6"/>
      <c r="AB292" s="6"/>
      <c r="AC292" s="6"/>
      <c r="AD292" s="6"/>
      <c r="AE292" s="6"/>
      <c r="AF292" s="6"/>
      <c r="AG292" s="6"/>
      <c r="AH292" s="6"/>
      <c r="AI292" s="6"/>
      <c r="AJ292" s="6"/>
      <c r="AK292" s="6"/>
      <c r="AL292" s="6"/>
      <c r="AM292" s="6"/>
    </row>
    <row r="293" ht="14" spans="1:39">
      <c r="A293" s="61"/>
      <c r="B293" s="6"/>
      <c r="C293" s="6"/>
      <c r="D293" s="6"/>
      <c r="E293" s="40"/>
      <c r="F293" s="6"/>
      <c r="G293" s="61"/>
      <c r="H293" s="61"/>
      <c r="I293" s="61"/>
      <c r="J293" s="61"/>
      <c r="K293" s="61"/>
      <c r="L293" s="61"/>
      <c r="M293" s="61"/>
      <c r="N293" s="61"/>
      <c r="O293" s="61"/>
      <c r="Q293" s="61"/>
      <c r="R293" s="6"/>
      <c r="S293" s="6"/>
      <c r="T293" s="6"/>
      <c r="U293" s="6"/>
      <c r="V293" s="6"/>
      <c r="W293" s="6"/>
      <c r="X293" s="6"/>
      <c r="Y293" s="6"/>
      <c r="Z293" s="6"/>
      <c r="AA293" s="6"/>
      <c r="AB293" s="6"/>
      <c r="AC293" s="6"/>
      <c r="AD293" s="6"/>
      <c r="AE293" s="6"/>
      <c r="AF293" s="6"/>
      <c r="AG293" s="6"/>
      <c r="AH293" s="6"/>
      <c r="AI293" s="6"/>
      <c r="AJ293" s="6"/>
      <c r="AK293" s="6"/>
      <c r="AL293" s="6"/>
      <c r="AM293" s="6"/>
    </row>
    <row r="294" ht="14" spans="1:39">
      <c r="A294" s="61"/>
      <c r="B294" s="6"/>
      <c r="C294" s="6"/>
      <c r="D294" s="6"/>
      <c r="E294" s="40"/>
      <c r="F294" s="6"/>
      <c r="G294" s="61"/>
      <c r="H294" s="61"/>
      <c r="I294" s="61"/>
      <c r="J294" s="61"/>
      <c r="K294" s="61"/>
      <c r="L294" s="61"/>
      <c r="M294" s="61"/>
      <c r="N294" s="61"/>
      <c r="O294" s="61"/>
      <c r="Q294" s="61"/>
      <c r="R294" s="6"/>
      <c r="S294" s="6"/>
      <c r="T294" s="6"/>
      <c r="U294" s="6"/>
      <c r="V294" s="6"/>
      <c r="W294" s="6"/>
      <c r="X294" s="6"/>
      <c r="Y294" s="6"/>
      <c r="Z294" s="6"/>
      <c r="AA294" s="6"/>
      <c r="AB294" s="6"/>
      <c r="AC294" s="6"/>
      <c r="AD294" s="6"/>
      <c r="AE294" s="6"/>
      <c r="AF294" s="6"/>
      <c r="AG294" s="6"/>
      <c r="AH294" s="6"/>
      <c r="AI294" s="6"/>
      <c r="AJ294" s="6"/>
      <c r="AK294" s="6"/>
      <c r="AL294" s="6"/>
      <c r="AM294" s="6"/>
    </row>
    <row r="295" ht="14" spans="1:39">
      <c r="A295" s="61"/>
      <c r="B295" s="6"/>
      <c r="C295" s="6"/>
      <c r="D295" s="6"/>
      <c r="E295" s="40"/>
      <c r="F295" s="6"/>
      <c r="G295" s="61"/>
      <c r="H295" s="61"/>
      <c r="I295" s="61"/>
      <c r="J295" s="61"/>
      <c r="K295" s="61"/>
      <c r="L295" s="61"/>
      <c r="M295" s="61"/>
      <c r="N295" s="61"/>
      <c r="O295" s="61"/>
      <c r="Q295" s="61"/>
      <c r="R295" s="6"/>
      <c r="S295" s="6"/>
      <c r="T295" s="6"/>
      <c r="U295" s="6"/>
      <c r="V295" s="6"/>
      <c r="W295" s="6"/>
      <c r="X295" s="6"/>
      <c r="Y295" s="6"/>
      <c r="Z295" s="6"/>
      <c r="AA295" s="6"/>
      <c r="AB295" s="6"/>
      <c r="AC295" s="6"/>
      <c r="AD295" s="6"/>
      <c r="AE295" s="6"/>
      <c r="AF295" s="6"/>
      <c r="AG295" s="6"/>
      <c r="AH295" s="6"/>
      <c r="AI295" s="6"/>
      <c r="AJ295" s="6"/>
      <c r="AK295" s="6"/>
      <c r="AL295" s="6"/>
      <c r="AM295" s="6"/>
    </row>
    <row r="296" ht="14" spans="1:39">
      <c r="A296" s="61"/>
      <c r="B296" s="6"/>
      <c r="C296" s="6"/>
      <c r="D296" s="6"/>
      <c r="E296" s="40"/>
      <c r="F296" s="6"/>
      <c r="G296" s="61"/>
      <c r="H296" s="61"/>
      <c r="I296" s="61"/>
      <c r="J296" s="61"/>
      <c r="K296" s="61"/>
      <c r="L296" s="61"/>
      <c r="M296" s="61"/>
      <c r="N296" s="61"/>
      <c r="O296" s="61"/>
      <c r="Q296" s="61"/>
      <c r="R296" s="6"/>
      <c r="S296" s="6"/>
      <c r="T296" s="6"/>
      <c r="U296" s="6"/>
      <c r="V296" s="6"/>
      <c r="W296" s="6"/>
      <c r="X296" s="6"/>
      <c r="Y296" s="6"/>
      <c r="Z296" s="6"/>
      <c r="AA296" s="6"/>
      <c r="AB296" s="6"/>
      <c r="AC296" s="6"/>
      <c r="AD296" s="6"/>
      <c r="AE296" s="6"/>
      <c r="AF296" s="6"/>
      <c r="AG296" s="6"/>
      <c r="AH296" s="6"/>
      <c r="AI296" s="6"/>
      <c r="AJ296" s="6"/>
      <c r="AK296" s="6"/>
      <c r="AL296" s="6"/>
      <c r="AM296" s="6"/>
    </row>
    <row r="297" ht="14" spans="1:39">
      <c r="A297" s="61"/>
      <c r="B297" s="6"/>
      <c r="C297" s="6"/>
      <c r="D297" s="6"/>
      <c r="E297" s="40"/>
      <c r="F297" s="6"/>
      <c r="G297" s="61"/>
      <c r="H297" s="61"/>
      <c r="I297" s="61"/>
      <c r="J297" s="61"/>
      <c r="K297" s="61"/>
      <c r="L297" s="61"/>
      <c r="M297" s="61"/>
      <c r="N297" s="61"/>
      <c r="O297" s="61"/>
      <c r="Q297" s="61"/>
      <c r="R297" s="6"/>
      <c r="S297" s="6"/>
      <c r="T297" s="6"/>
      <c r="U297" s="6"/>
      <c r="V297" s="6"/>
      <c r="W297" s="6"/>
      <c r="X297" s="6"/>
      <c r="Y297" s="6"/>
      <c r="Z297" s="6"/>
      <c r="AA297" s="6"/>
      <c r="AB297" s="6"/>
      <c r="AC297" s="6"/>
      <c r="AD297" s="6"/>
      <c r="AE297" s="6"/>
      <c r="AF297" s="6"/>
      <c r="AG297" s="6"/>
      <c r="AH297" s="6"/>
      <c r="AI297" s="6"/>
      <c r="AJ297" s="6"/>
      <c r="AK297" s="6"/>
      <c r="AL297" s="6"/>
      <c r="AM297" s="6"/>
    </row>
    <row r="298" ht="14" spans="1:39">
      <c r="A298" s="61"/>
      <c r="B298" s="6"/>
      <c r="C298" s="6"/>
      <c r="D298" s="6"/>
      <c r="E298" s="40"/>
      <c r="F298" s="6"/>
      <c r="G298" s="61"/>
      <c r="H298" s="61"/>
      <c r="I298" s="61"/>
      <c r="J298" s="61"/>
      <c r="K298" s="61"/>
      <c r="L298" s="61"/>
      <c r="M298" s="61"/>
      <c r="N298" s="61"/>
      <c r="O298" s="61"/>
      <c r="Q298" s="61"/>
      <c r="R298" s="6"/>
      <c r="S298" s="6"/>
      <c r="T298" s="6"/>
      <c r="U298" s="6"/>
      <c r="V298" s="6"/>
      <c r="W298" s="6"/>
      <c r="X298" s="6"/>
      <c r="Y298" s="6"/>
      <c r="Z298" s="6"/>
      <c r="AA298" s="6"/>
      <c r="AB298" s="6"/>
      <c r="AC298" s="6"/>
      <c r="AD298" s="6"/>
      <c r="AE298" s="6"/>
      <c r="AF298" s="6"/>
      <c r="AG298" s="6"/>
      <c r="AH298" s="6"/>
      <c r="AI298" s="6"/>
      <c r="AJ298" s="6"/>
      <c r="AK298" s="6"/>
      <c r="AL298" s="6"/>
      <c r="AM298" s="6"/>
    </row>
    <row r="299" ht="14" spans="1:39">
      <c r="A299" s="61"/>
      <c r="B299" s="6"/>
      <c r="C299" s="6"/>
      <c r="D299" s="6"/>
      <c r="E299" s="40"/>
      <c r="F299" s="6"/>
      <c r="G299" s="61"/>
      <c r="H299" s="61"/>
      <c r="I299" s="61"/>
      <c r="J299" s="61"/>
      <c r="K299" s="61"/>
      <c r="L299" s="61"/>
      <c r="M299" s="61"/>
      <c r="N299" s="61"/>
      <c r="O299" s="61"/>
      <c r="Q299" s="61"/>
      <c r="R299" s="6"/>
      <c r="S299" s="6"/>
      <c r="T299" s="6"/>
      <c r="U299" s="6"/>
      <c r="V299" s="6"/>
      <c r="W299" s="6"/>
      <c r="X299" s="6"/>
      <c r="Y299" s="6"/>
      <c r="Z299" s="6"/>
      <c r="AA299" s="6"/>
      <c r="AB299" s="6"/>
      <c r="AC299" s="6"/>
      <c r="AD299" s="6"/>
      <c r="AE299" s="6"/>
      <c r="AF299" s="6"/>
      <c r="AG299" s="6"/>
      <c r="AH299" s="6"/>
      <c r="AI299" s="6"/>
      <c r="AJ299" s="6"/>
      <c r="AK299" s="6"/>
      <c r="AL299" s="6"/>
      <c r="AM299" s="6"/>
    </row>
    <row r="300" ht="14" spans="1:39">
      <c r="A300" s="61"/>
      <c r="B300" s="6"/>
      <c r="C300" s="6"/>
      <c r="D300" s="6"/>
      <c r="E300" s="40"/>
      <c r="F300" s="6"/>
      <c r="G300" s="61"/>
      <c r="H300" s="61"/>
      <c r="I300" s="61"/>
      <c r="J300" s="61"/>
      <c r="K300" s="61"/>
      <c r="L300" s="61"/>
      <c r="M300" s="61"/>
      <c r="N300" s="61"/>
      <c r="O300" s="61"/>
      <c r="Q300" s="61"/>
      <c r="R300" s="6"/>
      <c r="S300" s="6"/>
      <c r="T300" s="6"/>
      <c r="U300" s="6"/>
      <c r="V300" s="6"/>
      <c r="W300" s="6"/>
      <c r="X300" s="6"/>
      <c r="Y300" s="6"/>
      <c r="Z300" s="6"/>
      <c r="AA300" s="6"/>
      <c r="AB300" s="6"/>
      <c r="AC300" s="6"/>
      <c r="AD300" s="6"/>
      <c r="AE300" s="6"/>
      <c r="AF300" s="6"/>
      <c r="AG300" s="6"/>
      <c r="AH300" s="6"/>
      <c r="AI300" s="6"/>
      <c r="AJ300" s="6"/>
      <c r="AK300" s="6"/>
      <c r="AL300" s="6"/>
      <c r="AM300" s="6"/>
    </row>
    <row r="301" ht="14" spans="1:39">
      <c r="A301" s="61"/>
      <c r="B301" s="6"/>
      <c r="C301" s="6"/>
      <c r="D301" s="6"/>
      <c r="E301" s="40"/>
      <c r="F301" s="6"/>
      <c r="G301" s="61"/>
      <c r="H301" s="61"/>
      <c r="I301" s="61"/>
      <c r="J301" s="61"/>
      <c r="K301" s="61"/>
      <c r="L301" s="61"/>
      <c r="M301" s="61"/>
      <c r="N301" s="61"/>
      <c r="O301" s="61"/>
      <c r="Q301" s="61"/>
      <c r="R301" s="6"/>
      <c r="S301" s="6"/>
      <c r="T301" s="6"/>
      <c r="U301" s="6"/>
      <c r="V301" s="6"/>
      <c r="W301" s="6"/>
      <c r="X301" s="6"/>
      <c r="Y301" s="6"/>
      <c r="Z301" s="6"/>
      <c r="AA301" s="6"/>
      <c r="AB301" s="6"/>
      <c r="AC301" s="6"/>
      <c r="AD301" s="6"/>
      <c r="AE301" s="6"/>
      <c r="AF301" s="6"/>
      <c r="AG301" s="6"/>
      <c r="AH301" s="6"/>
      <c r="AI301" s="6"/>
      <c r="AJ301" s="6"/>
      <c r="AK301" s="6"/>
      <c r="AL301" s="6"/>
      <c r="AM301" s="6"/>
    </row>
    <row r="302" ht="14" spans="1:39">
      <c r="A302" s="61"/>
      <c r="B302" s="6"/>
      <c r="C302" s="6"/>
      <c r="D302" s="6"/>
      <c r="E302" s="40"/>
      <c r="F302" s="6"/>
      <c r="G302" s="61"/>
      <c r="H302" s="61"/>
      <c r="I302" s="61"/>
      <c r="J302" s="61"/>
      <c r="K302" s="61"/>
      <c r="L302" s="61"/>
      <c r="M302" s="61"/>
      <c r="N302" s="61"/>
      <c r="O302" s="61"/>
      <c r="Q302" s="61"/>
      <c r="R302" s="6"/>
      <c r="S302" s="6"/>
      <c r="T302" s="6"/>
      <c r="U302" s="6"/>
      <c r="V302" s="6"/>
      <c r="W302" s="6"/>
      <c r="X302" s="6"/>
      <c r="Y302" s="6"/>
      <c r="Z302" s="6"/>
      <c r="AA302" s="6"/>
      <c r="AB302" s="6"/>
      <c r="AC302" s="6"/>
      <c r="AD302" s="6"/>
      <c r="AE302" s="6"/>
      <c r="AF302" s="6"/>
      <c r="AG302" s="6"/>
      <c r="AH302" s="6"/>
      <c r="AI302" s="6"/>
      <c r="AJ302" s="6"/>
      <c r="AK302" s="6"/>
      <c r="AL302" s="6"/>
      <c r="AM302" s="6"/>
    </row>
    <row r="303" ht="14" spans="1:39">
      <c r="A303" s="61"/>
      <c r="B303" s="6"/>
      <c r="C303" s="6"/>
      <c r="D303" s="6"/>
      <c r="E303" s="40"/>
      <c r="F303" s="6"/>
      <c r="G303" s="61"/>
      <c r="H303" s="61"/>
      <c r="I303" s="61"/>
      <c r="J303" s="61"/>
      <c r="K303" s="61"/>
      <c r="L303" s="61"/>
      <c r="M303" s="61"/>
      <c r="N303" s="61"/>
      <c r="O303" s="61"/>
      <c r="Q303" s="61"/>
      <c r="R303" s="6"/>
      <c r="S303" s="6"/>
      <c r="T303" s="6"/>
      <c r="U303" s="6"/>
      <c r="V303" s="6"/>
      <c r="W303" s="6"/>
      <c r="X303" s="6"/>
      <c r="Y303" s="6"/>
      <c r="Z303" s="6"/>
      <c r="AA303" s="6"/>
      <c r="AB303" s="6"/>
      <c r="AC303" s="6"/>
      <c r="AD303" s="6"/>
      <c r="AE303" s="6"/>
      <c r="AF303" s="6"/>
      <c r="AG303" s="6"/>
      <c r="AH303" s="6"/>
      <c r="AI303" s="6"/>
      <c r="AJ303" s="6"/>
      <c r="AK303" s="6"/>
      <c r="AL303" s="6"/>
      <c r="AM303" s="6"/>
    </row>
    <row r="304" ht="14" spans="1:39">
      <c r="A304" s="61"/>
      <c r="B304" s="6"/>
      <c r="C304" s="6"/>
      <c r="D304" s="6"/>
      <c r="E304" s="40"/>
      <c r="F304" s="6"/>
      <c r="G304" s="61"/>
      <c r="H304" s="61"/>
      <c r="I304" s="61"/>
      <c r="J304" s="61"/>
      <c r="K304" s="61"/>
      <c r="L304" s="61"/>
      <c r="M304" s="61"/>
      <c r="N304" s="61"/>
      <c r="O304" s="61"/>
      <c r="Q304" s="61"/>
      <c r="R304" s="6"/>
      <c r="S304" s="6"/>
      <c r="T304" s="6"/>
      <c r="U304" s="6"/>
      <c r="V304" s="6"/>
      <c r="W304" s="6"/>
      <c r="X304" s="6"/>
      <c r="Y304" s="6"/>
      <c r="Z304" s="6"/>
      <c r="AA304" s="6"/>
      <c r="AB304" s="6"/>
      <c r="AC304" s="6"/>
      <c r="AD304" s="6"/>
      <c r="AE304" s="6"/>
      <c r="AF304" s="6"/>
      <c r="AG304" s="6"/>
      <c r="AH304" s="6"/>
      <c r="AI304" s="6"/>
      <c r="AJ304" s="6"/>
      <c r="AK304" s="6"/>
      <c r="AL304" s="6"/>
      <c r="AM304" s="6"/>
    </row>
    <row r="305" ht="14" spans="1:39">
      <c r="A305" s="61"/>
      <c r="B305" s="6"/>
      <c r="C305" s="6"/>
      <c r="D305" s="6"/>
      <c r="E305" s="40"/>
      <c r="F305" s="6"/>
      <c r="G305" s="61"/>
      <c r="H305" s="61"/>
      <c r="I305" s="61"/>
      <c r="J305" s="61"/>
      <c r="K305" s="61"/>
      <c r="L305" s="61"/>
      <c r="M305" s="61"/>
      <c r="N305" s="61"/>
      <c r="O305" s="61"/>
      <c r="Q305" s="61"/>
      <c r="R305" s="6"/>
      <c r="S305" s="6"/>
      <c r="T305" s="6"/>
      <c r="U305" s="6"/>
      <c r="V305" s="6"/>
      <c r="W305" s="6"/>
      <c r="X305" s="6"/>
      <c r="Y305" s="6"/>
      <c r="Z305" s="6"/>
      <c r="AA305" s="6"/>
      <c r="AB305" s="6"/>
      <c r="AC305" s="6"/>
      <c r="AD305" s="6"/>
      <c r="AE305" s="6"/>
      <c r="AF305" s="6"/>
      <c r="AG305" s="6"/>
      <c r="AH305" s="6"/>
      <c r="AI305" s="6"/>
      <c r="AJ305" s="6"/>
      <c r="AK305" s="6"/>
      <c r="AL305" s="6"/>
      <c r="AM305" s="6"/>
    </row>
    <row r="306" ht="14" spans="1:39">
      <c r="A306" s="61"/>
      <c r="B306" s="6"/>
      <c r="C306" s="6"/>
      <c r="D306" s="6"/>
      <c r="E306" s="40"/>
      <c r="F306" s="6"/>
      <c r="G306" s="61"/>
      <c r="H306" s="61"/>
      <c r="I306" s="61"/>
      <c r="J306" s="61"/>
      <c r="K306" s="61"/>
      <c r="L306" s="61"/>
      <c r="M306" s="61"/>
      <c r="N306" s="61"/>
      <c r="O306" s="61"/>
      <c r="Q306" s="61"/>
      <c r="R306" s="6"/>
      <c r="S306" s="6"/>
      <c r="T306" s="6"/>
      <c r="U306" s="6"/>
      <c r="V306" s="6"/>
      <c r="W306" s="6"/>
      <c r="X306" s="6"/>
      <c r="Y306" s="6"/>
      <c r="Z306" s="6"/>
      <c r="AA306" s="6"/>
      <c r="AB306" s="6"/>
      <c r="AC306" s="6"/>
      <c r="AD306" s="6"/>
      <c r="AE306" s="6"/>
      <c r="AF306" s="6"/>
      <c r="AG306" s="6"/>
      <c r="AH306" s="6"/>
      <c r="AI306" s="6"/>
      <c r="AJ306" s="6"/>
      <c r="AK306" s="6"/>
      <c r="AL306" s="6"/>
      <c r="AM306" s="6"/>
    </row>
    <row r="307" ht="14" spans="1:39">
      <c r="A307" s="61"/>
      <c r="B307" s="6"/>
      <c r="C307" s="6"/>
      <c r="D307" s="6"/>
      <c r="E307" s="40"/>
      <c r="F307" s="6"/>
      <c r="G307" s="61"/>
      <c r="H307" s="61"/>
      <c r="I307" s="61"/>
      <c r="J307" s="61"/>
      <c r="K307" s="61"/>
      <c r="L307" s="61"/>
      <c r="M307" s="61"/>
      <c r="N307" s="61"/>
      <c r="O307" s="61"/>
      <c r="Q307" s="61"/>
      <c r="R307" s="6"/>
      <c r="S307" s="6"/>
      <c r="T307" s="6"/>
      <c r="U307" s="6"/>
      <c r="V307" s="6"/>
      <c r="W307" s="6"/>
      <c r="X307" s="6"/>
      <c r="Y307" s="6"/>
      <c r="Z307" s="6"/>
      <c r="AA307" s="6"/>
      <c r="AB307" s="6"/>
      <c r="AC307" s="6"/>
      <c r="AD307" s="6"/>
      <c r="AE307" s="6"/>
      <c r="AF307" s="6"/>
      <c r="AG307" s="6"/>
      <c r="AH307" s="6"/>
      <c r="AI307" s="6"/>
      <c r="AJ307" s="6"/>
      <c r="AK307" s="6"/>
      <c r="AL307" s="6"/>
      <c r="AM307" s="6"/>
    </row>
    <row r="308" ht="14" spans="1:39">
      <c r="A308" s="61"/>
      <c r="B308" s="6"/>
      <c r="C308" s="6"/>
      <c r="D308" s="6"/>
      <c r="E308" s="40"/>
      <c r="F308" s="6"/>
      <c r="G308" s="61"/>
      <c r="H308" s="61"/>
      <c r="I308" s="61"/>
      <c r="J308" s="61"/>
      <c r="K308" s="61"/>
      <c r="L308" s="61"/>
      <c r="M308" s="61"/>
      <c r="N308" s="61"/>
      <c r="O308" s="61"/>
      <c r="Q308" s="61"/>
      <c r="R308" s="6"/>
      <c r="S308" s="6"/>
      <c r="T308" s="6"/>
      <c r="U308" s="6"/>
      <c r="V308" s="6"/>
      <c r="W308" s="6"/>
      <c r="X308" s="6"/>
      <c r="Y308" s="6"/>
      <c r="Z308" s="6"/>
      <c r="AA308" s="6"/>
      <c r="AB308" s="6"/>
      <c r="AC308" s="6"/>
      <c r="AD308" s="6"/>
      <c r="AE308" s="6"/>
      <c r="AF308" s="6"/>
      <c r="AG308" s="6"/>
      <c r="AH308" s="6"/>
      <c r="AI308" s="6"/>
      <c r="AJ308" s="6"/>
      <c r="AK308" s="6"/>
      <c r="AL308" s="6"/>
      <c r="AM308" s="6"/>
    </row>
    <row r="309" ht="14" spans="1:39">
      <c r="A309" s="61"/>
      <c r="B309" s="6"/>
      <c r="C309" s="6"/>
      <c r="D309" s="6"/>
      <c r="E309" s="40"/>
      <c r="F309" s="6"/>
      <c r="G309" s="61"/>
      <c r="H309" s="61"/>
      <c r="I309" s="61"/>
      <c r="J309" s="61"/>
      <c r="K309" s="61"/>
      <c r="L309" s="61"/>
      <c r="M309" s="61"/>
      <c r="N309" s="61"/>
      <c r="O309" s="61"/>
      <c r="Q309" s="61"/>
      <c r="R309" s="6"/>
      <c r="S309" s="6"/>
      <c r="T309" s="6"/>
      <c r="U309" s="6"/>
      <c r="V309" s="6"/>
      <c r="W309" s="6"/>
      <c r="X309" s="6"/>
      <c r="Y309" s="6"/>
      <c r="Z309" s="6"/>
      <c r="AA309" s="6"/>
      <c r="AB309" s="6"/>
      <c r="AC309" s="6"/>
      <c r="AD309" s="6"/>
      <c r="AE309" s="6"/>
      <c r="AF309" s="6"/>
      <c r="AG309" s="6"/>
      <c r="AH309" s="6"/>
      <c r="AI309" s="6"/>
      <c r="AJ309" s="6"/>
      <c r="AK309" s="6"/>
      <c r="AL309" s="6"/>
      <c r="AM309" s="6"/>
    </row>
    <row r="310" ht="14" spans="1:39">
      <c r="A310" s="61"/>
      <c r="B310" s="6"/>
      <c r="C310" s="6"/>
      <c r="D310" s="6"/>
      <c r="E310" s="40"/>
      <c r="F310" s="6"/>
      <c r="G310" s="61"/>
      <c r="H310" s="61"/>
      <c r="I310" s="61"/>
      <c r="J310" s="61"/>
      <c r="K310" s="61"/>
      <c r="L310" s="61"/>
      <c r="M310" s="61"/>
      <c r="N310" s="61"/>
      <c r="O310" s="61"/>
      <c r="Q310" s="61"/>
      <c r="R310" s="6"/>
      <c r="S310" s="6"/>
      <c r="T310" s="6"/>
      <c r="U310" s="6"/>
      <c r="V310" s="6"/>
      <c r="W310" s="6"/>
      <c r="X310" s="6"/>
      <c r="Y310" s="6"/>
      <c r="Z310" s="6"/>
      <c r="AA310" s="6"/>
      <c r="AB310" s="6"/>
      <c r="AC310" s="6"/>
      <c r="AD310" s="6"/>
      <c r="AE310" s="6"/>
      <c r="AF310" s="6"/>
      <c r="AG310" s="6"/>
      <c r="AH310" s="6"/>
      <c r="AI310" s="6"/>
      <c r="AJ310" s="6"/>
      <c r="AK310" s="6"/>
      <c r="AL310" s="6"/>
      <c r="AM310" s="6"/>
    </row>
    <row r="311" ht="14" spans="1:39">
      <c r="A311" s="61"/>
      <c r="B311" s="6"/>
      <c r="C311" s="6"/>
      <c r="D311" s="6"/>
      <c r="E311" s="40"/>
      <c r="F311" s="6"/>
      <c r="G311" s="61"/>
      <c r="H311" s="61"/>
      <c r="I311" s="61"/>
      <c r="J311" s="61"/>
      <c r="K311" s="61"/>
      <c r="L311" s="61"/>
      <c r="M311" s="61"/>
      <c r="N311" s="61"/>
      <c r="O311" s="61"/>
      <c r="Q311" s="61"/>
      <c r="R311" s="6"/>
      <c r="S311" s="6"/>
      <c r="T311" s="6"/>
      <c r="U311" s="6"/>
      <c r="V311" s="6"/>
      <c r="W311" s="6"/>
      <c r="X311" s="6"/>
      <c r="Y311" s="6"/>
      <c r="Z311" s="6"/>
      <c r="AA311" s="6"/>
      <c r="AB311" s="6"/>
      <c r="AC311" s="6"/>
      <c r="AD311" s="6"/>
      <c r="AE311" s="6"/>
      <c r="AF311" s="6"/>
      <c r="AG311" s="6"/>
      <c r="AH311" s="6"/>
      <c r="AI311" s="6"/>
      <c r="AJ311" s="6"/>
      <c r="AK311" s="6"/>
      <c r="AL311" s="6"/>
      <c r="AM311" s="6"/>
    </row>
    <row r="312" ht="14" spans="1:39">
      <c r="A312" s="61"/>
      <c r="B312" s="6"/>
      <c r="C312" s="6"/>
      <c r="D312" s="6"/>
      <c r="E312" s="40"/>
      <c r="F312" s="6"/>
      <c r="G312" s="61"/>
      <c r="H312" s="61"/>
      <c r="I312" s="61"/>
      <c r="J312" s="61"/>
      <c r="K312" s="61"/>
      <c r="L312" s="61"/>
      <c r="M312" s="61"/>
      <c r="N312" s="61"/>
      <c r="O312" s="61"/>
      <c r="Q312" s="61"/>
      <c r="R312" s="6"/>
      <c r="S312" s="6"/>
      <c r="T312" s="6"/>
      <c r="U312" s="6"/>
      <c r="V312" s="6"/>
      <c r="W312" s="6"/>
      <c r="X312" s="6"/>
      <c r="Y312" s="6"/>
      <c r="Z312" s="6"/>
      <c r="AA312" s="6"/>
      <c r="AB312" s="6"/>
      <c r="AC312" s="6"/>
      <c r="AD312" s="6"/>
      <c r="AE312" s="6"/>
      <c r="AF312" s="6"/>
      <c r="AG312" s="6"/>
      <c r="AH312" s="6"/>
      <c r="AI312" s="6"/>
      <c r="AJ312" s="6"/>
      <c r="AK312" s="6"/>
      <c r="AL312" s="6"/>
      <c r="AM312" s="6"/>
    </row>
    <row r="313" ht="14" spans="1:39">
      <c r="A313" s="61"/>
      <c r="B313" s="6"/>
      <c r="C313" s="6"/>
      <c r="D313" s="6"/>
      <c r="E313" s="40"/>
      <c r="F313" s="6"/>
      <c r="G313" s="61"/>
      <c r="H313" s="61"/>
      <c r="I313" s="61"/>
      <c r="J313" s="61"/>
      <c r="K313" s="61"/>
      <c r="L313" s="61"/>
      <c r="M313" s="61"/>
      <c r="N313" s="61"/>
      <c r="O313" s="61"/>
      <c r="Q313" s="61"/>
      <c r="R313" s="6"/>
      <c r="S313" s="6"/>
      <c r="T313" s="6"/>
      <c r="U313" s="6"/>
      <c r="V313" s="6"/>
      <c r="W313" s="6"/>
      <c r="X313" s="6"/>
      <c r="Y313" s="6"/>
      <c r="Z313" s="6"/>
      <c r="AA313" s="6"/>
      <c r="AB313" s="6"/>
      <c r="AC313" s="6"/>
      <c r="AD313" s="6"/>
      <c r="AE313" s="6"/>
      <c r="AF313" s="6"/>
      <c r="AG313" s="6"/>
      <c r="AH313" s="6"/>
      <c r="AI313" s="6"/>
      <c r="AJ313" s="6"/>
      <c r="AK313" s="6"/>
      <c r="AL313" s="6"/>
      <c r="AM313" s="6"/>
    </row>
    <row r="314" ht="14" spans="1:39">
      <c r="A314" s="61"/>
      <c r="B314" s="6"/>
      <c r="C314" s="6"/>
      <c r="D314" s="6"/>
      <c r="E314" s="40"/>
      <c r="F314" s="6"/>
      <c r="G314" s="61"/>
      <c r="H314" s="61"/>
      <c r="I314" s="61"/>
      <c r="J314" s="61"/>
      <c r="K314" s="61"/>
      <c r="L314" s="61"/>
      <c r="M314" s="61"/>
      <c r="N314" s="61"/>
      <c r="O314" s="61"/>
      <c r="Q314" s="61"/>
      <c r="R314" s="6"/>
      <c r="S314" s="6"/>
      <c r="T314" s="6"/>
      <c r="U314" s="6"/>
      <c r="V314" s="6"/>
      <c r="W314" s="6"/>
      <c r="X314" s="6"/>
      <c r="Y314" s="6"/>
      <c r="Z314" s="6"/>
      <c r="AA314" s="6"/>
      <c r="AB314" s="6"/>
      <c r="AC314" s="6"/>
      <c r="AD314" s="6"/>
      <c r="AE314" s="6"/>
      <c r="AF314" s="6"/>
      <c r="AG314" s="6"/>
      <c r="AH314" s="6"/>
      <c r="AI314" s="6"/>
      <c r="AJ314" s="6"/>
      <c r="AK314" s="6"/>
      <c r="AL314" s="6"/>
      <c r="AM314" s="6"/>
    </row>
    <row r="315" ht="14" spans="1:39">
      <c r="A315" s="61"/>
      <c r="B315" s="6"/>
      <c r="C315" s="6"/>
      <c r="D315" s="6"/>
      <c r="E315" s="40"/>
      <c r="F315" s="6"/>
      <c r="G315" s="61"/>
      <c r="H315" s="61"/>
      <c r="I315" s="61"/>
      <c r="J315" s="61"/>
      <c r="K315" s="61"/>
      <c r="L315" s="61"/>
      <c r="M315" s="61"/>
      <c r="N315" s="61"/>
      <c r="O315" s="61"/>
      <c r="Q315" s="61"/>
      <c r="R315" s="6"/>
      <c r="S315" s="6"/>
      <c r="T315" s="6"/>
      <c r="U315" s="6"/>
      <c r="V315" s="6"/>
      <c r="W315" s="6"/>
      <c r="X315" s="6"/>
      <c r="Y315" s="6"/>
      <c r="Z315" s="6"/>
      <c r="AA315" s="6"/>
      <c r="AB315" s="6"/>
      <c r="AC315" s="6"/>
      <c r="AD315" s="6"/>
      <c r="AE315" s="6"/>
      <c r="AF315" s="6"/>
      <c r="AG315" s="6"/>
      <c r="AH315" s="6"/>
      <c r="AI315" s="6"/>
      <c r="AJ315" s="6"/>
      <c r="AK315" s="6"/>
      <c r="AL315" s="6"/>
      <c r="AM315" s="6"/>
    </row>
    <row r="316" ht="14" spans="1:39">
      <c r="A316" s="61"/>
      <c r="B316" s="6"/>
      <c r="C316" s="6"/>
      <c r="D316" s="6"/>
      <c r="E316" s="40"/>
      <c r="F316" s="6"/>
      <c r="G316" s="61"/>
      <c r="H316" s="61"/>
      <c r="I316" s="61"/>
      <c r="J316" s="61"/>
      <c r="K316" s="61"/>
      <c r="L316" s="61"/>
      <c r="M316" s="61"/>
      <c r="N316" s="61"/>
      <c r="O316" s="61"/>
      <c r="Q316" s="61"/>
      <c r="R316" s="6"/>
      <c r="S316" s="6"/>
      <c r="T316" s="6"/>
      <c r="U316" s="6"/>
      <c r="V316" s="6"/>
      <c r="W316" s="6"/>
      <c r="X316" s="6"/>
      <c r="Y316" s="6"/>
      <c r="Z316" s="6"/>
      <c r="AA316" s="6"/>
      <c r="AB316" s="6"/>
      <c r="AC316" s="6"/>
      <c r="AD316" s="6"/>
      <c r="AE316" s="6"/>
      <c r="AF316" s="6"/>
      <c r="AG316" s="6"/>
      <c r="AH316" s="6"/>
      <c r="AI316" s="6"/>
      <c r="AJ316" s="6"/>
      <c r="AK316" s="6"/>
      <c r="AL316" s="6"/>
      <c r="AM316" s="6"/>
    </row>
  </sheetData>
  <mergeCells count="278">
    <mergeCell ref="A33:A34"/>
    <mergeCell ref="A38:A39"/>
    <mergeCell ref="A60:A61"/>
    <mergeCell ref="A63:A64"/>
    <mergeCell ref="A67:A68"/>
    <mergeCell ref="A71:A73"/>
    <mergeCell ref="A80:A81"/>
    <mergeCell ref="A102:A103"/>
    <mergeCell ref="A125:A126"/>
    <mergeCell ref="A127:A129"/>
    <mergeCell ref="A142:A143"/>
    <mergeCell ref="A150:A151"/>
    <mergeCell ref="A153:A154"/>
    <mergeCell ref="A155:A156"/>
    <mergeCell ref="A157:A158"/>
    <mergeCell ref="A161:A165"/>
    <mergeCell ref="A176:A177"/>
    <mergeCell ref="A200:A201"/>
    <mergeCell ref="A205:A207"/>
    <mergeCell ref="A209:A211"/>
    <mergeCell ref="A217:A232"/>
    <mergeCell ref="A233:A234"/>
    <mergeCell ref="A237:A240"/>
    <mergeCell ref="A245:A246"/>
    <mergeCell ref="A247:A250"/>
    <mergeCell ref="A256:A258"/>
    <mergeCell ref="A259:A261"/>
    <mergeCell ref="B8:B21"/>
    <mergeCell ref="B23:B27"/>
    <mergeCell ref="B33:B34"/>
    <mergeCell ref="B38:B39"/>
    <mergeCell ref="B60:B61"/>
    <mergeCell ref="B63:B64"/>
    <mergeCell ref="B67:B68"/>
    <mergeCell ref="B71:B73"/>
    <mergeCell ref="B80:B81"/>
    <mergeCell ref="B102:B103"/>
    <mergeCell ref="B125:B126"/>
    <mergeCell ref="B127:B129"/>
    <mergeCell ref="B142:B143"/>
    <mergeCell ref="B150:B151"/>
    <mergeCell ref="B153:B154"/>
    <mergeCell ref="B155:B156"/>
    <mergeCell ref="B157:B158"/>
    <mergeCell ref="B161:B165"/>
    <mergeCell ref="B176:B177"/>
    <mergeCell ref="B200:B201"/>
    <mergeCell ref="B205:B207"/>
    <mergeCell ref="B209:B211"/>
    <mergeCell ref="B217:B232"/>
    <mergeCell ref="B233:B234"/>
    <mergeCell ref="B237:B240"/>
    <mergeCell ref="B245:B246"/>
    <mergeCell ref="B247:B250"/>
    <mergeCell ref="B256:B258"/>
    <mergeCell ref="B259:B261"/>
    <mergeCell ref="C8:C21"/>
    <mergeCell ref="C23:C27"/>
    <mergeCell ref="C33:C34"/>
    <mergeCell ref="C38:C39"/>
    <mergeCell ref="C60:C61"/>
    <mergeCell ref="C63:C64"/>
    <mergeCell ref="C67:C68"/>
    <mergeCell ref="C71:C73"/>
    <mergeCell ref="C80:C81"/>
    <mergeCell ref="C102:C103"/>
    <mergeCell ref="C125:C126"/>
    <mergeCell ref="C127:C129"/>
    <mergeCell ref="C142:C143"/>
    <mergeCell ref="C150:C151"/>
    <mergeCell ref="C153:C154"/>
    <mergeCell ref="C155:C156"/>
    <mergeCell ref="C157:C158"/>
    <mergeCell ref="C161:C165"/>
    <mergeCell ref="C176:C177"/>
    <mergeCell ref="C200:C201"/>
    <mergeCell ref="C205:C207"/>
    <mergeCell ref="C209:C211"/>
    <mergeCell ref="C217:C232"/>
    <mergeCell ref="C233:C234"/>
    <mergeCell ref="C237:C240"/>
    <mergeCell ref="C245:C246"/>
    <mergeCell ref="C247:C250"/>
    <mergeCell ref="C256:C258"/>
    <mergeCell ref="C259:C261"/>
    <mergeCell ref="D8:D21"/>
    <mergeCell ref="D23:D27"/>
    <mergeCell ref="D33:D34"/>
    <mergeCell ref="D38:D39"/>
    <mergeCell ref="D60:D61"/>
    <mergeCell ref="D63:D64"/>
    <mergeCell ref="D67:D68"/>
    <mergeCell ref="D71:D73"/>
    <mergeCell ref="D80:D81"/>
    <mergeCell ref="D102:D103"/>
    <mergeCell ref="D125:D126"/>
    <mergeCell ref="D127:D129"/>
    <mergeCell ref="D142:D143"/>
    <mergeCell ref="D150:D151"/>
    <mergeCell ref="D153:D154"/>
    <mergeCell ref="D155:D156"/>
    <mergeCell ref="D157:D158"/>
    <mergeCell ref="D161:D165"/>
    <mergeCell ref="D176:D177"/>
    <mergeCell ref="D200:D201"/>
    <mergeCell ref="D205:D207"/>
    <mergeCell ref="D209:D211"/>
    <mergeCell ref="D217:D232"/>
    <mergeCell ref="D233:D234"/>
    <mergeCell ref="D237:D240"/>
    <mergeCell ref="D245:D246"/>
    <mergeCell ref="D247:D250"/>
    <mergeCell ref="D256:D258"/>
    <mergeCell ref="D259:D261"/>
    <mergeCell ref="E23:E27"/>
    <mergeCell ref="E33:E34"/>
    <mergeCell ref="E38:E39"/>
    <mergeCell ref="E60:E61"/>
    <mergeCell ref="E63:E64"/>
    <mergeCell ref="E67:E68"/>
    <mergeCell ref="E71:E73"/>
    <mergeCell ref="E80:E81"/>
    <mergeCell ref="E102:E103"/>
    <mergeCell ref="E125:E126"/>
    <mergeCell ref="E127:E129"/>
    <mergeCell ref="E142:E143"/>
    <mergeCell ref="E150:E151"/>
    <mergeCell ref="E153:E154"/>
    <mergeCell ref="E155:E156"/>
    <mergeCell ref="E157:E158"/>
    <mergeCell ref="E161:E165"/>
    <mergeCell ref="E176:E177"/>
    <mergeCell ref="E200:E201"/>
    <mergeCell ref="E205:E207"/>
    <mergeCell ref="E209:E211"/>
    <mergeCell ref="E217:E232"/>
    <mergeCell ref="E233:E234"/>
    <mergeCell ref="E237:E240"/>
    <mergeCell ref="E245:E246"/>
    <mergeCell ref="E247:E250"/>
    <mergeCell ref="E256:E258"/>
    <mergeCell ref="E259:E261"/>
    <mergeCell ref="F33:F34"/>
    <mergeCell ref="F38:F39"/>
    <mergeCell ref="F63:F64"/>
    <mergeCell ref="F67:F68"/>
    <mergeCell ref="F71:F73"/>
    <mergeCell ref="F102:F103"/>
    <mergeCell ref="F127:F129"/>
    <mergeCell ref="F142:F143"/>
    <mergeCell ref="F150:F151"/>
    <mergeCell ref="F153:F154"/>
    <mergeCell ref="F155:F156"/>
    <mergeCell ref="F157:F158"/>
    <mergeCell ref="F161:F165"/>
    <mergeCell ref="F176:F177"/>
    <mergeCell ref="F200:F201"/>
    <mergeCell ref="F205:F207"/>
    <mergeCell ref="F209:F211"/>
    <mergeCell ref="F217:F232"/>
    <mergeCell ref="F233:F234"/>
    <mergeCell ref="F237:F240"/>
    <mergeCell ref="F245:F246"/>
    <mergeCell ref="F247:F250"/>
    <mergeCell ref="F256:F258"/>
    <mergeCell ref="F259:F261"/>
    <mergeCell ref="G184:G185"/>
    <mergeCell ref="G209:G211"/>
    <mergeCell ref="G217:G222"/>
    <mergeCell ref="G223:G227"/>
    <mergeCell ref="G228:G232"/>
    <mergeCell ref="G233:G234"/>
    <mergeCell ref="G237:G238"/>
    <mergeCell ref="G239:G240"/>
    <mergeCell ref="G249:G250"/>
    <mergeCell ref="G251:G252"/>
    <mergeCell ref="G253:G254"/>
    <mergeCell ref="G256:G257"/>
    <mergeCell ref="G259:G261"/>
    <mergeCell ref="H67:H68"/>
    <mergeCell ref="H125:H126"/>
    <mergeCell ref="H150:H151"/>
    <mergeCell ref="H153:H154"/>
    <mergeCell ref="H155:H156"/>
    <mergeCell ref="H157:H158"/>
    <mergeCell ref="H161:H165"/>
    <mergeCell ref="H176:H177"/>
    <mergeCell ref="H200:H201"/>
    <mergeCell ref="H205:H207"/>
    <mergeCell ref="H209:H211"/>
    <mergeCell ref="H217:H222"/>
    <mergeCell ref="H223:H227"/>
    <mergeCell ref="H228:H232"/>
    <mergeCell ref="H233:H234"/>
    <mergeCell ref="H237:H238"/>
    <mergeCell ref="H239:H240"/>
    <mergeCell ref="H245:H246"/>
    <mergeCell ref="H247:H250"/>
    <mergeCell ref="H256:H257"/>
    <mergeCell ref="H259:H261"/>
    <mergeCell ref="I23:I27"/>
    <mergeCell ref="I176:I177"/>
    <mergeCell ref="I217:I232"/>
    <mergeCell ref="I233:I234"/>
    <mergeCell ref="I237:I240"/>
    <mergeCell ref="I247:I250"/>
    <mergeCell ref="I256:I257"/>
    <mergeCell ref="I259:I261"/>
    <mergeCell ref="J23:J27"/>
    <mergeCell ref="J60:J61"/>
    <mergeCell ref="K247:K250"/>
    <mergeCell ref="K253:K254"/>
    <mergeCell ref="K256:K257"/>
    <mergeCell ref="K259:K261"/>
    <mergeCell ref="L247:L250"/>
    <mergeCell ref="L253:L254"/>
    <mergeCell ref="L256:L257"/>
    <mergeCell ref="L259:L261"/>
    <mergeCell ref="M8:M21"/>
    <mergeCell ref="M23:M27"/>
    <mergeCell ref="M80:M81"/>
    <mergeCell ref="M127:M129"/>
    <mergeCell ref="M142:M143"/>
    <mergeCell ref="M150:M151"/>
    <mergeCell ref="M153:M154"/>
    <mergeCell ref="M155:M156"/>
    <mergeCell ref="M157:M158"/>
    <mergeCell ref="M161:M165"/>
    <mergeCell ref="M205:M207"/>
    <mergeCell ref="M209:M211"/>
    <mergeCell ref="M217:M232"/>
    <mergeCell ref="N8:N21"/>
    <mergeCell ref="N23:N27"/>
    <mergeCell ref="N80:N81"/>
    <mergeCell ref="N127:N129"/>
    <mergeCell ref="N142:N143"/>
    <mergeCell ref="N150:N151"/>
    <mergeCell ref="N153:N154"/>
    <mergeCell ref="N155:N156"/>
    <mergeCell ref="N157:N158"/>
    <mergeCell ref="N161:N165"/>
    <mergeCell ref="N205:N207"/>
    <mergeCell ref="N209:N211"/>
    <mergeCell ref="N217:N232"/>
    <mergeCell ref="O245:O246"/>
    <mergeCell ref="O251:O252"/>
    <mergeCell ref="O253:O254"/>
    <mergeCell ref="Q8:Q9"/>
    <mergeCell ref="Q10:Q14"/>
    <mergeCell ref="Q15:Q18"/>
    <mergeCell ref="Q200:Q201"/>
    <mergeCell ref="Q217:Q222"/>
    <mergeCell ref="Q223:Q227"/>
    <mergeCell ref="Q228:Q232"/>
    <mergeCell ref="Q233:Q234"/>
    <mergeCell ref="Q237:Q238"/>
    <mergeCell ref="Q239:Q240"/>
    <mergeCell ref="Q245:Q246"/>
    <mergeCell ref="Q256:Q257"/>
    <mergeCell ref="Q258:Q261"/>
    <mergeCell ref="R8:R21"/>
    <mergeCell ref="R33:R34"/>
    <mergeCell ref="S233:S234"/>
    <mergeCell ref="S245:S246"/>
    <mergeCell ref="S249:S251"/>
    <mergeCell ref="S256:S257"/>
    <mergeCell ref="T233:T234"/>
    <mergeCell ref="T245:T246"/>
    <mergeCell ref="T251:T252"/>
    <mergeCell ref="T256:T257"/>
    <mergeCell ref="U15:U18"/>
    <mergeCell ref="U22:U27"/>
    <mergeCell ref="V38:V39"/>
    <mergeCell ref="V60:V61"/>
    <mergeCell ref="V102:V103"/>
    <mergeCell ref="W38:W39"/>
    <mergeCell ref="W60:W61"/>
    <mergeCell ref="W102:W103"/>
  </mergeCells>
  <conditionalFormatting sqref="G1:G316">
    <cfRule type="duplicateValues" dxfId="0" priority="2"/>
  </conditionalFormatting>
  <conditionalFormatting sqref="O1:O316">
    <cfRule type="duplicateValues" dxfId="0" priority="1"/>
  </conditionalFormatting>
  <conditionalFormatting sqref="G1:G119 H120 G121:G222">
    <cfRule type="duplicateValues" dxfId="0" priority="4"/>
  </conditionalFormatting>
  <conditionalFormatting sqref="O1:O125 O127:O141 O144:O220">
    <cfRule type="duplicateValues" dxfId="0" priority="3"/>
  </conditionalFormatting>
  <dataValidations count="10">
    <dataValidation type="date" operator="between" showInputMessage="1" showErrorMessage="1" sqref="B2"/>
    <dataValidation type="date" operator="between" allowBlank="1" showInputMessage="1" showErrorMessage="1" sqref="V38 V44:Y44 V54 V57:W57 V60 V87:W87 V91:Y91 V113 B127 V127:W127 B144 B150 B155 B157 B233 B247 B259 B3:B8 B22:B23 B28:B33 B35:B38 B40:B60 B62:B63 B65:B67 B69:B71 B74:B80 B82:B102 B104:B125 B130:B142 B152:B153 B159:B161 B166:B176 B178:B200 B202:B205 B208:B209 B212:B217 B235:B237 B241:B245 B251:B256 B262:B274 V35:V36 V101:W102"/>
    <dataValidation type="list" allowBlank="1" showInputMessage="1" showErrorMessage="1" sqref="H155 H157 H223 H228 H233 H235 H237 H239 H247 H2:H67 H69:H119 H121:H125 H127:H150 H152:H153 H159:H161 H166:H176 H178:H200 H202:H205 H208:H209 H212:H217 H241:H245 H251:H256 H258:H259 H262:H274">
      <formula1>"目前状态,已经回复,待BD回复,无需处理,客户要求取消,GEP风控拒绝,渠道拒绝,"</formula1>
    </dataValidation>
    <dataValidation type="list" allowBlank="1" showInputMessage="1" showErrorMessage="1" sqref="A$1:A$1048576">
      <formula1>"李凯,戈燕,高诗颖,李源,陈一涵,蔡丽娜,王伊丽,"</formula1>
    </dataValidation>
    <dataValidation type="list" allowBlank="1" showInputMessage="1" showErrorMessage="1" sqref="C$1:C$1048576">
      <formula1>"B2B,电商,服贸,汇兑,机构客户,KYC,"</formula1>
    </dataValidation>
    <dataValidation type="list" allowBlank="1" showInputMessage="1" showErrorMessage="1" sqref="E$1:E$1048576">
      <formula1>"CC,Banking Circle,DBS,PINGPONG,其他警方,GME,Openpayd,"</formula1>
    </dataValidation>
    <dataValidation type="list" allowBlank="1" showInputMessage="1" showErrorMessage="1" sqref="F$1:F$1048576">
      <formula1>"B2B,电商,服贸汇兑,"</formula1>
    </dataValidation>
    <dataValidation type="list" allowBlank="1" showInputMessage="1" showErrorMessage="1" sqref="P$1:P$1048576">
      <formula1>"是,否,余额不足,"</formula1>
    </dataValidation>
    <dataValidation type="list" allowBlank="1" showInputMessage="1" showErrorMessage="1" sqref="S$1:S$1048576">
      <formula1>"开通,关闭,"</formula1>
    </dataValidation>
    <dataValidation type="list" allowBlank="1" showInputMessage="1" showErrorMessage="1" sqref="T$1:T$1048576">
      <formula1>"可结算,不可结算,"</formula1>
    </dataValidation>
  </dataValidations>
  <hyperlinks>
    <hyperlink ref="U22" r:id="rId2" display="document.xlsx"/>
    <hyperlink ref="J60" r:id="rId3" display="GEPD_Accounts.xlsx"/>
  </hyperlinks>
  <pageMargins left="0.75" right="0.75" top="1" bottom="1" header="0.5" footer="0.5"/>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Recall">
    <tabColor rgb="FFFFFFFF"/>
  </sheetPr>
  <dimension ref="A1:AG452"/>
  <sheetViews>
    <sheetView workbookViewId="0">
      <pane ySplit="2" topLeftCell="A3" activePane="bottomLeft" state="frozen"/>
      <selection/>
      <selection pane="bottomLeft" activeCell="A1" sqref="A1:AA1"/>
    </sheetView>
  </sheetViews>
  <sheetFormatPr defaultColWidth="9.81818181818182" defaultRowHeight="16.5"/>
  <cols>
    <col min="1" max="1" width="12.9454545454545" style="48" customWidth="1"/>
    <col min="2" max="2" width="13.3545454545455" style="48" customWidth="1"/>
    <col min="3" max="3" width="16.7181818181818" style="49" customWidth="1"/>
    <col min="4" max="4" width="17.2636363636364" style="10" customWidth="1"/>
    <col min="5" max="5" width="114.654545454545" style="10" customWidth="1"/>
    <col min="6" max="6" width="13.2090909090909" style="10" customWidth="1"/>
    <col min="7" max="7" width="14.0272727272727" style="50" customWidth="1"/>
    <col min="8" max="8" width="16.4545454545455" style="6" customWidth="1"/>
    <col min="9" max="9" width="16.4545454545455" style="50" customWidth="1"/>
    <col min="10" max="10" width="13.3545454545455" style="50" customWidth="1"/>
    <col min="11" max="11" width="22.1090909090909" style="10" customWidth="1"/>
    <col min="12" max="12" width="38.3" style="10" customWidth="1"/>
    <col min="13" max="13" width="23.0636363636364" style="48" customWidth="1"/>
    <col min="14" max="14" width="23.0636363636364" style="10" customWidth="1"/>
    <col min="15" max="15" width="39.2545454545455" style="10" customWidth="1"/>
    <col min="16" max="16" width="19.6909090909091" style="48" customWidth="1"/>
    <col min="17" max="17" width="8.09090909090909" style="10" customWidth="1"/>
    <col min="18" max="18" width="13.3545454545455" style="50" customWidth="1"/>
    <col min="19" max="20" width="13.6727272727273" style="50"/>
    <col min="21" max="21" width="25.4909090909091" style="10" customWidth="1"/>
    <col min="22" max="22" width="58.6727272727273" style="10" customWidth="1"/>
    <col min="23" max="23" width="20.2363636363636" style="10" customWidth="1"/>
    <col min="24" max="24" width="24.8272727272727" style="10" customWidth="1"/>
    <col min="25" max="25" width="20.2363636363636" style="10" customWidth="1"/>
    <col min="26" max="26" width="24.8272727272727" style="10" customWidth="1"/>
    <col min="27" max="27" width="28.1909090909091" style="10" customWidth="1"/>
    <col min="28" max="33" width="13.6727272727273" style="10"/>
  </cols>
  <sheetData>
    <row r="1" ht="22.5" customHeight="1" spans="1:33">
      <c r="A1" s="51" t="s">
        <v>4153</v>
      </c>
      <c r="B1" s="10"/>
      <c r="C1" s="10"/>
      <c r="G1" s="10"/>
      <c r="H1" s="10"/>
      <c r="I1" s="51"/>
      <c r="J1" s="10"/>
      <c r="M1" s="10"/>
      <c r="P1" s="10"/>
      <c r="R1" s="10"/>
      <c r="S1" s="10"/>
      <c r="T1" s="10"/>
      <c r="AB1" s="52"/>
      <c r="AC1" s="52"/>
      <c r="AD1" s="52"/>
      <c r="AE1" s="52"/>
      <c r="AF1" s="52"/>
      <c r="AG1" s="52"/>
    </row>
    <row r="2" ht="22.5" customHeight="1" spans="1:33">
      <c r="A2" s="2" t="s">
        <v>56</v>
      </c>
      <c r="B2" s="53" t="s">
        <v>4154</v>
      </c>
      <c r="C2" s="3" t="s">
        <v>58</v>
      </c>
      <c r="D2" s="54" t="s">
        <v>4155</v>
      </c>
      <c r="E2" s="54" t="s">
        <v>4156</v>
      </c>
      <c r="F2" s="3" t="s">
        <v>59</v>
      </c>
      <c r="G2" s="54" t="s">
        <v>4157</v>
      </c>
      <c r="H2" s="55" t="s">
        <v>4158</v>
      </c>
      <c r="I2" s="54" t="s">
        <v>4159</v>
      </c>
      <c r="J2" s="54" t="s">
        <v>4160</v>
      </c>
      <c r="K2" s="54" t="s">
        <v>4161</v>
      </c>
      <c r="L2" s="54" t="s">
        <v>67</v>
      </c>
      <c r="M2" s="53" t="s">
        <v>3491</v>
      </c>
      <c r="N2" s="54" t="s">
        <v>4162</v>
      </c>
      <c r="O2" s="54" t="s">
        <v>4163</v>
      </c>
      <c r="P2" s="56" t="s">
        <v>1003</v>
      </c>
      <c r="Q2" s="54" t="s">
        <v>62</v>
      </c>
      <c r="R2" s="54" t="s">
        <v>4164</v>
      </c>
      <c r="S2" s="54" t="s">
        <v>4165</v>
      </c>
      <c r="T2" s="54" t="s">
        <v>3499</v>
      </c>
      <c r="U2" s="54" t="s">
        <v>70</v>
      </c>
      <c r="V2" s="54" t="s">
        <v>4166</v>
      </c>
      <c r="W2" s="57" t="s">
        <v>72</v>
      </c>
      <c r="X2" s="57" t="s">
        <v>73</v>
      </c>
      <c r="Y2" s="57" t="s">
        <v>74</v>
      </c>
      <c r="Z2" s="57" t="s">
        <v>75</v>
      </c>
      <c r="AA2" s="57" t="s">
        <v>4167</v>
      </c>
      <c r="AB2" s="52"/>
      <c r="AC2" s="52"/>
      <c r="AD2" s="52"/>
      <c r="AE2" s="52"/>
      <c r="AF2" s="52"/>
      <c r="AG2" s="52"/>
    </row>
    <row r="3" ht="15.5" spans="1:33">
      <c r="A3" s="6"/>
      <c r="B3" s="58"/>
      <c r="C3" s="6"/>
      <c r="D3" s="6" t="s">
        <v>4168</v>
      </c>
      <c r="E3" s="41"/>
      <c r="F3" s="6"/>
      <c r="G3" s="50" t="s">
        <v>4169</v>
      </c>
      <c r="H3" s="40"/>
      <c r="I3" s="50" t="s">
        <v>82</v>
      </c>
      <c r="J3" s="50" t="s">
        <v>4170</v>
      </c>
      <c r="K3" s="59" t="s">
        <v>4171</v>
      </c>
      <c r="L3" s="60" t="s">
        <v>4172</v>
      </c>
      <c r="M3" s="61"/>
      <c r="N3" s="6"/>
      <c r="O3" s="6"/>
      <c r="P3" s="62">
        <v>2700</v>
      </c>
      <c r="Q3" s="6" t="s">
        <v>173</v>
      </c>
      <c r="S3" s="50" t="s">
        <v>4173</v>
      </c>
      <c r="T3" s="50" t="s">
        <v>3506</v>
      </c>
      <c r="U3" s="6" t="s">
        <v>85</v>
      </c>
      <c r="V3" s="6"/>
      <c r="W3" s="6"/>
      <c r="X3" s="6"/>
      <c r="Y3" s="6"/>
      <c r="Z3" s="6"/>
      <c r="AA3" s="6"/>
      <c r="AB3" s="6"/>
      <c r="AC3" s="6"/>
      <c r="AD3" s="6"/>
      <c r="AE3" s="6"/>
      <c r="AF3" s="6"/>
      <c r="AG3" s="6"/>
    </row>
    <row r="4" ht="15.5" spans="1:33">
      <c r="A4" s="6"/>
      <c r="B4" s="58"/>
      <c r="C4" s="6"/>
      <c r="D4" s="6" t="s">
        <v>4168</v>
      </c>
      <c r="E4" s="41"/>
      <c r="F4" s="6"/>
      <c r="G4" s="50" t="s">
        <v>2954</v>
      </c>
      <c r="H4" s="40"/>
      <c r="I4" s="50" t="s">
        <v>82</v>
      </c>
      <c r="J4" s="50" t="s">
        <v>4170</v>
      </c>
      <c r="K4" s="60" t="s">
        <v>4174</v>
      </c>
      <c r="L4" s="41" t="s">
        <v>4175</v>
      </c>
      <c r="M4" s="61"/>
      <c r="N4" s="6"/>
      <c r="O4" s="6"/>
      <c r="P4" s="62">
        <v>7055</v>
      </c>
      <c r="Q4" s="6" t="s">
        <v>173</v>
      </c>
      <c r="S4" s="50" t="s">
        <v>4173</v>
      </c>
      <c r="T4" s="50" t="s">
        <v>3506</v>
      </c>
      <c r="U4" s="6" t="s">
        <v>97</v>
      </c>
      <c r="V4" s="6"/>
      <c r="W4" s="6"/>
      <c r="X4" s="6"/>
      <c r="Y4" s="6"/>
      <c r="Z4" s="6"/>
      <c r="AA4" s="6"/>
      <c r="AB4" s="6"/>
      <c r="AC4" s="6"/>
      <c r="AD4" s="6"/>
      <c r="AE4" s="6"/>
      <c r="AF4" s="6"/>
      <c r="AG4" s="6"/>
    </row>
    <row r="5" ht="15.5" spans="1:33">
      <c r="A5" s="6"/>
      <c r="B5" s="58"/>
      <c r="C5" s="6"/>
      <c r="D5" s="6" t="s">
        <v>4168</v>
      </c>
      <c r="E5" s="41"/>
      <c r="F5" s="6"/>
      <c r="G5" s="50" t="s">
        <v>4169</v>
      </c>
      <c r="H5" s="40"/>
      <c r="I5" s="50" t="s">
        <v>82</v>
      </c>
      <c r="J5" s="50" t="s">
        <v>4176</v>
      </c>
      <c r="K5" s="59" t="s">
        <v>878</v>
      </c>
      <c r="L5" s="60" t="s">
        <v>879</v>
      </c>
      <c r="M5" s="61"/>
      <c r="N5" s="6"/>
      <c r="O5" s="6"/>
      <c r="P5" s="62">
        <v>37000</v>
      </c>
      <c r="Q5" s="6" t="s">
        <v>173</v>
      </c>
      <c r="S5" s="50" t="s">
        <v>4173</v>
      </c>
      <c r="T5" s="50" t="s">
        <v>3506</v>
      </c>
      <c r="U5" s="6" t="s">
        <v>4177</v>
      </c>
      <c r="V5" s="6"/>
      <c r="W5" s="6"/>
      <c r="X5" s="6"/>
      <c r="Y5" s="6"/>
      <c r="Z5" s="6"/>
      <c r="AA5" s="6"/>
      <c r="AB5" s="6"/>
      <c r="AC5" s="6"/>
      <c r="AD5" s="6"/>
      <c r="AE5" s="6"/>
      <c r="AF5" s="6"/>
      <c r="AG5" s="6"/>
    </row>
    <row r="6" ht="15.5" spans="1:33">
      <c r="A6" s="6"/>
      <c r="B6" s="58"/>
      <c r="C6" s="6"/>
      <c r="D6" s="6" t="s">
        <v>4168</v>
      </c>
      <c r="E6" s="41"/>
      <c r="F6" s="6"/>
      <c r="G6" s="50" t="s">
        <v>4169</v>
      </c>
      <c r="H6" s="40"/>
      <c r="I6" s="50" t="s">
        <v>82</v>
      </c>
      <c r="J6" s="50" t="s">
        <v>4176</v>
      </c>
      <c r="K6" s="59" t="s">
        <v>4178</v>
      </c>
      <c r="L6" s="60" t="s">
        <v>4179</v>
      </c>
      <c r="M6" s="61"/>
      <c r="N6" s="6"/>
      <c r="O6" s="6"/>
      <c r="P6" s="62">
        <v>44100.55</v>
      </c>
      <c r="Q6" s="6" t="s">
        <v>173</v>
      </c>
      <c r="S6" s="50" t="s">
        <v>4173</v>
      </c>
      <c r="T6" s="50" t="s">
        <v>3506</v>
      </c>
      <c r="U6" s="6" t="s">
        <v>4177</v>
      </c>
      <c r="V6" s="6"/>
      <c r="W6" s="6"/>
      <c r="X6" s="6"/>
      <c r="Y6" s="6"/>
      <c r="Z6" s="6"/>
      <c r="AA6" s="6"/>
      <c r="AB6" s="6"/>
      <c r="AC6" s="6"/>
      <c r="AD6" s="6"/>
      <c r="AE6" s="6"/>
      <c r="AF6" s="6"/>
      <c r="AG6" s="6"/>
    </row>
    <row r="7" ht="15.5" spans="1:33">
      <c r="A7" s="6"/>
      <c r="B7" s="58"/>
      <c r="C7" s="6"/>
      <c r="D7" s="6" t="s">
        <v>4168</v>
      </c>
      <c r="E7" s="41"/>
      <c r="F7" s="6"/>
      <c r="G7" s="50" t="s">
        <v>2954</v>
      </c>
      <c r="H7" s="40"/>
      <c r="I7" s="50" t="s">
        <v>82</v>
      </c>
      <c r="J7" s="50" t="s">
        <v>4176</v>
      </c>
      <c r="K7" s="59" t="s">
        <v>4180</v>
      </c>
      <c r="L7" s="60" t="s">
        <v>4181</v>
      </c>
      <c r="M7" s="61"/>
      <c r="N7" s="6"/>
      <c r="O7" s="6"/>
      <c r="P7" s="62">
        <v>138.65</v>
      </c>
      <c r="Q7" s="6" t="s">
        <v>173</v>
      </c>
      <c r="S7" s="50" t="s">
        <v>4173</v>
      </c>
      <c r="T7" s="50" t="s">
        <v>3506</v>
      </c>
      <c r="U7" s="6" t="s">
        <v>111</v>
      </c>
      <c r="V7" s="6"/>
      <c r="W7" s="6"/>
      <c r="X7" s="6"/>
      <c r="Y7" s="6"/>
      <c r="Z7" s="6"/>
      <c r="AA7" s="6"/>
      <c r="AB7" s="6"/>
      <c r="AC7" s="6"/>
      <c r="AD7" s="6"/>
      <c r="AE7" s="6"/>
      <c r="AF7" s="6"/>
      <c r="AG7" s="6"/>
    </row>
    <row r="8" ht="15.5" spans="1:33">
      <c r="A8" s="6"/>
      <c r="B8" s="58"/>
      <c r="C8" s="6"/>
      <c r="D8" s="6" t="s">
        <v>42</v>
      </c>
      <c r="E8" s="41"/>
      <c r="F8" s="6"/>
      <c r="G8" s="50" t="s">
        <v>4169</v>
      </c>
      <c r="H8" s="40"/>
      <c r="I8" s="50" t="s">
        <v>82</v>
      </c>
      <c r="J8" s="50" t="s">
        <v>4176</v>
      </c>
      <c r="K8" s="59" t="s">
        <v>4182</v>
      </c>
      <c r="L8" s="60" t="s">
        <v>4183</v>
      </c>
      <c r="M8" s="61"/>
      <c r="N8" s="6"/>
      <c r="O8" s="6"/>
      <c r="P8" s="62">
        <v>168644</v>
      </c>
      <c r="Q8" s="6" t="s">
        <v>1172</v>
      </c>
      <c r="S8" s="50" t="s">
        <v>4173</v>
      </c>
      <c r="T8" s="50" t="s">
        <v>3506</v>
      </c>
      <c r="U8" s="6" t="s">
        <v>4184</v>
      </c>
      <c r="V8" s="6"/>
      <c r="W8" s="6"/>
      <c r="X8" s="6"/>
      <c r="Y8" s="6"/>
      <c r="Z8" s="6"/>
      <c r="AA8" s="6"/>
      <c r="AB8" s="6"/>
      <c r="AC8" s="6"/>
      <c r="AD8" s="6"/>
      <c r="AE8" s="6"/>
      <c r="AF8" s="6"/>
      <c r="AG8" s="6"/>
    </row>
    <row r="9" ht="15.5" spans="1:33">
      <c r="A9" s="6"/>
      <c r="B9" s="58"/>
      <c r="C9" s="6"/>
      <c r="D9" s="6" t="s">
        <v>4185</v>
      </c>
      <c r="E9" s="41"/>
      <c r="F9" s="6"/>
      <c r="G9" s="50" t="s">
        <v>4169</v>
      </c>
      <c r="H9" s="40"/>
      <c r="I9" s="50" t="s">
        <v>82</v>
      </c>
      <c r="J9" s="50" t="s">
        <v>4176</v>
      </c>
      <c r="K9" s="60" t="s">
        <v>4186</v>
      </c>
      <c r="L9" s="6" t="s">
        <v>4187</v>
      </c>
      <c r="M9" s="61"/>
      <c r="N9" s="6"/>
      <c r="O9" s="6" t="s">
        <v>4188</v>
      </c>
      <c r="P9" s="62">
        <v>597557</v>
      </c>
      <c r="Q9" s="6" t="s">
        <v>173</v>
      </c>
      <c r="S9" s="50" t="s">
        <v>4173</v>
      </c>
      <c r="T9" s="50" t="s">
        <v>3506</v>
      </c>
      <c r="U9" s="6" t="s">
        <v>186</v>
      </c>
      <c r="V9" s="6" t="s">
        <v>4189</v>
      </c>
      <c r="W9" s="6"/>
      <c r="X9" s="6"/>
      <c r="Y9" s="6"/>
      <c r="Z9" s="6"/>
      <c r="AA9" s="6"/>
      <c r="AB9" s="6"/>
      <c r="AC9" s="6"/>
      <c r="AD9" s="6"/>
      <c r="AE9" s="6"/>
      <c r="AF9" s="6"/>
      <c r="AG9" s="6"/>
    </row>
    <row r="10" ht="15.5" spans="1:33">
      <c r="A10" s="6"/>
      <c r="B10" s="58"/>
      <c r="C10" s="6"/>
      <c r="D10" s="6" t="s">
        <v>4185</v>
      </c>
      <c r="E10" s="41"/>
      <c r="F10" s="6"/>
      <c r="G10" s="50" t="s">
        <v>4169</v>
      </c>
      <c r="H10" s="40"/>
      <c r="I10" s="50" t="s">
        <v>82</v>
      </c>
      <c r="J10" s="50" t="s">
        <v>4190</v>
      </c>
      <c r="K10" s="60" t="s">
        <v>4186</v>
      </c>
      <c r="L10" s="6" t="s">
        <v>4187</v>
      </c>
      <c r="M10" s="61"/>
      <c r="N10" s="6"/>
      <c r="O10" s="6" t="s">
        <v>4191</v>
      </c>
      <c r="P10" s="62">
        <v>10000</v>
      </c>
      <c r="Q10" s="6" t="s">
        <v>173</v>
      </c>
      <c r="S10" s="50" t="s">
        <v>4173</v>
      </c>
      <c r="T10" s="50" t="s">
        <v>3506</v>
      </c>
      <c r="U10" s="63" t="s">
        <v>186</v>
      </c>
      <c r="V10" s="6"/>
      <c r="W10" s="6"/>
      <c r="X10" s="6"/>
      <c r="Y10" s="6"/>
      <c r="Z10" s="6"/>
      <c r="AA10" s="6"/>
      <c r="AB10" s="6"/>
      <c r="AC10" s="6"/>
      <c r="AD10" s="6"/>
      <c r="AE10" s="6"/>
      <c r="AF10" s="6"/>
      <c r="AG10" s="6"/>
    </row>
    <row r="11" ht="15.5" spans="1:33">
      <c r="A11" s="6"/>
      <c r="B11" s="58"/>
      <c r="C11" s="6"/>
      <c r="D11" s="6" t="s">
        <v>4168</v>
      </c>
      <c r="E11" s="41"/>
      <c r="F11" s="6"/>
      <c r="G11" s="50" t="s">
        <v>4169</v>
      </c>
      <c r="H11" s="40"/>
      <c r="I11" s="50" t="s">
        <v>82</v>
      </c>
      <c r="J11" s="50" t="s">
        <v>4190</v>
      </c>
      <c r="K11" s="60" t="s">
        <v>4186</v>
      </c>
      <c r="L11" s="6" t="s">
        <v>4187</v>
      </c>
      <c r="M11" s="61"/>
      <c r="N11" s="6"/>
      <c r="O11" s="6" t="s">
        <v>4192</v>
      </c>
      <c r="P11" s="62">
        <v>301500</v>
      </c>
      <c r="Q11" s="6" t="s">
        <v>173</v>
      </c>
      <c r="S11" s="50" t="s">
        <v>4173</v>
      </c>
      <c r="T11" s="50" t="s">
        <v>3506</v>
      </c>
      <c r="U11" s="63" t="s">
        <v>186</v>
      </c>
      <c r="V11" s="6"/>
      <c r="W11" s="6"/>
      <c r="X11" s="6"/>
      <c r="Y11" s="6"/>
      <c r="Z11" s="6"/>
      <c r="AA11" s="6"/>
      <c r="AB11" s="6"/>
      <c r="AC11" s="6"/>
      <c r="AD11" s="6"/>
      <c r="AE11" s="6"/>
      <c r="AF11" s="6"/>
      <c r="AG11" s="6"/>
    </row>
    <row r="12" ht="15.5" spans="1:33">
      <c r="A12" s="6"/>
      <c r="B12" s="58"/>
      <c r="C12" s="6"/>
      <c r="D12" s="6" t="s">
        <v>4185</v>
      </c>
      <c r="E12" s="41"/>
      <c r="F12" s="6"/>
      <c r="G12" s="50" t="s">
        <v>4169</v>
      </c>
      <c r="H12" s="40"/>
      <c r="I12" s="50" t="s">
        <v>82</v>
      </c>
      <c r="J12" s="50" t="s">
        <v>4190</v>
      </c>
      <c r="K12" s="60" t="s">
        <v>4193</v>
      </c>
      <c r="L12" s="6" t="s">
        <v>4194</v>
      </c>
      <c r="M12" s="61"/>
      <c r="N12" s="6"/>
      <c r="O12" s="6" t="s">
        <v>4195</v>
      </c>
      <c r="P12" s="62">
        <v>41780</v>
      </c>
      <c r="Q12" s="6" t="s">
        <v>173</v>
      </c>
      <c r="S12" s="50" t="s">
        <v>4173</v>
      </c>
      <c r="T12" s="50" t="s">
        <v>3506</v>
      </c>
      <c r="U12" s="6" t="s">
        <v>4196</v>
      </c>
      <c r="V12" s="6"/>
      <c r="W12" s="6"/>
      <c r="X12" s="6"/>
      <c r="Y12" s="6"/>
      <c r="Z12" s="6"/>
      <c r="AA12" s="6"/>
      <c r="AB12" s="6"/>
      <c r="AC12" s="6"/>
      <c r="AD12" s="6"/>
      <c r="AE12" s="6"/>
      <c r="AF12" s="6"/>
      <c r="AG12" s="6"/>
    </row>
    <row r="13" ht="15.5" spans="1:33">
      <c r="A13" s="6"/>
      <c r="B13" s="58"/>
      <c r="C13" s="6"/>
      <c r="D13" s="6" t="s">
        <v>39</v>
      </c>
      <c r="E13" s="41"/>
      <c r="F13" s="6"/>
      <c r="G13" s="50" t="s">
        <v>4169</v>
      </c>
      <c r="H13" s="40"/>
      <c r="I13" s="50" t="s">
        <v>82</v>
      </c>
      <c r="J13" s="50" t="s">
        <v>4190</v>
      </c>
      <c r="K13" s="60" t="s">
        <v>4197</v>
      </c>
      <c r="L13" s="6" t="s">
        <v>4198</v>
      </c>
      <c r="M13" s="61"/>
      <c r="N13" s="6"/>
      <c r="O13" s="6" t="s">
        <v>4199</v>
      </c>
      <c r="P13" s="64">
        <v>185840</v>
      </c>
      <c r="Q13" s="6" t="s">
        <v>173</v>
      </c>
      <c r="S13" s="50" t="s">
        <v>4173</v>
      </c>
      <c r="T13" s="50" t="s">
        <v>3506</v>
      </c>
      <c r="U13" s="6" t="s">
        <v>4196</v>
      </c>
      <c r="V13" s="6"/>
      <c r="W13" s="6"/>
      <c r="X13" s="6"/>
      <c r="Y13" s="6"/>
      <c r="Z13" s="6"/>
      <c r="AA13" s="6"/>
      <c r="AB13" s="6"/>
      <c r="AC13" s="6"/>
      <c r="AD13" s="6"/>
      <c r="AE13" s="6"/>
      <c r="AF13" s="6"/>
      <c r="AG13" s="6"/>
    </row>
    <row r="14" ht="15.5" spans="1:33">
      <c r="A14" s="6"/>
      <c r="B14" s="58"/>
      <c r="C14" s="6"/>
      <c r="D14" s="6" t="s">
        <v>39</v>
      </c>
      <c r="E14" s="41"/>
      <c r="F14" s="6"/>
      <c r="G14" s="50" t="s">
        <v>4169</v>
      </c>
      <c r="H14" s="40"/>
      <c r="I14" s="50" t="s">
        <v>82</v>
      </c>
      <c r="J14" s="50" t="s">
        <v>4190</v>
      </c>
      <c r="K14" s="60" t="s">
        <v>4197</v>
      </c>
      <c r="L14" s="6" t="s">
        <v>4198</v>
      </c>
      <c r="M14" s="61"/>
      <c r="N14" s="6"/>
      <c r="O14" s="6" t="s">
        <v>4199</v>
      </c>
      <c r="P14" s="64">
        <v>90140</v>
      </c>
      <c r="Q14" s="6" t="s">
        <v>173</v>
      </c>
      <c r="S14" s="50" t="s">
        <v>4173</v>
      </c>
      <c r="T14" s="50" t="s">
        <v>3506</v>
      </c>
      <c r="U14" s="6" t="s">
        <v>4196</v>
      </c>
      <c r="V14" s="6"/>
      <c r="W14" s="6"/>
      <c r="X14" s="6"/>
      <c r="Y14" s="6"/>
      <c r="Z14" s="6"/>
      <c r="AA14" s="6"/>
      <c r="AB14" s="6"/>
      <c r="AC14" s="6"/>
      <c r="AD14" s="6"/>
      <c r="AE14" s="6"/>
      <c r="AF14" s="6"/>
      <c r="AG14" s="6"/>
    </row>
    <row r="15" ht="15.5" spans="1:33">
      <c r="A15" s="6"/>
      <c r="B15" s="58"/>
      <c r="C15" s="6"/>
      <c r="D15" s="6" t="s">
        <v>4168</v>
      </c>
      <c r="E15" s="41"/>
      <c r="F15" s="6"/>
      <c r="G15" s="50" t="s">
        <v>4169</v>
      </c>
      <c r="H15" s="40"/>
      <c r="I15" s="50" t="s">
        <v>82</v>
      </c>
      <c r="J15" s="50" t="s">
        <v>4176</v>
      </c>
      <c r="K15" s="60" t="s">
        <v>4200</v>
      </c>
      <c r="L15" s="6" t="s">
        <v>4201</v>
      </c>
      <c r="M15" s="61"/>
      <c r="N15" s="6"/>
      <c r="O15" s="6" t="s">
        <v>4202</v>
      </c>
      <c r="P15" s="62">
        <v>24647.5</v>
      </c>
      <c r="Q15" s="6" t="s">
        <v>1567</v>
      </c>
      <c r="S15" s="50" t="s">
        <v>4173</v>
      </c>
      <c r="T15" s="50" t="s">
        <v>3506</v>
      </c>
      <c r="U15" s="63" t="s">
        <v>186</v>
      </c>
      <c r="V15" s="6" t="s">
        <v>4203</v>
      </c>
      <c r="W15" s="6"/>
      <c r="X15" s="6"/>
      <c r="Y15" s="6"/>
      <c r="Z15" s="6"/>
      <c r="AA15" s="6"/>
      <c r="AB15" s="6"/>
      <c r="AC15" s="6"/>
      <c r="AD15" s="6"/>
      <c r="AE15" s="6"/>
      <c r="AF15" s="6"/>
      <c r="AG15" s="6"/>
    </row>
    <row r="16" ht="15.5" spans="1:33">
      <c r="A16" s="6"/>
      <c r="B16" s="58"/>
      <c r="C16" s="6"/>
      <c r="D16" s="6" t="s">
        <v>4168</v>
      </c>
      <c r="E16" s="41"/>
      <c r="F16" s="6"/>
      <c r="G16" s="50" t="s">
        <v>4169</v>
      </c>
      <c r="H16" s="40"/>
      <c r="I16" s="50" t="s">
        <v>82</v>
      </c>
      <c r="J16" s="50" t="s">
        <v>4176</v>
      </c>
      <c r="K16" s="65" t="s">
        <v>4200</v>
      </c>
      <c r="L16" s="6" t="s">
        <v>4201</v>
      </c>
      <c r="M16" s="61"/>
      <c r="N16" s="6"/>
      <c r="O16" s="6" t="s">
        <v>4202</v>
      </c>
      <c r="P16" s="62">
        <v>24593.5</v>
      </c>
      <c r="Q16" s="6" t="s">
        <v>1567</v>
      </c>
      <c r="S16" s="50" t="s">
        <v>4173</v>
      </c>
      <c r="T16" s="50" t="s">
        <v>3506</v>
      </c>
      <c r="U16" s="63" t="s">
        <v>186</v>
      </c>
      <c r="V16" s="6" t="s">
        <v>4203</v>
      </c>
      <c r="W16" s="6"/>
      <c r="X16" s="6"/>
      <c r="Y16" s="6"/>
      <c r="Z16" s="6"/>
      <c r="AA16" s="6"/>
      <c r="AB16" s="6"/>
      <c r="AC16" s="6"/>
      <c r="AD16" s="6"/>
      <c r="AE16" s="6"/>
      <c r="AF16" s="6"/>
      <c r="AG16" s="6"/>
    </row>
    <row r="17" ht="15.5" spans="1:33">
      <c r="A17" s="6"/>
      <c r="B17" s="58"/>
      <c r="C17" s="6"/>
      <c r="D17" s="6" t="s">
        <v>39</v>
      </c>
      <c r="E17" s="41"/>
      <c r="F17" s="6"/>
      <c r="G17" s="50" t="s">
        <v>4169</v>
      </c>
      <c r="H17" s="40"/>
      <c r="I17" s="50" t="s">
        <v>82</v>
      </c>
      <c r="J17" s="50" t="s">
        <v>4190</v>
      </c>
      <c r="K17" s="60" t="s">
        <v>4204</v>
      </c>
      <c r="L17" s="6" t="s">
        <v>4205</v>
      </c>
      <c r="M17" s="61"/>
      <c r="N17" s="6"/>
      <c r="O17" s="6" t="s">
        <v>4206</v>
      </c>
      <c r="P17" s="64">
        <v>45590</v>
      </c>
      <c r="Q17" s="6" t="s">
        <v>173</v>
      </c>
      <c r="S17" s="50" t="s">
        <v>4173</v>
      </c>
      <c r="T17" s="50" t="s">
        <v>3506</v>
      </c>
      <c r="U17" s="6" t="s">
        <v>4196</v>
      </c>
      <c r="V17" s="6"/>
      <c r="W17" s="6"/>
      <c r="X17" s="6"/>
      <c r="Y17" s="6"/>
      <c r="Z17" s="6"/>
      <c r="AA17" s="6"/>
      <c r="AB17" s="6"/>
      <c r="AC17" s="6"/>
      <c r="AD17" s="6"/>
      <c r="AE17" s="6"/>
      <c r="AF17" s="6"/>
      <c r="AG17" s="6"/>
    </row>
    <row r="18" ht="15.5" spans="1:33">
      <c r="A18" s="6"/>
      <c r="B18" s="58"/>
      <c r="C18" s="6"/>
      <c r="D18" s="6" t="s">
        <v>39</v>
      </c>
      <c r="E18" s="41"/>
      <c r="F18" s="6"/>
      <c r="G18" s="50" t="s">
        <v>4169</v>
      </c>
      <c r="H18" s="40"/>
      <c r="I18" s="50" t="s">
        <v>82</v>
      </c>
      <c r="J18" s="50" t="s">
        <v>4190</v>
      </c>
      <c r="K18" s="60" t="s">
        <v>4204</v>
      </c>
      <c r="L18" s="6" t="s">
        <v>4205</v>
      </c>
      <c r="M18" s="61"/>
      <c r="N18" s="6"/>
      <c r="O18" s="6" t="s">
        <v>4207</v>
      </c>
      <c r="P18" s="62">
        <v>27890</v>
      </c>
      <c r="Q18" s="6" t="s">
        <v>173</v>
      </c>
      <c r="S18" s="50" t="s">
        <v>4173</v>
      </c>
      <c r="T18" s="50" t="s">
        <v>3506</v>
      </c>
      <c r="U18" s="6" t="s">
        <v>4196</v>
      </c>
      <c r="V18" s="6"/>
      <c r="W18" s="6"/>
      <c r="X18" s="6"/>
      <c r="Y18" s="6"/>
      <c r="Z18" s="6"/>
      <c r="AA18" s="6"/>
      <c r="AB18" s="6"/>
      <c r="AC18" s="6"/>
      <c r="AD18" s="6"/>
      <c r="AE18" s="6"/>
      <c r="AF18" s="6"/>
      <c r="AG18" s="6"/>
    </row>
    <row r="19" ht="15.5" spans="1:33">
      <c r="A19" s="6"/>
      <c r="B19" s="58"/>
      <c r="C19" s="6"/>
      <c r="D19" s="6" t="s">
        <v>4185</v>
      </c>
      <c r="E19" s="41"/>
      <c r="F19" s="6"/>
      <c r="G19" s="50" t="s">
        <v>4169</v>
      </c>
      <c r="H19" s="40"/>
      <c r="I19" s="50" t="s">
        <v>82</v>
      </c>
      <c r="J19" s="50" t="s">
        <v>4190</v>
      </c>
      <c r="K19" s="59" t="s">
        <v>4208</v>
      </c>
      <c r="L19" s="6" t="s">
        <v>4209</v>
      </c>
      <c r="M19" s="61"/>
      <c r="N19" s="6"/>
      <c r="O19" s="6" t="s">
        <v>4210</v>
      </c>
      <c r="P19" s="62">
        <v>98880</v>
      </c>
      <c r="Q19" s="60" t="s">
        <v>173</v>
      </c>
      <c r="S19" s="50" t="s">
        <v>4173</v>
      </c>
      <c r="T19" s="50" t="s">
        <v>3506</v>
      </c>
      <c r="U19" s="6" t="s">
        <v>4211</v>
      </c>
      <c r="V19" s="6"/>
      <c r="W19" s="6"/>
      <c r="X19" s="6"/>
      <c r="Y19" s="6"/>
      <c r="Z19" s="6"/>
      <c r="AA19" s="6"/>
      <c r="AB19" s="6"/>
      <c r="AC19" s="6"/>
      <c r="AD19" s="6"/>
      <c r="AE19" s="6"/>
      <c r="AF19" s="6"/>
      <c r="AG19" s="6"/>
    </row>
    <row r="20" ht="15.5" spans="1:33">
      <c r="A20" s="6"/>
      <c r="B20" s="58"/>
      <c r="C20" s="6"/>
      <c r="D20" s="6" t="s">
        <v>4185</v>
      </c>
      <c r="E20" s="41"/>
      <c r="F20" s="6"/>
      <c r="G20" s="66" t="s">
        <v>4169</v>
      </c>
      <c r="H20" s="40"/>
      <c r="I20" s="50" t="s">
        <v>82</v>
      </c>
      <c r="J20" s="50" t="s">
        <v>4190</v>
      </c>
      <c r="K20" s="59" t="s">
        <v>4212</v>
      </c>
      <c r="L20" s="6" t="s">
        <v>4213</v>
      </c>
      <c r="M20" s="61"/>
      <c r="N20" s="6"/>
      <c r="O20" s="6" t="s">
        <v>4214</v>
      </c>
      <c r="P20" s="62">
        <v>40560</v>
      </c>
      <c r="Q20" s="6" t="s">
        <v>173</v>
      </c>
      <c r="S20" s="50" t="s">
        <v>4215</v>
      </c>
      <c r="T20" s="50" t="s">
        <v>3506</v>
      </c>
      <c r="U20" s="6" t="s">
        <v>4216</v>
      </c>
      <c r="V20" s="6" t="s">
        <v>4217</v>
      </c>
      <c r="W20" s="6"/>
      <c r="X20" s="6"/>
      <c r="Y20" s="6"/>
      <c r="Z20" s="6"/>
      <c r="AA20" s="6"/>
      <c r="AB20" s="6"/>
      <c r="AC20" s="6"/>
      <c r="AD20" s="6"/>
      <c r="AE20" s="6"/>
      <c r="AF20" s="6"/>
      <c r="AG20" s="6"/>
    </row>
    <row r="21" ht="15.5" spans="1:33">
      <c r="A21" s="6"/>
      <c r="B21" s="58"/>
      <c r="C21" s="6"/>
      <c r="D21" s="6" t="s">
        <v>4168</v>
      </c>
      <c r="E21" s="41"/>
      <c r="F21" s="6"/>
      <c r="G21" s="50" t="s">
        <v>4169</v>
      </c>
      <c r="H21" s="40"/>
      <c r="I21" s="50" t="s">
        <v>82</v>
      </c>
      <c r="J21" s="50" t="s">
        <v>4190</v>
      </c>
      <c r="K21" s="60" t="s">
        <v>4218</v>
      </c>
      <c r="L21" s="6" t="s">
        <v>4219</v>
      </c>
      <c r="M21" s="61"/>
      <c r="N21" s="6"/>
      <c r="O21" s="6" t="s">
        <v>4220</v>
      </c>
      <c r="P21" s="62">
        <v>10492.98</v>
      </c>
      <c r="Q21" s="6" t="s">
        <v>173</v>
      </c>
      <c r="S21" s="50" t="s">
        <v>4173</v>
      </c>
      <c r="T21" s="50" t="s">
        <v>3506</v>
      </c>
      <c r="U21" s="6" t="s">
        <v>4221</v>
      </c>
      <c r="V21" s="6"/>
      <c r="W21" s="6"/>
      <c r="X21" s="6"/>
      <c r="Y21" s="6"/>
      <c r="Z21" s="6"/>
      <c r="AA21" s="6"/>
      <c r="AB21" s="6"/>
      <c r="AC21" s="6"/>
      <c r="AD21" s="6"/>
      <c r="AE21" s="6"/>
      <c r="AF21" s="6"/>
      <c r="AG21" s="6"/>
    </row>
    <row r="22" ht="15.5" spans="1:33">
      <c r="A22" s="6"/>
      <c r="B22" s="58"/>
      <c r="C22" s="6"/>
      <c r="D22" s="6" t="s">
        <v>4168</v>
      </c>
      <c r="E22" s="41"/>
      <c r="F22" s="6"/>
      <c r="G22" s="50" t="s">
        <v>4169</v>
      </c>
      <c r="H22" s="40"/>
      <c r="I22" s="50" t="s">
        <v>82</v>
      </c>
      <c r="J22" s="50" t="s">
        <v>4190</v>
      </c>
      <c r="K22" s="60" t="s">
        <v>4218</v>
      </c>
      <c r="L22" s="6" t="s">
        <v>4219</v>
      </c>
      <c r="M22" s="61"/>
      <c r="N22" s="6"/>
      <c r="O22" s="6" t="s">
        <v>4220</v>
      </c>
      <c r="P22" s="62">
        <v>219972.98</v>
      </c>
      <c r="Q22" s="6" t="s">
        <v>173</v>
      </c>
      <c r="S22" s="50" t="s">
        <v>4173</v>
      </c>
      <c r="T22" s="50" t="s">
        <v>3506</v>
      </c>
      <c r="U22" s="6" t="s">
        <v>4221</v>
      </c>
      <c r="V22" s="6"/>
      <c r="W22" s="6"/>
      <c r="X22" s="6"/>
      <c r="Y22" s="6"/>
      <c r="Z22" s="6"/>
      <c r="AA22" s="6"/>
      <c r="AB22" s="6"/>
      <c r="AC22" s="6"/>
      <c r="AD22" s="6"/>
      <c r="AE22" s="6"/>
      <c r="AF22" s="6"/>
      <c r="AG22" s="6"/>
    </row>
    <row r="23" ht="15.5" spans="1:33">
      <c r="A23" s="6"/>
      <c r="B23" s="58"/>
      <c r="C23" s="6"/>
      <c r="D23" s="6" t="s">
        <v>4168</v>
      </c>
      <c r="E23" s="41"/>
      <c r="F23" s="6"/>
      <c r="G23" s="50" t="s">
        <v>4169</v>
      </c>
      <c r="H23" s="40"/>
      <c r="I23" s="50" t="s">
        <v>82</v>
      </c>
      <c r="J23" s="50" t="s">
        <v>4190</v>
      </c>
      <c r="K23" s="60" t="s">
        <v>4218</v>
      </c>
      <c r="L23" s="6" t="s">
        <v>4219</v>
      </c>
      <c r="M23" s="61"/>
      <c r="N23" s="6"/>
      <c r="O23" s="6" t="s">
        <v>4220</v>
      </c>
      <c r="P23" s="62">
        <v>88892.97</v>
      </c>
      <c r="Q23" s="6" t="s">
        <v>173</v>
      </c>
      <c r="S23" s="50" t="s">
        <v>4173</v>
      </c>
      <c r="T23" s="50" t="s">
        <v>3506</v>
      </c>
      <c r="U23" s="6" t="s">
        <v>4221</v>
      </c>
      <c r="V23" s="6"/>
      <c r="W23" s="6"/>
      <c r="X23" s="6"/>
      <c r="Y23" s="6"/>
      <c r="Z23" s="6"/>
      <c r="AA23" s="6"/>
      <c r="AB23" s="6"/>
      <c r="AC23" s="6"/>
      <c r="AD23" s="6"/>
      <c r="AE23" s="6"/>
      <c r="AF23" s="6"/>
      <c r="AG23" s="6"/>
    </row>
    <row r="24" ht="15.5" spans="1:33">
      <c r="A24" s="6"/>
      <c r="B24" s="58"/>
      <c r="C24" s="6"/>
      <c r="D24" s="6" t="s">
        <v>4168</v>
      </c>
      <c r="E24" s="41"/>
      <c r="F24" s="6"/>
      <c r="G24" s="50" t="s">
        <v>4169</v>
      </c>
      <c r="H24" s="40"/>
      <c r="I24" s="50" t="s">
        <v>82</v>
      </c>
      <c r="J24" s="50" t="s">
        <v>4190</v>
      </c>
      <c r="K24" s="60" t="s">
        <v>4218</v>
      </c>
      <c r="L24" s="6" t="s">
        <v>4219</v>
      </c>
      <c r="M24" s="61"/>
      <c r="N24" s="6"/>
      <c r="O24" s="6" t="s">
        <v>4222</v>
      </c>
      <c r="P24" s="62">
        <v>40800</v>
      </c>
      <c r="Q24" s="6" t="s">
        <v>173</v>
      </c>
      <c r="S24" s="50" t="s">
        <v>4173</v>
      </c>
      <c r="T24" s="50" t="s">
        <v>3506</v>
      </c>
      <c r="U24" s="6" t="s">
        <v>4221</v>
      </c>
      <c r="V24" s="6"/>
      <c r="W24" s="6"/>
      <c r="X24" s="6"/>
      <c r="Y24" s="6"/>
      <c r="Z24" s="6"/>
      <c r="AA24" s="6"/>
      <c r="AB24" s="6"/>
      <c r="AC24" s="6"/>
      <c r="AD24" s="6"/>
      <c r="AE24" s="6"/>
      <c r="AF24" s="6"/>
      <c r="AG24" s="6"/>
    </row>
    <row r="25" ht="15.5" spans="1:33">
      <c r="A25" s="6"/>
      <c r="B25" s="58"/>
      <c r="C25" s="6"/>
      <c r="D25" s="6" t="s">
        <v>39</v>
      </c>
      <c r="E25" s="41"/>
      <c r="F25" s="6"/>
      <c r="G25" s="66" t="s">
        <v>2954</v>
      </c>
      <c r="H25" s="40"/>
      <c r="I25" s="50" t="s">
        <v>82</v>
      </c>
      <c r="J25" s="50" t="s">
        <v>4190</v>
      </c>
      <c r="K25" s="59" t="s">
        <v>4223</v>
      </c>
      <c r="L25" s="6" t="s">
        <v>4224</v>
      </c>
      <c r="M25" s="61"/>
      <c r="N25" s="6"/>
      <c r="O25" s="6" t="s">
        <v>4225</v>
      </c>
      <c r="P25" s="62">
        <v>39990</v>
      </c>
      <c r="Q25" s="6" t="s">
        <v>173</v>
      </c>
      <c r="S25" s="50" t="s">
        <v>4173</v>
      </c>
      <c r="T25" s="50" t="s">
        <v>3506</v>
      </c>
      <c r="U25" s="6" t="s">
        <v>4226</v>
      </c>
      <c r="V25" s="6" t="s">
        <v>4227</v>
      </c>
      <c r="W25" s="6"/>
      <c r="X25" s="6"/>
      <c r="Y25" s="6"/>
      <c r="Z25" s="6"/>
      <c r="AA25" s="6"/>
      <c r="AB25" s="6"/>
      <c r="AC25" s="6"/>
      <c r="AD25" s="6"/>
      <c r="AE25" s="6"/>
      <c r="AF25" s="6"/>
      <c r="AG25" s="6"/>
    </row>
    <row r="26" ht="15.5" spans="1:33">
      <c r="A26" s="6"/>
      <c r="B26" s="58"/>
      <c r="C26" s="6"/>
      <c r="D26" s="6" t="s">
        <v>39</v>
      </c>
      <c r="E26" s="41"/>
      <c r="F26" s="6"/>
      <c r="G26" s="66" t="s">
        <v>2954</v>
      </c>
      <c r="H26" s="40"/>
      <c r="I26" s="50" t="s">
        <v>82</v>
      </c>
      <c r="J26" s="50" t="s">
        <v>4190</v>
      </c>
      <c r="K26" s="59" t="s">
        <v>4223</v>
      </c>
      <c r="L26" s="6" t="s">
        <v>4224</v>
      </c>
      <c r="M26" s="61"/>
      <c r="N26" s="6"/>
      <c r="O26" s="6" t="s">
        <v>4225</v>
      </c>
      <c r="P26" s="62">
        <v>37990</v>
      </c>
      <c r="Q26" s="6" t="s">
        <v>173</v>
      </c>
      <c r="S26" s="50" t="s">
        <v>4173</v>
      </c>
      <c r="T26" s="50" t="s">
        <v>3506</v>
      </c>
      <c r="U26" s="6" t="s">
        <v>4226</v>
      </c>
      <c r="V26" s="6" t="s">
        <v>4227</v>
      </c>
      <c r="W26" s="6"/>
      <c r="X26" s="6"/>
      <c r="Y26" s="6"/>
      <c r="Z26" s="6"/>
      <c r="AA26" s="6"/>
      <c r="AB26" s="6"/>
      <c r="AC26" s="6"/>
      <c r="AD26" s="6"/>
      <c r="AE26" s="6"/>
      <c r="AF26" s="6"/>
      <c r="AG26" s="6"/>
    </row>
    <row r="27" ht="15.5" spans="1:33">
      <c r="A27" s="6"/>
      <c r="B27" s="58"/>
      <c r="C27" s="6"/>
      <c r="D27" s="6" t="s">
        <v>39</v>
      </c>
      <c r="E27" s="41"/>
      <c r="F27" s="6"/>
      <c r="G27" s="50" t="s">
        <v>4169</v>
      </c>
      <c r="H27" s="40"/>
      <c r="I27" s="50" t="s">
        <v>82</v>
      </c>
      <c r="J27" s="50" t="s">
        <v>4190</v>
      </c>
      <c r="K27" s="59" t="s">
        <v>4228</v>
      </c>
      <c r="L27" s="6" t="s">
        <v>4229</v>
      </c>
      <c r="M27" s="61"/>
      <c r="N27" s="6"/>
      <c r="O27" s="6" t="s">
        <v>4230</v>
      </c>
      <c r="P27" s="64">
        <v>15000</v>
      </c>
      <c r="Q27" s="6" t="s">
        <v>173</v>
      </c>
      <c r="S27" s="50" t="s">
        <v>4173</v>
      </c>
      <c r="T27" s="50" t="s">
        <v>3506</v>
      </c>
      <c r="U27" s="6" t="s">
        <v>270</v>
      </c>
      <c r="V27" s="6"/>
      <c r="W27" s="6"/>
      <c r="X27" s="6"/>
      <c r="Y27" s="6"/>
      <c r="Z27" s="6"/>
      <c r="AA27" s="6"/>
      <c r="AB27" s="6"/>
      <c r="AC27" s="6"/>
      <c r="AD27" s="6"/>
      <c r="AE27" s="6"/>
      <c r="AF27" s="6"/>
      <c r="AG27" s="6"/>
    </row>
    <row r="28" ht="30" customHeight="1" spans="1:33">
      <c r="A28" s="6"/>
      <c r="B28" s="7">
        <v>45593</v>
      </c>
      <c r="C28" s="6" t="str">
        <f>YEAR(B28)&amp;"年"&amp;MONTH(B28)&amp;"月"</f>
        <v>2024年10月</v>
      </c>
      <c r="D28" s="40" t="s">
        <v>40</v>
      </c>
      <c r="E28" s="7" t="s">
        <v>4231</v>
      </c>
      <c r="F28" s="6" t="s">
        <v>10</v>
      </c>
      <c r="G28" s="50" t="s">
        <v>4169</v>
      </c>
      <c r="H28" s="40"/>
      <c r="I28" s="50" t="s">
        <v>82</v>
      </c>
      <c r="K28" s="59" t="s">
        <v>4232</v>
      </c>
      <c r="L28" s="6" t="s">
        <v>4233</v>
      </c>
      <c r="M28" s="61"/>
      <c r="N28" s="6" t="s">
        <v>4234</v>
      </c>
      <c r="O28" s="6"/>
      <c r="P28" s="62">
        <v>10450</v>
      </c>
      <c r="Q28" s="6" t="s">
        <v>173</v>
      </c>
      <c r="U28" s="6" t="s">
        <v>136</v>
      </c>
      <c r="V28" s="6"/>
      <c r="W28" s="6"/>
      <c r="X28" s="6"/>
      <c r="Y28" s="6"/>
      <c r="Z28" s="6"/>
      <c r="AA28" s="6"/>
      <c r="AB28" s="6"/>
      <c r="AC28" s="6"/>
      <c r="AD28" s="6"/>
      <c r="AE28" s="6"/>
      <c r="AF28" s="6"/>
      <c r="AG28" s="6"/>
    </row>
    <row r="29" ht="30" customHeight="1" spans="1:33">
      <c r="A29" s="6" t="s">
        <v>78</v>
      </c>
      <c r="B29" s="67"/>
      <c r="C29" s="6" t="str">
        <f>YEAR(B29)&amp;"年"&amp;MONTH(B29)&amp;"月"</f>
        <v>1900年1月</v>
      </c>
      <c r="D29" s="40" t="s">
        <v>40</v>
      </c>
      <c r="E29" s="41" t="s">
        <v>4235</v>
      </c>
      <c r="F29" s="6" t="s">
        <v>11</v>
      </c>
      <c r="G29" s="50" t="s">
        <v>4169</v>
      </c>
      <c r="H29" s="40"/>
      <c r="I29" s="50" t="s">
        <v>82</v>
      </c>
      <c r="J29" s="50" t="s">
        <v>4176</v>
      </c>
      <c r="K29" s="59" t="s">
        <v>4236</v>
      </c>
      <c r="L29" s="6" t="s">
        <v>4237</v>
      </c>
      <c r="M29" s="61"/>
      <c r="N29" s="6" t="s">
        <v>4238</v>
      </c>
      <c r="O29" s="6" t="s">
        <v>4239</v>
      </c>
      <c r="P29" s="62">
        <v>48739.56</v>
      </c>
      <c r="Q29" s="6" t="s">
        <v>149</v>
      </c>
      <c r="S29" s="50" t="s">
        <v>4173</v>
      </c>
      <c r="T29" s="50" t="s">
        <v>3506</v>
      </c>
      <c r="U29" s="6" t="s">
        <v>85</v>
      </c>
      <c r="V29" s="6" t="s">
        <v>4240</v>
      </c>
      <c r="W29" s="6"/>
      <c r="X29" s="6"/>
      <c r="Y29" s="6"/>
      <c r="Z29" s="6"/>
      <c r="AA29" s="6"/>
      <c r="AB29" s="6"/>
      <c r="AC29" s="6"/>
      <c r="AD29" s="6"/>
      <c r="AE29" s="6"/>
      <c r="AF29" s="6"/>
      <c r="AG29" s="6"/>
    </row>
    <row r="30" ht="15.5" spans="1:33">
      <c r="A30" s="6"/>
      <c r="B30" s="58"/>
      <c r="C30" s="40"/>
      <c r="D30" s="40" t="s">
        <v>4185</v>
      </c>
      <c r="E30" s="41"/>
      <c r="F30" s="6"/>
      <c r="G30" s="50" t="s">
        <v>4169</v>
      </c>
      <c r="H30" s="40"/>
      <c r="I30" s="50" t="s">
        <v>82</v>
      </c>
      <c r="J30" s="50" t="s">
        <v>4190</v>
      </c>
      <c r="K30" s="59" t="s">
        <v>4241</v>
      </c>
      <c r="L30" s="6" t="s">
        <v>4242</v>
      </c>
      <c r="M30" s="61"/>
      <c r="N30" s="6"/>
      <c r="O30" s="6" t="s">
        <v>4243</v>
      </c>
      <c r="P30" s="62">
        <v>30000</v>
      </c>
      <c r="Q30" s="6" t="s">
        <v>173</v>
      </c>
      <c r="S30" s="50" t="s">
        <v>4173</v>
      </c>
      <c r="T30" s="50" t="s">
        <v>3506</v>
      </c>
      <c r="U30" s="6" t="s">
        <v>186</v>
      </c>
      <c r="V30" s="6"/>
      <c r="W30" s="6"/>
      <c r="X30" s="6"/>
      <c r="Y30" s="6"/>
      <c r="Z30" s="6"/>
      <c r="AA30" s="6"/>
      <c r="AB30" s="6"/>
      <c r="AC30" s="6"/>
      <c r="AD30" s="6"/>
      <c r="AE30" s="6"/>
      <c r="AF30" s="6"/>
      <c r="AG30" s="6"/>
    </row>
    <row r="31" ht="15.5" spans="1:33">
      <c r="A31" s="6"/>
      <c r="B31" s="58"/>
      <c r="C31" s="40"/>
      <c r="D31" s="40" t="s">
        <v>39</v>
      </c>
      <c r="E31" s="41"/>
      <c r="F31" s="6"/>
      <c r="G31" s="50" t="s">
        <v>2954</v>
      </c>
      <c r="H31" s="40"/>
      <c r="I31" s="50" t="s">
        <v>82</v>
      </c>
      <c r="J31" s="50" t="s">
        <v>4176</v>
      </c>
      <c r="K31" s="59" t="s">
        <v>2227</v>
      </c>
      <c r="L31" s="6" t="s">
        <v>2229</v>
      </c>
      <c r="M31" s="61"/>
      <c r="N31" s="6"/>
      <c r="O31" s="6" t="s">
        <v>4244</v>
      </c>
      <c r="P31" s="62">
        <v>2500000</v>
      </c>
      <c r="Q31" s="6" t="s">
        <v>1062</v>
      </c>
      <c r="S31" s="50" t="s">
        <v>4215</v>
      </c>
      <c r="T31" s="50" t="s">
        <v>3557</v>
      </c>
      <c r="U31" s="6" t="s">
        <v>4216</v>
      </c>
      <c r="V31" s="6" t="s">
        <v>4245</v>
      </c>
      <c r="W31" s="6"/>
      <c r="X31" s="6"/>
      <c r="Y31" s="6"/>
      <c r="Z31" s="6"/>
      <c r="AA31" s="6"/>
      <c r="AB31" s="6"/>
      <c r="AC31" s="6"/>
      <c r="AD31" s="6"/>
      <c r="AE31" s="6"/>
      <c r="AF31" s="6"/>
      <c r="AG31" s="6"/>
    </row>
    <row r="32" ht="15.5" spans="1:33">
      <c r="A32" s="6"/>
      <c r="B32" s="58"/>
      <c r="C32" s="40"/>
      <c r="D32" s="40" t="s">
        <v>39</v>
      </c>
      <c r="E32" s="41"/>
      <c r="F32" s="6"/>
      <c r="G32" s="50" t="s">
        <v>2954</v>
      </c>
      <c r="H32" s="40"/>
      <c r="I32" s="50" t="s">
        <v>82</v>
      </c>
      <c r="J32" s="50" t="s">
        <v>4190</v>
      </c>
      <c r="K32" s="59" t="s">
        <v>1047</v>
      </c>
      <c r="L32" s="6" t="s">
        <v>1049</v>
      </c>
      <c r="M32" s="61"/>
      <c r="N32" s="6"/>
      <c r="O32" s="6" t="s">
        <v>4246</v>
      </c>
      <c r="P32" s="62">
        <v>8430</v>
      </c>
      <c r="Q32" s="6" t="s">
        <v>173</v>
      </c>
      <c r="S32" s="50" t="s">
        <v>4215</v>
      </c>
      <c r="T32" s="50" t="s">
        <v>3557</v>
      </c>
      <c r="U32" s="6" t="s">
        <v>4177</v>
      </c>
      <c r="V32" s="6" t="s">
        <v>4247</v>
      </c>
      <c r="W32" s="6"/>
      <c r="X32" s="6"/>
      <c r="Y32" s="6"/>
      <c r="Z32" s="6"/>
      <c r="AA32" s="6"/>
      <c r="AB32" s="6"/>
      <c r="AC32" s="6"/>
      <c r="AD32" s="6"/>
      <c r="AE32" s="6"/>
      <c r="AF32" s="6"/>
      <c r="AG32" s="6"/>
    </row>
    <row r="33" ht="30" customHeight="1" spans="1:33">
      <c r="A33" s="6" t="s">
        <v>78</v>
      </c>
      <c r="B33" s="7">
        <v>45617</v>
      </c>
      <c r="C33" s="6" t="str">
        <f t="shared" ref="C33:C80" si="0">YEAR(B33)&amp;"年"&amp;MONTH(B33)&amp;"月"</f>
        <v>2024年11月</v>
      </c>
      <c r="D33" s="40" t="s">
        <v>40</v>
      </c>
      <c r="E33" s="41" t="s">
        <v>4248</v>
      </c>
      <c r="F33" s="6" t="s">
        <v>10</v>
      </c>
      <c r="G33" s="50" t="s">
        <v>2954</v>
      </c>
      <c r="H33" s="40" t="s">
        <v>4249</v>
      </c>
      <c r="I33" s="50" t="s">
        <v>82</v>
      </c>
      <c r="J33" s="50" t="s">
        <v>4176</v>
      </c>
      <c r="K33" s="59" t="s">
        <v>4250</v>
      </c>
      <c r="L33" s="6" t="s">
        <v>4251</v>
      </c>
      <c r="M33" s="68" t="s">
        <v>1005</v>
      </c>
      <c r="N33" s="6" t="s">
        <v>4252</v>
      </c>
      <c r="O33" s="6"/>
      <c r="P33" s="62">
        <v>37.67</v>
      </c>
      <c r="Q33" s="6" t="s">
        <v>139</v>
      </c>
      <c r="R33" s="50" t="s">
        <v>4253</v>
      </c>
      <c r="S33" s="50" t="s">
        <v>4215</v>
      </c>
      <c r="T33" s="50" t="s">
        <v>3506</v>
      </c>
      <c r="U33" s="6" t="s">
        <v>85</v>
      </c>
      <c r="V33" s="6" t="s">
        <v>4254</v>
      </c>
      <c r="W33" s="6"/>
      <c r="X33" s="6"/>
      <c r="Y33" s="6"/>
      <c r="Z33" s="6"/>
      <c r="AA33" s="6"/>
      <c r="AB33" s="6"/>
      <c r="AC33" s="6"/>
      <c r="AD33" s="6"/>
      <c r="AE33" s="6"/>
      <c r="AF33" s="6"/>
      <c r="AG33" s="6"/>
    </row>
    <row r="34" ht="30" customHeight="1" spans="1:33">
      <c r="A34" s="6" t="s">
        <v>78</v>
      </c>
      <c r="B34" s="7">
        <v>45629</v>
      </c>
      <c r="C34" s="6" t="str">
        <f t="shared" si="0"/>
        <v>2024年12月</v>
      </c>
      <c r="D34" s="40" t="s">
        <v>40</v>
      </c>
      <c r="E34" s="41" t="s">
        <v>4255</v>
      </c>
      <c r="F34" s="6" t="s">
        <v>10</v>
      </c>
      <c r="G34" s="50" t="s">
        <v>2954</v>
      </c>
      <c r="H34" s="40" t="s">
        <v>4256</v>
      </c>
      <c r="I34" s="50" t="s">
        <v>82</v>
      </c>
      <c r="J34" s="50" t="s">
        <v>4176</v>
      </c>
      <c r="K34" s="59" t="s">
        <v>1164</v>
      </c>
      <c r="L34" s="6" t="s">
        <v>1166</v>
      </c>
      <c r="M34" s="68" t="s">
        <v>1005</v>
      </c>
      <c r="N34" s="6" t="s">
        <v>4257</v>
      </c>
      <c r="O34" s="6"/>
      <c r="P34" s="62">
        <v>158</v>
      </c>
      <c r="Q34" s="6" t="s">
        <v>139</v>
      </c>
      <c r="R34" s="50" t="s">
        <v>4253</v>
      </c>
      <c r="S34" s="50" t="s">
        <v>4215</v>
      </c>
      <c r="T34" s="50" t="s">
        <v>3506</v>
      </c>
      <c r="U34" s="6" t="s">
        <v>85</v>
      </c>
      <c r="V34" s="6" t="s">
        <v>4254</v>
      </c>
      <c r="W34" s="6"/>
      <c r="X34" s="6"/>
      <c r="Y34" s="6"/>
      <c r="Z34" s="6"/>
      <c r="AA34" s="6"/>
      <c r="AB34" s="6"/>
      <c r="AC34" s="6"/>
      <c r="AD34" s="6"/>
      <c r="AE34" s="6"/>
      <c r="AF34" s="6"/>
      <c r="AG34" s="6"/>
    </row>
    <row r="35" ht="30" customHeight="1" spans="1:33">
      <c r="A35" s="6" t="s">
        <v>78</v>
      </c>
      <c r="B35" s="7">
        <v>45638</v>
      </c>
      <c r="C35" s="6" t="str">
        <f t="shared" si="0"/>
        <v>2024年12月</v>
      </c>
      <c r="D35" s="40" t="s">
        <v>40</v>
      </c>
      <c r="E35" s="41" t="s">
        <v>4258</v>
      </c>
      <c r="F35" s="6" t="s">
        <v>10</v>
      </c>
      <c r="G35" s="50" t="s">
        <v>4169</v>
      </c>
      <c r="H35" s="40" t="s">
        <v>2886</v>
      </c>
      <c r="I35" s="50" t="s">
        <v>82</v>
      </c>
      <c r="J35" s="50" t="s">
        <v>4176</v>
      </c>
      <c r="K35" s="59" t="s">
        <v>4259</v>
      </c>
      <c r="L35" s="69" t="s">
        <v>4260</v>
      </c>
      <c r="M35" s="61"/>
      <c r="N35" s="6" t="s">
        <v>4261</v>
      </c>
      <c r="O35" s="6" t="s">
        <v>1023</v>
      </c>
      <c r="P35" s="62">
        <v>91.23</v>
      </c>
      <c r="Q35" s="6" t="s">
        <v>149</v>
      </c>
      <c r="R35" s="50" t="s">
        <v>4253</v>
      </c>
      <c r="S35" s="50" t="s">
        <v>4173</v>
      </c>
      <c r="T35" s="50" t="s">
        <v>3506</v>
      </c>
      <c r="U35" s="6" t="s">
        <v>129</v>
      </c>
      <c r="V35" s="6" t="s">
        <v>4262</v>
      </c>
      <c r="W35" s="6"/>
      <c r="X35" s="6"/>
      <c r="Y35" s="6"/>
      <c r="Z35" s="6"/>
      <c r="AA35" s="6"/>
      <c r="AB35" s="6"/>
      <c r="AC35" s="6"/>
      <c r="AD35" s="6"/>
      <c r="AE35" s="6"/>
      <c r="AF35" s="6"/>
      <c r="AG35" s="6"/>
    </row>
    <row r="36" ht="30" customHeight="1" spans="1:33">
      <c r="A36" s="6" t="s">
        <v>78</v>
      </c>
      <c r="B36" s="7">
        <v>45638</v>
      </c>
      <c r="C36" s="6" t="str">
        <f t="shared" si="0"/>
        <v>2024年12月</v>
      </c>
      <c r="D36" s="40" t="s">
        <v>40</v>
      </c>
      <c r="E36" s="41" t="s">
        <v>4263</v>
      </c>
      <c r="F36" s="6" t="s">
        <v>10</v>
      </c>
      <c r="G36" s="50" t="s">
        <v>4169</v>
      </c>
      <c r="H36" s="40" t="s">
        <v>2886</v>
      </c>
      <c r="I36" s="50" t="s">
        <v>82</v>
      </c>
      <c r="J36" s="50" t="s">
        <v>4176</v>
      </c>
      <c r="K36" s="59" t="s">
        <v>4259</v>
      </c>
      <c r="L36" s="69" t="s">
        <v>4260</v>
      </c>
      <c r="M36" s="61"/>
      <c r="N36" s="6" t="s">
        <v>4264</v>
      </c>
      <c r="O36" s="6" t="s">
        <v>1023</v>
      </c>
      <c r="P36" s="62">
        <v>91.23</v>
      </c>
      <c r="Q36" s="6" t="s">
        <v>149</v>
      </c>
      <c r="R36" s="50" t="s">
        <v>4253</v>
      </c>
      <c r="S36" s="50" t="s">
        <v>4173</v>
      </c>
      <c r="T36" s="50" t="s">
        <v>3506</v>
      </c>
      <c r="U36" s="6" t="s">
        <v>129</v>
      </c>
      <c r="V36" s="6" t="s">
        <v>4262</v>
      </c>
      <c r="W36" s="6"/>
      <c r="X36" s="6"/>
      <c r="Y36" s="6"/>
      <c r="Z36" s="6"/>
      <c r="AA36" s="6"/>
      <c r="AB36" s="6"/>
      <c r="AC36" s="6"/>
      <c r="AD36" s="6"/>
      <c r="AE36" s="6"/>
      <c r="AF36" s="6"/>
      <c r="AG36" s="6"/>
    </row>
    <row r="37" ht="30" customHeight="1" spans="1:33">
      <c r="A37" s="6" t="s">
        <v>78</v>
      </c>
      <c r="B37" s="7">
        <v>45638</v>
      </c>
      <c r="C37" s="6" t="str">
        <f t="shared" si="0"/>
        <v>2024年12月</v>
      </c>
      <c r="D37" s="40" t="s">
        <v>40</v>
      </c>
      <c r="E37" s="41" t="s">
        <v>4265</v>
      </c>
      <c r="F37" s="6" t="s">
        <v>10</v>
      </c>
      <c r="G37" s="50" t="s">
        <v>2954</v>
      </c>
      <c r="H37" s="40" t="s">
        <v>4266</v>
      </c>
      <c r="I37" s="50" t="s">
        <v>82</v>
      </c>
      <c r="J37" s="50" t="s">
        <v>4176</v>
      </c>
      <c r="K37" s="59" t="s">
        <v>4267</v>
      </c>
      <c r="L37" s="6" t="s">
        <v>4268</v>
      </c>
      <c r="M37" s="61" t="s">
        <v>4269</v>
      </c>
      <c r="N37" s="6" t="s">
        <v>4270</v>
      </c>
      <c r="O37" s="6" t="s">
        <v>2105</v>
      </c>
      <c r="P37" s="62">
        <v>142</v>
      </c>
      <c r="Q37" s="6" t="s">
        <v>149</v>
      </c>
      <c r="R37" s="50" t="s">
        <v>4253</v>
      </c>
      <c r="S37" s="50" t="s">
        <v>4173</v>
      </c>
      <c r="T37" s="50" t="s">
        <v>3506</v>
      </c>
      <c r="U37" s="6" t="s">
        <v>194</v>
      </c>
      <c r="V37" s="6" t="s">
        <v>4271</v>
      </c>
      <c r="W37" s="6"/>
      <c r="X37" s="6"/>
      <c r="Y37" s="6"/>
      <c r="Z37" s="6"/>
      <c r="AA37" s="6"/>
      <c r="AB37" s="6"/>
      <c r="AC37" s="6"/>
      <c r="AD37" s="6"/>
      <c r="AE37" s="6"/>
      <c r="AF37" s="6"/>
      <c r="AG37" s="6"/>
    </row>
    <row r="38" ht="30" customHeight="1" spans="1:33">
      <c r="A38" s="6" t="s">
        <v>78</v>
      </c>
      <c r="B38" s="7">
        <v>45639</v>
      </c>
      <c r="C38" s="6" t="str">
        <f t="shared" si="0"/>
        <v>2024年12月</v>
      </c>
      <c r="D38" s="40" t="s">
        <v>40</v>
      </c>
      <c r="E38" s="41" t="s">
        <v>4272</v>
      </c>
      <c r="F38" s="6" t="s">
        <v>10</v>
      </c>
      <c r="G38" s="50" t="s">
        <v>4169</v>
      </c>
      <c r="H38" s="40" t="s">
        <v>2886</v>
      </c>
      <c r="I38" s="50" t="s">
        <v>82</v>
      </c>
      <c r="J38" s="50" t="s">
        <v>4176</v>
      </c>
      <c r="K38" s="59" t="s">
        <v>4259</v>
      </c>
      <c r="L38" s="69" t="s">
        <v>4260</v>
      </c>
      <c r="M38" s="61"/>
      <c r="N38" s="6" t="s">
        <v>4273</v>
      </c>
      <c r="O38" s="6" t="s">
        <v>1023</v>
      </c>
      <c r="P38" s="62">
        <v>91.23</v>
      </c>
      <c r="Q38" s="6" t="s">
        <v>149</v>
      </c>
      <c r="R38" s="50" t="s">
        <v>4253</v>
      </c>
      <c r="S38" s="50" t="s">
        <v>4173</v>
      </c>
      <c r="T38" s="50" t="s">
        <v>3506</v>
      </c>
      <c r="U38" s="6" t="s">
        <v>129</v>
      </c>
      <c r="V38" s="6" t="s">
        <v>4262</v>
      </c>
      <c r="W38" s="6"/>
      <c r="X38" s="6"/>
      <c r="Y38" s="6"/>
      <c r="Z38" s="6"/>
      <c r="AA38" s="6"/>
      <c r="AB38" s="6"/>
      <c r="AC38" s="6"/>
      <c r="AD38" s="6"/>
      <c r="AE38" s="6"/>
      <c r="AF38" s="6"/>
      <c r="AG38" s="6"/>
    </row>
    <row r="39" ht="30" customHeight="1" spans="1:33">
      <c r="A39" s="6" t="s">
        <v>78</v>
      </c>
      <c r="B39" s="7">
        <v>45639</v>
      </c>
      <c r="C39" s="6" t="str">
        <f t="shared" si="0"/>
        <v>2024年12月</v>
      </c>
      <c r="D39" s="40" t="s">
        <v>40</v>
      </c>
      <c r="E39" s="41" t="s">
        <v>4274</v>
      </c>
      <c r="F39" s="6" t="s">
        <v>10</v>
      </c>
      <c r="G39" s="50" t="s">
        <v>4169</v>
      </c>
      <c r="H39" s="40" t="s">
        <v>2886</v>
      </c>
      <c r="I39" s="50" t="s">
        <v>82</v>
      </c>
      <c r="J39" s="50" t="s">
        <v>4176</v>
      </c>
      <c r="K39" s="59" t="s">
        <v>4259</v>
      </c>
      <c r="L39" s="69" t="s">
        <v>4260</v>
      </c>
      <c r="M39" s="61"/>
      <c r="N39" s="6" t="s">
        <v>4275</v>
      </c>
      <c r="O39" s="6" t="s">
        <v>1023</v>
      </c>
      <c r="P39" s="62">
        <v>91.23</v>
      </c>
      <c r="Q39" s="6" t="s">
        <v>149</v>
      </c>
      <c r="R39" s="50" t="s">
        <v>4253</v>
      </c>
      <c r="S39" s="50" t="s">
        <v>4173</v>
      </c>
      <c r="T39" s="50" t="s">
        <v>3506</v>
      </c>
      <c r="U39" s="6" t="s">
        <v>129</v>
      </c>
      <c r="V39" s="6" t="s">
        <v>4262</v>
      </c>
      <c r="W39" s="6"/>
      <c r="X39" s="6"/>
      <c r="Y39" s="6"/>
      <c r="Z39" s="6"/>
      <c r="AA39" s="6"/>
      <c r="AB39" s="6"/>
      <c r="AC39" s="6"/>
      <c r="AD39" s="6"/>
      <c r="AE39" s="6"/>
      <c r="AF39" s="6"/>
      <c r="AG39" s="6"/>
    </row>
    <row r="40" ht="30" customHeight="1" spans="1:33">
      <c r="A40" s="6" t="s">
        <v>78</v>
      </c>
      <c r="B40" s="7">
        <v>45639</v>
      </c>
      <c r="C40" s="6" t="str">
        <f t="shared" si="0"/>
        <v>2024年12月</v>
      </c>
      <c r="D40" s="40" t="s">
        <v>40</v>
      </c>
      <c r="E40" s="41" t="s">
        <v>4276</v>
      </c>
      <c r="F40" s="6" t="s">
        <v>10</v>
      </c>
      <c r="G40" s="50" t="s">
        <v>4169</v>
      </c>
      <c r="H40" s="40" t="s">
        <v>2886</v>
      </c>
      <c r="I40" s="50" t="s">
        <v>82</v>
      </c>
      <c r="J40" s="50" t="s">
        <v>4176</v>
      </c>
      <c r="K40" s="59" t="s">
        <v>4259</v>
      </c>
      <c r="L40" s="69" t="s">
        <v>4260</v>
      </c>
      <c r="M40" s="61"/>
      <c r="N40" s="6" t="s">
        <v>4277</v>
      </c>
      <c r="O40" s="6" t="s">
        <v>1023</v>
      </c>
      <c r="P40" s="62">
        <v>91.23</v>
      </c>
      <c r="Q40" s="6" t="s">
        <v>149</v>
      </c>
      <c r="R40" s="50" t="s">
        <v>4253</v>
      </c>
      <c r="S40" s="50" t="s">
        <v>4173</v>
      </c>
      <c r="T40" s="50" t="s">
        <v>3506</v>
      </c>
      <c r="U40" s="6" t="s">
        <v>129</v>
      </c>
      <c r="V40" s="6" t="s">
        <v>4262</v>
      </c>
      <c r="W40" s="6"/>
      <c r="X40" s="6"/>
      <c r="Y40" s="6"/>
      <c r="Z40" s="6"/>
      <c r="AA40" s="6"/>
      <c r="AB40" s="6"/>
      <c r="AC40" s="6"/>
      <c r="AD40" s="6"/>
      <c r="AE40" s="6"/>
      <c r="AF40" s="6"/>
      <c r="AG40" s="6"/>
    </row>
    <row r="41" ht="30" customHeight="1" spans="1:33">
      <c r="A41" s="6" t="s">
        <v>78</v>
      </c>
      <c r="B41" s="7">
        <v>45639</v>
      </c>
      <c r="C41" s="6" t="str">
        <f t="shared" si="0"/>
        <v>2024年12月</v>
      </c>
      <c r="D41" s="40" t="s">
        <v>40</v>
      </c>
      <c r="E41" s="41" t="s">
        <v>4278</v>
      </c>
      <c r="F41" s="6" t="s">
        <v>10</v>
      </c>
      <c r="G41" s="50" t="s">
        <v>4169</v>
      </c>
      <c r="H41" s="40" t="s">
        <v>2886</v>
      </c>
      <c r="I41" s="50" t="s">
        <v>82</v>
      </c>
      <c r="J41" s="50" t="s">
        <v>4176</v>
      </c>
      <c r="K41" s="59" t="s">
        <v>4259</v>
      </c>
      <c r="L41" s="69" t="s">
        <v>4260</v>
      </c>
      <c r="M41" s="61"/>
      <c r="N41" s="6" t="s">
        <v>4279</v>
      </c>
      <c r="O41" s="6" t="s">
        <v>1023</v>
      </c>
      <c r="P41" s="62">
        <v>91.23</v>
      </c>
      <c r="Q41" s="6" t="s">
        <v>149</v>
      </c>
      <c r="R41" s="50" t="s">
        <v>4253</v>
      </c>
      <c r="S41" s="50" t="s">
        <v>4173</v>
      </c>
      <c r="T41" s="50" t="s">
        <v>3506</v>
      </c>
      <c r="U41" s="6" t="s">
        <v>129</v>
      </c>
      <c r="V41" s="6" t="s">
        <v>4262</v>
      </c>
      <c r="W41" s="6"/>
      <c r="X41" s="6"/>
      <c r="Y41" s="6"/>
      <c r="Z41" s="6"/>
      <c r="AA41" s="6"/>
      <c r="AB41" s="6"/>
      <c r="AC41" s="6"/>
      <c r="AD41" s="6"/>
      <c r="AE41" s="6"/>
      <c r="AF41" s="6"/>
      <c r="AG41" s="6"/>
    </row>
    <row r="42" ht="30" customHeight="1" spans="1:33">
      <c r="A42" s="6" t="s">
        <v>78</v>
      </c>
      <c r="B42" s="7">
        <v>45639</v>
      </c>
      <c r="C42" s="6" t="str">
        <f t="shared" si="0"/>
        <v>2024年12月</v>
      </c>
      <c r="D42" s="40" t="s">
        <v>40</v>
      </c>
      <c r="E42" s="41" t="s">
        <v>4280</v>
      </c>
      <c r="F42" s="6" t="s">
        <v>10</v>
      </c>
      <c r="G42" s="50" t="s">
        <v>4169</v>
      </c>
      <c r="H42" s="40" t="s">
        <v>2886</v>
      </c>
      <c r="I42" s="50" t="s">
        <v>82</v>
      </c>
      <c r="J42" s="50" t="s">
        <v>4176</v>
      </c>
      <c r="K42" s="59" t="s">
        <v>4281</v>
      </c>
      <c r="L42" s="69" t="s">
        <v>4282</v>
      </c>
      <c r="M42" s="61"/>
      <c r="N42" s="6" t="s">
        <v>4283</v>
      </c>
      <c r="O42" s="6" t="s">
        <v>1023</v>
      </c>
      <c r="P42" s="62">
        <v>91.23</v>
      </c>
      <c r="Q42" s="6" t="s">
        <v>149</v>
      </c>
      <c r="R42" s="50" t="s">
        <v>4253</v>
      </c>
      <c r="S42" s="50" t="s">
        <v>4173</v>
      </c>
      <c r="T42" s="50" t="s">
        <v>3506</v>
      </c>
      <c r="U42" s="6" t="s">
        <v>129</v>
      </c>
      <c r="V42" s="6" t="s">
        <v>4262</v>
      </c>
      <c r="W42" s="6"/>
      <c r="X42" s="6"/>
      <c r="Y42" s="6"/>
      <c r="Z42" s="6"/>
      <c r="AA42" s="6"/>
      <c r="AB42" s="6"/>
      <c r="AC42" s="6"/>
      <c r="AD42" s="6"/>
      <c r="AE42" s="6"/>
      <c r="AF42" s="6"/>
      <c r="AG42" s="6"/>
    </row>
    <row r="43" ht="30" customHeight="1" spans="1:33">
      <c r="A43" s="6" t="s">
        <v>78</v>
      </c>
      <c r="B43" s="7">
        <v>45642</v>
      </c>
      <c r="C43" s="6" t="str">
        <f t="shared" si="0"/>
        <v>2024年12月</v>
      </c>
      <c r="D43" s="40" t="s">
        <v>40</v>
      </c>
      <c r="E43" s="41" t="s">
        <v>4284</v>
      </c>
      <c r="F43" s="6" t="s">
        <v>10</v>
      </c>
      <c r="G43" s="50" t="s">
        <v>4169</v>
      </c>
      <c r="H43" s="40" t="s">
        <v>2886</v>
      </c>
      <c r="I43" s="50" t="s">
        <v>82</v>
      </c>
      <c r="J43" s="50" t="s">
        <v>4176</v>
      </c>
      <c r="K43" s="59" t="s">
        <v>4281</v>
      </c>
      <c r="L43" s="69" t="s">
        <v>4282</v>
      </c>
      <c r="M43" s="61"/>
      <c r="N43" s="6" t="s">
        <v>4285</v>
      </c>
      <c r="O43" s="6" t="s">
        <v>1023</v>
      </c>
      <c r="P43" s="62">
        <v>91.55</v>
      </c>
      <c r="Q43" s="6" t="s">
        <v>149</v>
      </c>
      <c r="R43" s="50" t="s">
        <v>4253</v>
      </c>
      <c r="S43" s="50" t="s">
        <v>4173</v>
      </c>
      <c r="T43" s="50" t="s">
        <v>3506</v>
      </c>
      <c r="U43" s="6" t="s">
        <v>129</v>
      </c>
      <c r="V43" s="6" t="s">
        <v>4286</v>
      </c>
      <c r="W43" s="6"/>
      <c r="X43" s="6"/>
      <c r="Y43" s="6"/>
      <c r="Z43" s="6"/>
      <c r="AA43" s="6"/>
      <c r="AB43" s="6"/>
      <c r="AC43" s="6"/>
      <c r="AD43" s="6"/>
      <c r="AE43" s="6"/>
      <c r="AF43" s="6"/>
      <c r="AG43" s="6"/>
    </row>
    <row r="44" ht="30" customHeight="1" spans="1:33">
      <c r="A44" s="6" t="s">
        <v>78</v>
      </c>
      <c r="B44" s="7">
        <v>45642</v>
      </c>
      <c r="C44" s="6" t="str">
        <f t="shared" si="0"/>
        <v>2024年12月</v>
      </c>
      <c r="D44" s="40" t="s">
        <v>40</v>
      </c>
      <c r="E44" s="41" t="s">
        <v>4287</v>
      </c>
      <c r="F44" s="6" t="s">
        <v>10</v>
      </c>
      <c r="G44" s="50" t="s">
        <v>4169</v>
      </c>
      <c r="H44" s="40" t="s">
        <v>2886</v>
      </c>
      <c r="I44" s="50" t="s">
        <v>82</v>
      </c>
      <c r="J44" s="50" t="s">
        <v>4176</v>
      </c>
      <c r="K44" s="59" t="s">
        <v>4259</v>
      </c>
      <c r="L44" s="69" t="s">
        <v>4260</v>
      </c>
      <c r="M44" s="61"/>
      <c r="N44" s="6" t="s">
        <v>4288</v>
      </c>
      <c r="O44" s="6" t="s">
        <v>1023</v>
      </c>
      <c r="P44" s="62">
        <v>87.08</v>
      </c>
      <c r="Q44" s="6" t="s">
        <v>149</v>
      </c>
      <c r="R44" s="50" t="s">
        <v>4253</v>
      </c>
      <c r="S44" s="50" t="s">
        <v>4173</v>
      </c>
      <c r="T44" s="50" t="s">
        <v>3506</v>
      </c>
      <c r="U44" s="6" t="s">
        <v>129</v>
      </c>
      <c r="V44" s="6" t="s">
        <v>4286</v>
      </c>
      <c r="W44" s="6"/>
      <c r="X44" s="6"/>
      <c r="Y44" s="6"/>
      <c r="Z44" s="6"/>
      <c r="AA44" s="6"/>
      <c r="AB44" s="6"/>
      <c r="AC44" s="6"/>
      <c r="AD44" s="6"/>
      <c r="AE44" s="6"/>
      <c r="AF44" s="6"/>
      <c r="AG44" s="6"/>
    </row>
    <row r="45" ht="30" customHeight="1" spans="1:33">
      <c r="A45" s="6" t="s">
        <v>78</v>
      </c>
      <c r="B45" s="7">
        <v>45642</v>
      </c>
      <c r="C45" s="6" t="str">
        <f t="shared" si="0"/>
        <v>2024年12月</v>
      </c>
      <c r="D45" s="40" t="s">
        <v>40</v>
      </c>
      <c r="E45" s="41" t="s">
        <v>4289</v>
      </c>
      <c r="F45" s="6" t="s">
        <v>10</v>
      </c>
      <c r="G45" s="50" t="s">
        <v>4169</v>
      </c>
      <c r="H45" s="40" t="s">
        <v>2886</v>
      </c>
      <c r="I45" s="50" t="s">
        <v>82</v>
      </c>
      <c r="J45" s="50" t="s">
        <v>4176</v>
      </c>
      <c r="K45" s="70" t="s">
        <v>4281</v>
      </c>
      <c r="L45" s="69" t="s">
        <v>4282</v>
      </c>
      <c r="M45" s="61"/>
      <c r="N45" s="6" t="s">
        <v>4290</v>
      </c>
      <c r="O45" s="6" t="s">
        <v>1023</v>
      </c>
      <c r="P45" s="62">
        <v>90.47</v>
      </c>
      <c r="Q45" s="6" t="s">
        <v>149</v>
      </c>
      <c r="R45" s="50" t="s">
        <v>4253</v>
      </c>
      <c r="S45" s="50" t="s">
        <v>4173</v>
      </c>
      <c r="T45" s="50" t="s">
        <v>3506</v>
      </c>
      <c r="U45" s="6" t="s">
        <v>129</v>
      </c>
      <c r="V45" s="6" t="s">
        <v>4286</v>
      </c>
      <c r="W45" s="6"/>
      <c r="X45" s="6"/>
      <c r="Y45" s="6"/>
      <c r="Z45" s="6"/>
      <c r="AA45" s="6"/>
      <c r="AB45" s="6"/>
      <c r="AC45" s="6"/>
      <c r="AD45" s="6"/>
      <c r="AE45" s="6"/>
      <c r="AF45" s="6"/>
      <c r="AG45" s="6"/>
    </row>
    <row r="46" ht="30" customHeight="1" spans="1:33">
      <c r="A46" s="6" t="s">
        <v>78</v>
      </c>
      <c r="B46" s="7">
        <v>45642</v>
      </c>
      <c r="C46" s="6" t="str">
        <f t="shared" si="0"/>
        <v>2024年12月</v>
      </c>
      <c r="D46" s="40" t="s">
        <v>40</v>
      </c>
      <c r="E46" s="41" t="s">
        <v>4291</v>
      </c>
      <c r="F46" s="6" t="s">
        <v>10</v>
      </c>
      <c r="G46" s="50" t="s">
        <v>4169</v>
      </c>
      <c r="H46" s="40" t="s">
        <v>2886</v>
      </c>
      <c r="I46" s="50" t="s">
        <v>82</v>
      </c>
      <c r="J46" s="50" t="s">
        <v>4176</v>
      </c>
      <c r="K46" s="59" t="s">
        <v>4281</v>
      </c>
      <c r="L46" s="69" t="s">
        <v>4282</v>
      </c>
      <c r="M46" s="61"/>
      <c r="N46" s="6" t="s">
        <v>4292</v>
      </c>
      <c r="O46" s="6" t="s">
        <v>1023</v>
      </c>
      <c r="P46" s="62">
        <v>91.55</v>
      </c>
      <c r="Q46" s="6" t="s">
        <v>149</v>
      </c>
      <c r="R46" s="50" t="s">
        <v>4253</v>
      </c>
      <c r="S46" s="50" t="s">
        <v>4173</v>
      </c>
      <c r="T46" s="50" t="s">
        <v>3506</v>
      </c>
      <c r="U46" s="6" t="s">
        <v>129</v>
      </c>
      <c r="V46" s="6" t="s">
        <v>4293</v>
      </c>
      <c r="W46" s="6"/>
      <c r="X46" s="6"/>
      <c r="Y46" s="6"/>
      <c r="Z46" s="6"/>
      <c r="AA46" s="6"/>
      <c r="AB46" s="6"/>
      <c r="AC46" s="6"/>
      <c r="AD46" s="6"/>
      <c r="AE46" s="6"/>
      <c r="AF46" s="6"/>
      <c r="AG46" s="6"/>
    </row>
    <row r="47" ht="30" customHeight="1" spans="1:33">
      <c r="A47" s="6" t="s">
        <v>78</v>
      </c>
      <c r="B47" s="7">
        <v>45642</v>
      </c>
      <c r="C47" s="6" t="str">
        <f t="shared" si="0"/>
        <v>2024年12月</v>
      </c>
      <c r="D47" s="40" t="s">
        <v>40</v>
      </c>
      <c r="E47" s="41" t="s">
        <v>4294</v>
      </c>
      <c r="F47" s="6" t="s">
        <v>10</v>
      </c>
      <c r="G47" s="50" t="s">
        <v>4169</v>
      </c>
      <c r="H47" s="40" t="s">
        <v>2886</v>
      </c>
      <c r="I47" s="50" t="s">
        <v>82</v>
      </c>
      <c r="J47" s="50" t="s">
        <v>4176</v>
      </c>
      <c r="K47" s="59" t="s">
        <v>4259</v>
      </c>
      <c r="L47" s="69" t="s">
        <v>4260</v>
      </c>
      <c r="M47" s="61"/>
      <c r="N47" s="6" t="s">
        <v>4295</v>
      </c>
      <c r="O47" s="6" t="s">
        <v>1023</v>
      </c>
      <c r="P47" s="62">
        <v>91.23</v>
      </c>
      <c r="Q47" s="6" t="s">
        <v>149</v>
      </c>
      <c r="R47" s="50" t="s">
        <v>4253</v>
      </c>
      <c r="S47" s="50" t="s">
        <v>4173</v>
      </c>
      <c r="T47" s="50" t="s">
        <v>3506</v>
      </c>
      <c r="U47" s="6" t="s">
        <v>129</v>
      </c>
      <c r="V47" s="6" t="s">
        <v>4286</v>
      </c>
      <c r="W47" s="6"/>
      <c r="X47" s="6"/>
      <c r="Y47" s="6"/>
      <c r="Z47" s="6"/>
      <c r="AA47" s="6"/>
      <c r="AB47" s="6"/>
      <c r="AC47" s="6"/>
      <c r="AD47" s="6"/>
      <c r="AE47" s="6"/>
      <c r="AF47" s="6"/>
      <c r="AG47" s="6"/>
    </row>
    <row r="48" ht="30" customHeight="1" spans="1:33">
      <c r="A48" s="6" t="s">
        <v>78</v>
      </c>
      <c r="B48" s="7">
        <v>45642</v>
      </c>
      <c r="C48" s="6" t="str">
        <f t="shared" si="0"/>
        <v>2024年12月</v>
      </c>
      <c r="D48" s="40" t="s">
        <v>40</v>
      </c>
      <c r="E48" s="41" t="s">
        <v>4296</v>
      </c>
      <c r="F48" s="6" t="s">
        <v>10</v>
      </c>
      <c r="G48" s="50" t="s">
        <v>4169</v>
      </c>
      <c r="H48" s="40" t="s">
        <v>2886</v>
      </c>
      <c r="I48" s="50" t="s">
        <v>82</v>
      </c>
      <c r="J48" s="50" t="s">
        <v>4176</v>
      </c>
      <c r="K48" s="59" t="s">
        <v>4259</v>
      </c>
      <c r="L48" s="69" t="s">
        <v>4260</v>
      </c>
      <c r="M48" s="61"/>
      <c r="N48" s="6" t="s">
        <v>4297</v>
      </c>
      <c r="O48" s="6" t="s">
        <v>1023</v>
      </c>
      <c r="P48" s="62">
        <v>91.23</v>
      </c>
      <c r="Q48" s="6" t="s">
        <v>149</v>
      </c>
      <c r="R48" s="50" t="s">
        <v>4253</v>
      </c>
      <c r="S48" s="50" t="s">
        <v>4173</v>
      </c>
      <c r="T48" s="50" t="s">
        <v>3506</v>
      </c>
      <c r="U48" s="6" t="s">
        <v>129</v>
      </c>
      <c r="V48" s="6" t="s">
        <v>4286</v>
      </c>
      <c r="W48" s="6"/>
      <c r="X48" s="6"/>
      <c r="Y48" s="6"/>
      <c r="Z48" s="6"/>
      <c r="AA48" s="6"/>
      <c r="AB48" s="6"/>
      <c r="AC48" s="6"/>
      <c r="AD48" s="6"/>
      <c r="AE48" s="6"/>
      <c r="AF48" s="6"/>
      <c r="AG48" s="6"/>
    </row>
    <row r="49" ht="30" customHeight="1" spans="1:33">
      <c r="A49" s="6" t="s">
        <v>78</v>
      </c>
      <c r="B49" s="7">
        <v>45642</v>
      </c>
      <c r="C49" s="6" t="str">
        <f t="shared" si="0"/>
        <v>2024年12月</v>
      </c>
      <c r="D49" s="40" t="s">
        <v>40</v>
      </c>
      <c r="E49" s="41" t="s">
        <v>4298</v>
      </c>
      <c r="F49" s="6" t="s">
        <v>10</v>
      </c>
      <c r="G49" s="50" t="s">
        <v>4169</v>
      </c>
      <c r="H49" s="40" t="s">
        <v>2886</v>
      </c>
      <c r="I49" s="50" t="s">
        <v>82</v>
      </c>
      <c r="J49" s="50" t="s">
        <v>4176</v>
      </c>
      <c r="K49" s="59" t="s">
        <v>4281</v>
      </c>
      <c r="L49" s="69" t="s">
        <v>4282</v>
      </c>
      <c r="M49" s="61"/>
      <c r="N49" s="6" t="s">
        <v>4299</v>
      </c>
      <c r="O49" s="6" t="s">
        <v>1023</v>
      </c>
      <c r="P49" s="62">
        <v>43.13</v>
      </c>
      <c r="Q49" s="6" t="s">
        <v>149</v>
      </c>
      <c r="R49" s="50" t="s">
        <v>4253</v>
      </c>
      <c r="S49" s="50" t="s">
        <v>4173</v>
      </c>
      <c r="T49" s="50" t="s">
        <v>3506</v>
      </c>
      <c r="U49" s="6" t="s">
        <v>129</v>
      </c>
      <c r="V49" s="6" t="s">
        <v>4286</v>
      </c>
      <c r="W49" s="6"/>
      <c r="X49" s="6"/>
      <c r="Y49" s="6"/>
      <c r="Z49" s="6"/>
      <c r="AA49" s="6"/>
      <c r="AB49" s="6"/>
      <c r="AC49" s="6"/>
      <c r="AD49" s="6"/>
      <c r="AE49" s="6"/>
      <c r="AF49" s="6"/>
      <c r="AG49" s="6"/>
    </row>
    <row r="50" ht="30" customHeight="1" spans="1:33">
      <c r="A50" s="6" t="s">
        <v>78</v>
      </c>
      <c r="B50" s="7">
        <v>45642</v>
      </c>
      <c r="C50" s="6" t="str">
        <f t="shared" si="0"/>
        <v>2024年12月</v>
      </c>
      <c r="D50" s="40" t="s">
        <v>40</v>
      </c>
      <c r="E50" s="41" t="s">
        <v>4300</v>
      </c>
      <c r="F50" s="6" t="s">
        <v>10</v>
      </c>
      <c r="G50" s="50" t="s">
        <v>4169</v>
      </c>
      <c r="H50" s="40" t="s">
        <v>2886</v>
      </c>
      <c r="I50" s="50" t="s">
        <v>82</v>
      </c>
      <c r="J50" s="50" t="s">
        <v>4176</v>
      </c>
      <c r="K50" s="59" t="s">
        <v>4281</v>
      </c>
      <c r="L50" s="69" t="s">
        <v>4282</v>
      </c>
      <c r="M50" s="61"/>
      <c r="N50" s="6" t="s">
        <v>4301</v>
      </c>
      <c r="O50" s="6" t="s">
        <v>1023</v>
      </c>
      <c r="P50" s="62">
        <v>54.93</v>
      </c>
      <c r="Q50" s="6" t="s">
        <v>149</v>
      </c>
      <c r="R50" s="50" t="s">
        <v>4253</v>
      </c>
      <c r="S50" s="50" t="s">
        <v>4173</v>
      </c>
      <c r="T50" s="50" t="s">
        <v>3506</v>
      </c>
      <c r="U50" s="6" t="s">
        <v>129</v>
      </c>
      <c r="V50" s="6" t="s">
        <v>4286</v>
      </c>
      <c r="W50" s="6"/>
      <c r="X50" s="6"/>
      <c r="Y50" s="6"/>
      <c r="Z50" s="6"/>
      <c r="AA50" s="6"/>
      <c r="AB50" s="6"/>
      <c r="AC50" s="6"/>
      <c r="AD50" s="6"/>
      <c r="AE50" s="6"/>
      <c r="AF50" s="6"/>
      <c r="AG50" s="6"/>
    </row>
    <row r="51" ht="30" customHeight="1" spans="1:33">
      <c r="A51" s="6" t="s">
        <v>78</v>
      </c>
      <c r="B51" s="7">
        <v>45642</v>
      </c>
      <c r="C51" s="6" t="str">
        <f t="shared" si="0"/>
        <v>2024年12月</v>
      </c>
      <c r="D51" s="40" t="s">
        <v>40</v>
      </c>
      <c r="E51" s="41" t="s">
        <v>4302</v>
      </c>
      <c r="F51" s="6" t="s">
        <v>10</v>
      </c>
      <c r="G51" s="50" t="s">
        <v>4169</v>
      </c>
      <c r="H51" s="40" t="s">
        <v>2886</v>
      </c>
      <c r="I51" s="50" t="s">
        <v>82</v>
      </c>
      <c r="J51" s="50" t="s">
        <v>4176</v>
      </c>
      <c r="K51" s="59" t="s">
        <v>4281</v>
      </c>
      <c r="L51" s="69" t="s">
        <v>4282</v>
      </c>
      <c r="M51" s="61"/>
      <c r="N51" s="6" t="s">
        <v>4303</v>
      </c>
      <c r="O51" s="6" t="s">
        <v>1023</v>
      </c>
      <c r="P51" s="62">
        <v>44.63</v>
      </c>
      <c r="Q51" s="6" t="s">
        <v>149</v>
      </c>
      <c r="R51" s="50" t="s">
        <v>4253</v>
      </c>
      <c r="S51" s="50" t="s">
        <v>4173</v>
      </c>
      <c r="T51" s="50" t="s">
        <v>3506</v>
      </c>
      <c r="U51" s="6" t="s">
        <v>129</v>
      </c>
      <c r="V51" s="6" t="s">
        <v>4286</v>
      </c>
      <c r="W51" s="6"/>
      <c r="X51" s="6"/>
      <c r="Y51" s="6"/>
      <c r="Z51" s="6"/>
      <c r="AA51" s="6"/>
      <c r="AB51" s="6"/>
      <c r="AC51" s="6"/>
      <c r="AD51" s="6"/>
      <c r="AE51" s="6"/>
      <c r="AF51" s="6"/>
      <c r="AG51" s="6"/>
    </row>
    <row r="52" ht="30" customHeight="1" spans="1:33">
      <c r="A52" s="6" t="s">
        <v>78</v>
      </c>
      <c r="B52" s="7">
        <v>45643</v>
      </c>
      <c r="C52" s="6" t="str">
        <f t="shared" si="0"/>
        <v>2024年12月</v>
      </c>
      <c r="D52" s="40" t="s">
        <v>40</v>
      </c>
      <c r="E52" s="41" t="s">
        <v>4304</v>
      </c>
      <c r="F52" s="6" t="s">
        <v>10</v>
      </c>
      <c r="G52" s="50" t="s">
        <v>4169</v>
      </c>
      <c r="H52" s="40" t="s">
        <v>2886</v>
      </c>
      <c r="I52" s="50" t="s">
        <v>82</v>
      </c>
      <c r="J52" s="50" t="s">
        <v>4176</v>
      </c>
      <c r="K52" s="59" t="s">
        <v>4305</v>
      </c>
      <c r="L52" s="69" t="s">
        <v>4306</v>
      </c>
      <c r="M52" s="61"/>
      <c r="N52" s="6" t="s">
        <v>4307</v>
      </c>
      <c r="O52" s="6" t="s">
        <v>1023</v>
      </c>
      <c r="P52" s="62">
        <v>0.56</v>
      </c>
      <c r="Q52" s="6" t="s">
        <v>149</v>
      </c>
      <c r="R52" s="50" t="s">
        <v>4253</v>
      </c>
      <c r="S52" s="50" t="s">
        <v>4173</v>
      </c>
      <c r="T52" s="50" t="s">
        <v>3506</v>
      </c>
      <c r="U52" s="6" t="s">
        <v>129</v>
      </c>
      <c r="V52" s="6" t="s">
        <v>4286</v>
      </c>
      <c r="W52" s="6"/>
      <c r="X52" s="6"/>
      <c r="Y52" s="6"/>
      <c r="Z52" s="6"/>
      <c r="AA52" s="6"/>
      <c r="AB52" s="6"/>
      <c r="AC52" s="6"/>
      <c r="AD52" s="6"/>
      <c r="AE52" s="6"/>
      <c r="AF52" s="6"/>
      <c r="AG52" s="6"/>
    </row>
    <row r="53" ht="30" customHeight="1" spans="1:33">
      <c r="A53" s="6" t="s">
        <v>78</v>
      </c>
      <c r="B53" s="7">
        <v>45643</v>
      </c>
      <c r="C53" s="6" t="str">
        <f t="shared" si="0"/>
        <v>2024年12月</v>
      </c>
      <c r="D53" s="40" t="s">
        <v>40</v>
      </c>
      <c r="E53" s="41" t="s">
        <v>4308</v>
      </c>
      <c r="F53" s="6" t="s">
        <v>10</v>
      </c>
      <c r="G53" s="50" t="s">
        <v>4169</v>
      </c>
      <c r="H53" s="40" t="s">
        <v>2886</v>
      </c>
      <c r="I53" s="50" t="s">
        <v>82</v>
      </c>
      <c r="J53" s="50" t="s">
        <v>4176</v>
      </c>
      <c r="K53" s="59" t="s">
        <v>4281</v>
      </c>
      <c r="L53" s="69" t="s">
        <v>4282</v>
      </c>
      <c r="M53" s="61"/>
      <c r="N53" s="6" t="s">
        <v>4309</v>
      </c>
      <c r="O53" s="6" t="s">
        <v>1023</v>
      </c>
      <c r="P53" s="62">
        <v>94.41</v>
      </c>
      <c r="Q53" s="6" t="s">
        <v>149</v>
      </c>
      <c r="R53" s="50" t="s">
        <v>4253</v>
      </c>
      <c r="S53" s="50" t="s">
        <v>4173</v>
      </c>
      <c r="T53" s="50" t="s">
        <v>3506</v>
      </c>
      <c r="U53" s="6" t="s">
        <v>129</v>
      </c>
      <c r="V53" s="6" t="s">
        <v>4286</v>
      </c>
      <c r="W53" s="6"/>
      <c r="X53" s="6"/>
      <c r="Y53" s="6"/>
      <c r="Z53" s="6"/>
      <c r="AA53" s="6"/>
      <c r="AB53" s="6"/>
      <c r="AC53" s="6"/>
      <c r="AD53" s="6"/>
      <c r="AE53" s="6"/>
      <c r="AF53" s="6"/>
      <c r="AG53" s="6"/>
    </row>
    <row r="54" ht="30" customHeight="1" spans="1:33">
      <c r="A54" s="6" t="s">
        <v>78</v>
      </c>
      <c r="B54" s="7">
        <v>45643</v>
      </c>
      <c r="C54" s="6" t="str">
        <f t="shared" si="0"/>
        <v>2024年12月</v>
      </c>
      <c r="D54" s="40" t="s">
        <v>40</v>
      </c>
      <c r="E54" s="41" t="s">
        <v>4310</v>
      </c>
      <c r="F54" s="6" t="s">
        <v>10</v>
      </c>
      <c r="G54" s="50" t="s">
        <v>4169</v>
      </c>
      <c r="H54" s="40" t="s">
        <v>2886</v>
      </c>
      <c r="I54" s="50" t="s">
        <v>82</v>
      </c>
      <c r="J54" s="50" t="s">
        <v>4176</v>
      </c>
      <c r="K54" s="59" t="s">
        <v>4305</v>
      </c>
      <c r="L54" s="69" t="s">
        <v>4306</v>
      </c>
      <c r="M54" s="61"/>
      <c r="N54" s="6" t="s">
        <v>4311</v>
      </c>
      <c r="O54" s="6" t="s">
        <v>1023</v>
      </c>
      <c r="P54" s="62">
        <v>90.99</v>
      </c>
      <c r="Q54" s="6" t="s">
        <v>149</v>
      </c>
      <c r="R54" s="50" t="s">
        <v>4253</v>
      </c>
      <c r="S54" s="50" t="s">
        <v>4173</v>
      </c>
      <c r="T54" s="50" t="s">
        <v>3506</v>
      </c>
      <c r="U54" s="6" t="s">
        <v>129</v>
      </c>
      <c r="V54" s="6" t="s">
        <v>4286</v>
      </c>
      <c r="W54" s="6"/>
      <c r="X54" s="6"/>
      <c r="Y54" s="6"/>
      <c r="Z54" s="6"/>
      <c r="AA54" s="6"/>
      <c r="AB54" s="6"/>
      <c r="AC54" s="6"/>
      <c r="AD54" s="6"/>
      <c r="AE54" s="6"/>
      <c r="AF54" s="6"/>
      <c r="AG54" s="6"/>
    </row>
    <row r="55" ht="30" customHeight="1" spans="1:33">
      <c r="A55" s="6" t="s">
        <v>78</v>
      </c>
      <c r="B55" s="7">
        <v>45646</v>
      </c>
      <c r="C55" s="6" t="str">
        <f t="shared" si="0"/>
        <v>2024年12月</v>
      </c>
      <c r="D55" s="40" t="s">
        <v>40</v>
      </c>
      <c r="E55" s="6" t="s">
        <v>4312</v>
      </c>
      <c r="F55" s="6" t="s">
        <v>10</v>
      </c>
      <c r="G55" s="50" t="s">
        <v>2954</v>
      </c>
      <c r="H55" s="40" t="s">
        <v>4249</v>
      </c>
      <c r="I55" s="50" t="s">
        <v>82</v>
      </c>
      <c r="J55" s="50" t="s">
        <v>4176</v>
      </c>
      <c r="K55" s="59" t="s">
        <v>1164</v>
      </c>
      <c r="L55" s="6" t="s">
        <v>1166</v>
      </c>
      <c r="M55" s="68" t="s">
        <v>1005</v>
      </c>
      <c r="N55" s="6" t="s">
        <v>4313</v>
      </c>
      <c r="O55" s="41" t="s">
        <v>4314</v>
      </c>
      <c r="P55" s="62">
        <v>250</v>
      </c>
      <c r="Q55" s="6" t="s">
        <v>139</v>
      </c>
      <c r="R55" s="50" t="s">
        <v>4253</v>
      </c>
      <c r="S55" s="50" t="s">
        <v>4215</v>
      </c>
      <c r="T55" s="50" t="s">
        <v>3506</v>
      </c>
      <c r="U55" s="6" t="s">
        <v>85</v>
      </c>
      <c r="V55" s="6" t="s">
        <v>4315</v>
      </c>
      <c r="W55" s="6"/>
      <c r="X55" s="6"/>
      <c r="Y55" s="6"/>
      <c r="Z55" s="6"/>
      <c r="AA55" s="6"/>
      <c r="AB55" s="6"/>
      <c r="AC55" s="6"/>
      <c r="AD55" s="6"/>
      <c r="AE55" s="6"/>
      <c r="AF55" s="6"/>
      <c r="AG55" s="6"/>
    </row>
    <row r="56" ht="30" customHeight="1" spans="1:33">
      <c r="A56" s="6" t="s">
        <v>78</v>
      </c>
      <c r="B56" s="7">
        <v>45660</v>
      </c>
      <c r="C56" s="6" t="str">
        <f t="shared" si="0"/>
        <v>2025年1月</v>
      </c>
      <c r="D56" s="40" t="s">
        <v>40</v>
      </c>
      <c r="E56" s="6" t="s">
        <v>4316</v>
      </c>
      <c r="F56" s="6" t="s">
        <v>10</v>
      </c>
      <c r="G56" s="50" t="s">
        <v>2954</v>
      </c>
      <c r="H56" s="40" t="s">
        <v>4249</v>
      </c>
      <c r="I56" s="50" t="s">
        <v>82</v>
      </c>
      <c r="J56" s="50" t="s">
        <v>4176</v>
      </c>
      <c r="K56" s="71" t="s">
        <v>1550</v>
      </c>
      <c r="L56" s="6" t="s">
        <v>1553</v>
      </c>
      <c r="M56" s="68" t="s">
        <v>1005</v>
      </c>
      <c r="N56" s="6" t="s">
        <v>4317</v>
      </c>
      <c r="O56" s="6" t="s">
        <v>4318</v>
      </c>
      <c r="P56" s="61">
        <v>3432</v>
      </c>
      <c r="Q56" s="6" t="s">
        <v>149</v>
      </c>
      <c r="R56" s="50" t="s">
        <v>4319</v>
      </c>
      <c r="S56" s="50" t="s">
        <v>4215</v>
      </c>
      <c r="T56" s="50" t="s">
        <v>3506</v>
      </c>
      <c r="U56" s="63" t="s">
        <v>120</v>
      </c>
      <c r="V56" s="6" t="s">
        <v>4320</v>
      </c>
      <c r="W56" s="6"/>
      <c r="X56" s="6"/>
      <c r="Y56" s="6"/>
      <c r="Z56" s="6"/>
      <c r="AA56" s="6"/>
      <c r="AB56" s="6"/>
      <c r="AC56" s="6"/>
      <c r="AD56" s="6"/>
      <c r="AE56" s="6"/>
      <c r="AF56" s="6"/>
      <c r="AG56" s="6"/>
    </row>
    <row r="57" ht="30" customHeight="1" spans="1:33">
      <c r="A57" s="6" t="s">
        <v>78</v>
      </c>
      <c r="B57" s="7">
        <v>45659</v>
      </c>
      <c r="C57" s="6" t="str">
        <f t="shared" si="0"/>
        <v>2025年1月</v>
      </c>
      <c r="D57" s="40" t="s">
        <v>42</v>
      </c>
      <c r="E57" s="6"/>
      <c r="F57" s="6" t="s">
        <v>10</v>
      </c>
      <c r="G57" s="50" t="s">
        <v>2954</v>
      </c>
      <c r="H57" s="40" t="s">
        <v>4249</v>
      </c>
      <c r="I57" s="50" t="s">
        <v>82</v>
      </c>
      <c r="J57" s="50" t="s">
        <v>4176</v>
      </c>
      <c r="K57" s="71" t="s">
        <v>4321</v>
      </c>
      <c r="L57" s="6" t="s">
        <v>4322</v>
      </c>
      <c r="M57" s="68" t="s">
        <v>1167</v>
      </c>
      <c r="N57" s="8" t="s">
        <v>4323</v>
      </c>
      <c r="O57" s="41" t="s">
        <v>4324</v>
      </c>
      <c r="P57" s="61">
        <v>265380</v>
      </c>
      <c r="Q57" s="6" t="s">
        <v>1172</v>
      </c>
      <c r="R57" s="50" t="s">
        <v>4253</v>
      </c>
      <c r="S57" s="50" t="s">
        <v>4215</v>
      </c>
      <c r="T57" s="50" t="s">
        <v>3506</v>
      </c>
      <c r="U57" s="63" t="s">
        <v>85</v>
      </c>
      <c r="V57" s="6" t="s">
        <v>4320</v>
      </c>
      <c r="W57" s="6"/>
      <c r="X57" s="6"/>
      <c r="Y57" s="6"/>
      <c r="Z57" s="6"/>
      <c r="AA57" s="6"/>
      <c r="AB57" s="6"/>
      <c r="AC57" s="6"/>
      <c r="AD57" s="6"/>
      <c r="AE57" s="6"/>
      <c r="AF57" s="6"/>
      <c r="AG57" s="6"/>
    </row>
    <row r="58" ht="30" customHeight="1" spans="1:33">
      <c r="A58" s="6" t="s">
        <v>78</v>
      </c>
      <c r="B58" s="7">
        <v>45660</v>
      </c>
      <c r="C58" s="6" t="str">
        <f t="shared" si="0"/>
        <v>2025年1月</v>
      </c>
      <c r="D58" s="40" t="s">
        <v>40</v>
      </c>
      <c r="E58" s="41" t="s">
        <v>4325</v>
      </c>
      <c r="F58" s="6" t="s">
        <v>10</v>
      </c>
      <c r="G58" s="50" t="s">
        <v>2954</v>
      </c>
      <c r="H58" s="40" t="s">
        <v>4256</v>
      </c>
      <c r="I58" s="50" t="s">
        <v>82</v>
      </c>
      <c r="J58" s="50" t="s">
        <v>4176</v>
      </c>
      <c r="K58" s="8" t="s">
        <v>4326</v>
      </c>
      <c r="L58" s="41" t="s">
        <v>4327</v>
      </c>
      <c r="M58" s="61"/>
      <c r="N58" s="6" t="s">
        <v>4328</v>
      </c>
      <c r="O58" s="6" t="s">
        <v>4329</v>
      </c>
      <c r="P58" s="61">
        <v>100274.46</v>
      </c>
      <c r="Q58" s="6" t="s">
        <v>303</v>
      </c>
      <c r="R58" s="50" t="s">
        <v>4253</v>
      </c>
      <c r="S58" s="50" t="s">
        <v>4215</v>
      </c>
      <c r="T58" s="50" t="s">
        <v>3506</v>
      </c>
      <c r="U58" s="6" t="s">
        <v>161</v>
      </c>
      <c r="V58" s="6" t="s">
        <v>4330</v>
      </c>
      <c r="W58" s="6"/>
      <c r="X58" s="6"/>
      <c r="Y58" s="6"/>
      <c r="Z58" s="6"/>
      <c r="AA58" s="6"/>
      <c r="AB58" s="6"/>
      <c r="AC58" s="6"/>
      <c r="AD58" s="6"/>
      <c r="AE58" s="6"/>
      <c r="AF58" s="6"/>
      <c r="AG58" s="6"/>
    </row>
    <row r="59" ht="30" customHeight="1" spans="1:33">
      <c r="A59" s="6" t="s">
        <v>78</v>
      </c>
      <c r="B59" s="7">
        <v>45665</v>
      </c>
      <c r="C59" s="6" t="str">
        <f t="shared" si="0"/>
        <v>2025年1月</v>
      </c>
      <c r="D59" s="40" t="s">
        <v>40</v>
      </c>
      <c r="E59" s="6" t="s">
        <v>4331</v>
      </c>
      <c r="F59" s="6" t="s">
        <v>10</v>
      </c>
      <c r="G59" s="50" t="s">
        <v>4169</v>
      </c>
      <c r="H59" s="40" t="s">
        <v>4249</v>
      </c>
      <c r="I59" s="50" t="s">
        <v>82</v>
      </c>
      <c r="J59" s="50" t="s">
        <v>4176</v>
      </c>
      <c r="K59" s="8" t="s">
        <v>1052</v>
      </c>
      <c r="L59" s="6" t="s">
        <v>4332</v>
      </c>
      <c r="M59" s="68" t="s">
        <v>1005</v>
      </c>
      <c r="N59" s="6" t="s">
        <v>4333</v>
      </c>
      <c r="O59" s="41" t="s">
        <v>4334</v>
      </c>
      <c r="P59" s="61">
        <v>150</v>
      </c>
      <c r="Q59" s="6" t="s">
        <v>139</v>
      </c>
      <c r="R59" s="50" t="s">
        <v>4319</v>
      </c>
      <c r="S59" s="50" t="s">
        <v>4215</v>
      </c>
      <c r="T59" s="50" t="s">
        <v>3506</v>
      </c>
      <c r="U59" s="6" t="s">
        <v>85</v>
      </c>
      <c r="V59" s="6" t="s">
        <v>4286</v>
      </c>
      <c r="W59" s="6"/>
      <c r="X59" s="6"/>
      <c r="Y59" s="6"/>
      <c r="Z59" s="6"/>
      <c r="AA59" s="6"/>
      <c r="AB59" s="6"/>
      <c r="AC59" s="6"/>
      <c r="AD59" s="6"/>
      <c r="AE59" s="6"/>
      <c r="AF59" s="6"/>
      <c r="AG59" s="6"/>
    </row>
    <row r="60" ht="30" customHeight="1" spans="1:33">
      <c r="A60" s="6" t="s">
        <v>78</v>
      </c>
      <c r="B60" s="7">
        <v>45667</v>
      </c>
      <c r="C60" s="6" t="str">
        <f t="shared" si="0"/>
        <v>2025年1月</v>
      </c>
      <c r="D60" s="40" t="s">
        <v>40</v>
      </c>
      <c r="E60" s="6" t="s">
        <v>4335</v>
      </c>
      <c r="F60" s="6" t="s">
        <v>10</v>
      </c>
      <c r="G60" s="50" t="s">
        <v>2954</v>
      </c>
      <c r="H60" s="40" t="s">
        <v>4249</v>
      </c>
      <c r="I60" s="50" t="s">
        <v>82</v>
      </c>
      <c r="J60" s="50" t="s">
        <v>4176</v>
      </c>
      <c r="K60" s="8" t="s">
        <v>1430</v>
      </c>
      <c r="L60" s="41" t="s">
        <v>1432</v>
      </c>
      <c r="M60" s="68" t="s">
        <v>1005</v>
      </c>
      <c r="N60" s="6" t="s">
        <v>4336</v>
      </c>
      <c r="O60" s="41" t="s">
        <v>4337</v>
      </c>
      <c r="P60" s="61">
        <v>20</v>
      </c>
      <c r="Q60" s="6" t="s">
        <v>139</v>
      </c>
      <c r="R60" s="50" t="s">
        <v>4253</v>
      </c>
      <c r="S60" s="50" t="s">
        <v>4215</v>
      </c>
      <c r="T60" s="50" t="s">
        <v>3506</v>
      </c>
      <c r="U60" s="6" t="s">
        <v>85</v>
      </c>
      <c r="V60" s="6" t="s">
        <v>4286</v>
      </c>
      <c r="W60" s="6"/>
      <c r="X60" s="6"/>
      <c r="Y60" s="6"/>
      <c r="Z60" s="6"/>
      <c r="AA60" s="6"/>
      <c r="AB60" s="6"/>
      <c r="AC60" s="6"/>
      <c r="AD60" s="6"/>
      <c r="AE60" s="6"/>
      <c r="AF60" s="6"/>
      <c r="AG60" s="6"/>
    </row>
    <row r="61" ht="30" customHeight="1" spans="1:33">
      <c r="A61" s="6" t="s">
        <v>78</v>
      </c>
      <c r="B61" s="7">
        <v>45671</v>
      </c>
      <c r="C61" s="6" t="str">
        <f t="shared" si="0"/>
        <v>2025年1月</v>
      </c>
      <c r="D61" s="40" t="s">
        <v>40</v>
      </c>
      <c r="E61" s="6" t="s">
        <v>4338</v>
      </c>
      <c r="F61" s="6" t="s">
        <v>10</v>
      </c>
      <c r="G61" s="50" t="s">
        <v>2954</v>
      </c>
      <c r="H61" s="40" t="s">
        <v>4256</v>
      </c>
      <c r="I61" s="50" t="s">
        <v>82</v>
      </c>
      <c r="J61" s="50" t="s">
        <v>4176</v>
      </c>
      <c r="K61" s="8" t="s">
        <v>4339</v>
      </c>
      <c r="L61" s="6" t="s">
        <v>4340</v>
      </c>
      <c r="M61" s="61"/>
      <c r="N61" s="6" t="s">
        <v>4341</v>
      </c>
      <c r="O61" s="6" t="s">
        <v>4342</v>
      </c>
      <c r="P61" s="61">
        <v>2540</v>
      </c>
      <c r="Q61" s="6" t="s">
        <v>173</v>
      </c>
      <c r="R61" s="50" t="s">
        <v>4253</v>
      </c>
      <c r="S61" s="50" t="s">
        <v>4215</v>
      </c>
      <c r="T61" s="50" t="s">
        <v>3506</v>
      </c>
      <c r="U61" s="6" t="s">
        <v>89</v>
      </c>
      <c r="V61" s="6" t="s">
        <v>4286</v>
      </c>
      <c r="W61" s="6"/>
      <c r="X61" s="6"/>
      <c r="Y61" s="6"/>
      <c r="Z61" s="6"/>
      <c r="AA61" s="6"/>
      <c r="AB61" s="6"/>
      <c r="AC61" s="6"/>
      <c r="AD61" s="6"/>
      <c r="AE61" s="6"/>
      <c r="AF61" s="6"/>
      <c r="AG61" s="6"/>
    </row>
    <row r="62" ht="30" customHeight="1" spans="1:33">
      <c r="A62" s="6" t="s">
        <v>78</v>
      </c>
      <c r="B62" s="7">
        <v>45674</v>
      </c>
      <c r="C62" s="6" t="str">
        <f t="shared" si="0"/>
        <v>2025年1月</v>
      </c>
      <c r="D62" s="40" t="s">
        <v>40</v>
      </c>
      <c r="E62" s="41" t="s">
        <v>4343</v>
      </c>
      <c r="F62" s="6" t="s">
        <v>10</v>
      </c>
      <c r="G62" s="50" t="s">
        <v>4169</v>
      </c>
      <c r="H62" s="40" t="s">
        <v>2886</v>
      </c>
      <c r="I62" s="50" t="s">
        <v>82</v>
      </c>
      <c r="J62" s="50" t="s">
        <v>4176</v>
      </c>
      <c r="K62" s="8" t="s">
        <v>2255</v>
      </c>
      <c r="L62" s="6" t="s">
        <v>2257</v>
      </c>
      <c r="M62" s="61" t="s">
        <v>4344</v>
      </c>
      <c r="N62" s="6" t="s">
        <v>4345</v>
      </c>
      <c r="O62" s="6" t="s">
        <v>4346</v>
      </c>
      <c r="P62" s="61">
        <v>53.04</v>
      </c>
      <c r="Q62" s="6" t="s">
        <v>139</v>
      </c>
      <c r="R62" s="50" t="s">
        <v>4253</v>
      </c>
      <c r="S62" s="50" t="s">
        <v>4215</v>
      </c>
      <c r="T62" s="50" t="s">
        <v>3506</v>
      </c>
      <c r="U62" s="6" t="s">
        <v>85</v>
      </c>
      <c r="V62" s="6" t="s">
        <v>4347</v>
      </c>
      <c r="W62" s="6"/>
      <c r="X62" s="6"/>
      <c r="Y62" s="6"/>
      <c r="Z62" s="6"/>
      <c r="AA62" s="6"/>
      <c r="AB62" s="6"/>
      <c r="AC62" s="6"/>
      <c r="AD62" s="6"/>
      <c r="AE62" s="6"/>
      <c r="AF62" s="6"/>
      <c r="AG62" s="6"/>
    </row>
    <row r="63" ht="30" customHeight="1" spans="1:33">
      <c r="A63" s="6" t="s">
        <v>78</v>
      </c>
      <c r="B63" s="7">
        <v>45674</v>
      </c>
      <c r="C63" s="6" t="str">
        <f t="shared" si="0"/>
        <v>2025年1月</v>
      </c>
      <c r="D63" s="40" t="s">
        <v>40</v>
      </c>
      <c r="E63" s="6" t="s">
        <v>4348</v>
      </c>
      <c r="F63" s="6" t="s">
        <v>10</v>
      </c>
      <c r="G63" s="50" t="s">
        <v>4169</v>
      </c>
      <c r="H63" s="40" t="s">
        <v>2886</v>
      </c>
      <c r="I63" s="50" t="s">
        <v>82</v>
      </c>
      <c r="J63" s="50" t="s">
        <v>4176</v>
      </c>
      <c r="K63" s="8" t="s">
        <v>1052</v>
      </c>
      <c r="L63" s="6" t="s">
        <v>4332</v>
      </c>
      <c r="M63" s="68" t="s">
        <v>1005</v>
      </c>
      <c r="N63" s="6" t="s">
        <v>4349</v>
      </c>
      <c r="O63" s="41" t="s">
        <v>1053</v>
      </c>
      <c r="P63" s="61">
        <v>108</v>
      </c>
      <c r="Q63" s="6" t="s">
        <v>139</v>
      </c>
      <c r="R63" s="50" t="s">
        <v>4253</v>
      </c>
      <c r="S63" s="50" t="s">
        <v>4215</v>
      </c>
      <c r="T63" s="50" t="s">
        <v>3506</v>
      </c>
      <c r="U63" s="6" t="s">
        <v>85</v>
      </c>
      <c r="V63" s="6" t="s">
        <v>4320</v>
      </c>
      <c r="W63" s="6"/>
      <c r="X63" s="6"/>
      <c r="Y63" s="6"/>
      <c r="Z63" s="6"/>
      <c r="AA63" s="6"/>
      <c r="AB63" s="6"/>
      <c r="AC63" s="6"/>
      <c r="AD63" s="6"/>
      <c r="AE63" s="6"/>
      <c r="AF63" s="6"/>
      <c r="AG63" s="6"/>
    </row>
    <row r="64" ht="30" customHeight="1" spans="1:33">
      <c r="A64" s="6" t="s">
        <v>207</v>
      </c>
      <c r="B64" s="7">
        <v>45684</v>
      </c>
      <c r="C64" s="6" t="str">
        <f t="shared" si="0"/>
        <v>2025年1月</v>
      </c>
      <c r="D64" s="40" t="s">
        <v>39</v>
      </c>
      <c r="E64" s="6" t="s">
        <v>4350</v>
      </c>
      <c r="F64" s="6" t="s">
        <v>11</v>
      </c>
      <c r="G64" s="50" t="s">
        <v>2954</v>
      </c>
      <c r="H64" s="40" t="s">
        <v>4256</v>
      </c>
      <c r="I64" s="50" t="s">
        <v>82</v>
      </c>
      <c r="J64" s="50" t="s">
        <v>4176</v>
      </c>
      <c r="K64" s="8" t="s">
        <v>4351</v>
      </c>
      <c r="L64" s="6" t="s">
        <v>4352</v>
      </c>
      <c r="M64" s="61"/>
      <c r="N64" s="6" t="s">
        <v>4353</v>
      </c>
      <c r="O64" s="6" t="s">
        <v>4354</v>
      </c>
      <c r="P64" s="61">
        <v>20000</v>
      </c>
      <c r="Q64" s="6" t="s">
        <v>173</v>
      </c>
      <c r="R64" s="50" t="s">
        <v>4319</v>
      </c>
      <c r="S64" s="50" t="s">
        <v>4215</v>
      </c>
      <c r="T64" s="50" t="s">
        <v>3557</v>
      </c>
      <c r="U64" s="6" t="s">
        <v>270</v>
      </c>
      <c r="V64" s="41" t="s">
        <v>4355</v>
      </c>
      <c r="W64" s="6"/>
      <c r="X64" s="6"/>
      <c r="Y64" s="6"/>
      <c r="Z64" s="6"/>
      <c r="AA64" s="6" t="s">
        <v>4356</v>
      </c>
      <c r="AB64" s="6"/>
      <c r="AC64" s="6"/>
      <c r="AD64" s="6"/>
      <c r="AE64" s="6"/>
      <c r="AF64" s="6"/>
      <c r="AG64" s="6"/>
    </row>
    <row r="65" ht="30" customHeight="1" spans="1:33">
      <c r="A65" s="6" t="s">
        <v>78</v>
      </c>
      <c r="B65" s="7">
        <v>45694</v>
      </c>
      <c r="C65" s="6" t="str">
        <f t="shared" si="0"/>
        <v>2025年2月</v>
      </c>
      <c r="D65" s="40" t="s">
        <v>40</v>
      </c>
      <c r="E65" s="41" t="s">
        <v>4357</v>
      </c>
      <c r="F65" s="6" t="s">
        <v>10</v>
      </c>
      <c r="G65" s="50" t="s">
        <v>4169</v>
      </c>
      <c r="H65" s="40" t="s">
        <v>2886</v>
      </c>
      <c r="I65" s="50" t="s">
        <v>82</v>
      </c>
      <c r="J65" s="50" t="s">
        <v>4176</v>
      </c>
      <c r="K65" s="8" t="s">
        <v>2255</v>
      </c>
      <c r="L65" s="6" t="s">
        <v>2257</v>
      </c>
      <c r="M65" s="61" t="s">
        <v>4344</v>
      </c>
      <c r="N65" s="6" t="s">
        <v>4358</v>
      </c>
      <c r="O65" s="6" t="s">
        <v>4346</v>
      </c>
      <c r="P65" s="61">
        <v>940.99</v>
      </c>
      <c r="Q65" s="6" t="s">
        <v>139</v>
      </c>
      <c r="R65" s="50" t="s">
        <v>4253</v>
      </c>
      <c r="S65" s="50" t="s">
        <v>4215</v>
      </c>
      <c r="T65" s="50" t="s">
        <v>3506</v>
      </c>
      <c r="U65" s="6" t="s">
        <v>85</v>
      </c>
      <c r="V65" s="6" t="s">
        <v>4320</v>
      </c>
      <c r="W65" s="6" t="s">
        <v>4359</v>
      </c>
      <c r="X65" s="6" t="s">
        <v>4360</v>
      </c>
      <c r="Y65" s="7">
        <v>45715</v>
      </c>
      <c r="Z65" s="7">
        <v>45715</v>
      </c>
      <c r="AA65" s="6" t="s">
        <v>3634</v>
      </c>
      <c r="AB65" s="6"/>
      <c r="AC65" s="6"/>
      <c r="AD65" s="6"/>
      <c r="AE65" s="6"/>
      <c r="AF65" s="6"/>
      <c r="AG65" s="6"/>
    </row>
    <row r="66" ht="30" customHeight="1" spans="1:33">
      <c r="A66" s="6" t="s">
        <v>78</v>
      </c>
      <c r="B66" s="7">
        <v>45700</v>
      </c>
      <c r="C66" s="6" t="str">
        <f t="shared" si="0"/>
        <v>2025年2月</v>
      </c>
      <c r="D66" s="40" t="s">
        <v>40</v>
      </c>
      <c r="E66" s="6" t="s">
        <v>4361</v>
      </c>
      <c r="F66" s="6" t="s">
        <v>10</v>
      </c>
      <c r="G66" s="50" t="s">
        <v>2954</v>
      </c>
      <c r="H66" s="40" t="s">
        <v>4249</v>
      </c>
      <c r="I66" s="50" t="s">
        <v>82</v>
      </c>
      <c r="J66" s="50" t="s">
        <v>4176</v>
      </c>
      <c r="K66" s="8" t="s">
        <v>1052</v>
      </c>
      <c r="L66" s="6" t="s">
        <v>4332</v>
      </c>
      <c r="M66" s="68" t="s">
        <v>1005</v>
      </c>
      <c r="N66" s="6" t="s">
        <v>4362</v>
      </c>
      <c r="O66" s="6" t="s">
        <v>4363</v>
      </c>
      <c r="P66" s="61">
        <v>1500</v>
      </c>
      <c r="Q66" s="6" t="s">
        <v>139</v>
      </c>
      <c r="R66" s="50" t="s">
        <v>4319</v>
      </c>
      <c r="S66" s="50" t="s">
        <v>4215</v>
      </c>
      <c r="T66" s="50" t="s">
        <v>3506</v>
      </c>
      <c r="U66" s="6" t="s">
        <v>85</v>
      </c>
      <c r="V66" s="72" t="s">
        <v>4364</v>
      </c>
      <c r="W66" s="6"/>
      <c r="X66" s="6"/>
      <c r="Y66" s="6"/>
      <c r="Z66" s="6"/>
      <c r="AA66" s="6" t="s">
        <v>4365</v>
      </c>
      <c r="AB66" s="6"/>
      <c r="AC66" s="6"/>
      <c r="AD66" s="6"/>
      <c r="AE66" s="6"/>
      <c r="AF66" s="6"/>
      <c r="AG66" s="6"/>
    </row>
    <row r="67" ht="30" customHeight="1" spans="1:33">
      <c r="A67" s="6" t="s">
        <v>78</v>
      </c>
      <c r="B67" s="7">
        <v>45702</v>
      </c>
      <c r="C67" s="6" t="str">
        <f t="shared" si="0"/>
        <v>2025年2月</v>
      </c>
      <c r="D67" s="40" t="s">
        <v>40</v>
      </c>
      <c r="E67" s="6" t="s">
        <v>4366</v>
      </c>
      <c r="F67" s="6" t="s">
        <v>10</v>
      </c>
      <c r="G67" s="50" t="s">
        <v>2954</v>
      </c>
      <c r="H67" s="40" t="s">
        <v>4249</v>
      </c>
      <c r="I67" s="50" t="s">
        <v>82</v>
      </c>
      <c r="J67" s="50" t="s">
        <v>4176</v>
      </c>
      <c r="K67" s="8" t="s">
        <v>4250</v>
      </c>
      <c r="L67" s="6" t="s">
        <v>4251</v>
      </c>
      <c r="M67" s="68" t="s">
        <v>1005</v>
      </c>
      <c r="N67" s="6" t="s">
        <v>4367</v>
      </c>
      <c r="O67" s="6" t="s">
        <v>4368</v>
      </c>
      <c r="P67" s="61">
        <v>370</v>
      </c>
      <c r="Q67" s="6" t="s">
        <v>149</v>
      </c>
      <c r="R67" s="50" t="s">
        <v>4253</v>
      </c>
      <c r="S67" s="50" t="s">
        <v>4215</v>
      </c>
      <c r="T67" s="50" t="s">
        <v>3506</v>
      </c>
      <c r="U67" s="6" t="s">
        <v>85</v>
      </c>
      <c r="V67" s="6" t="s">
        <v>4262</v>
      </c>
      <c r="W67" s="6"/>
      <c r="X67" s="6"/>
      <c r="Y67" s="6"/>
      <c r="Z67" s="6"/>
      <c r="AA67" s="6"/>
      <c r="AB67" s="6"/>
      <c r="AC67" s="6"/>
      <c r="AD67" s="6"/>
      <c r="AE67" s="6"/>
      <c r="AF67" s="6"/>
      <c r="AG67" s="6"/>
    </row>
    <row r="68" ht="30" customHeight="1" spans="1:33">
      <c r="A68" s="6" t="s">
        <v>78</v>
      </c>
      <c r="B68" s="7">
        <v>45705</v>
      </c>
      <c r="C68" s="6" t="str">
        <f t="shared" si="0"/>
        <v>2025年2月</v>
      </c>
      <c r="D68" s="40" t="s">
        <v>40</v>
      </c>
      <c r="E68" s="41" t="s">
        <v>4369</v>
      </c>
      <c r="F68" s="6" t="s">
        <v>10</v>
      </c>
      <c r="G68" s="50" t="s">
        <v>4169</v>
      </c>
      <c r="H68" s="40"/>
      <c r="I68" s="50" t="s">
        <v>82</v>
      </c>
      <c r="J68" s="50" t="s">
        <v>4176</v>
      </c>
      <c r="K68" s="8" t="s">
        <v>1153</v>
      </c>
      <c r="L68" s="6" t="s">
        <v>1155</v>
      </c>
      <c r="M68" s="68" t="s">
        <v>1005</v>
      </c>
      <c r="N68" s="8" t="s">
        <v>4370</v>
      </c>
      <c r="O68" s="6" t="s">
        <v>4371</v>
      </c>
      <c r="P68" s="61">
        <v>100</v>
      </c>
      <c r="Q68" s="6" t="s">
        <v>139</v>
      </c>
      <c r="R68" s="50" t="s">
        <v>4253</v>
      </c>
      <c r="S68" s="50" t="s">
        <v>4215</v>
      </c>
      <c r="T68" s="50" t="s">
        <v>3506</v>
      </c>
      <c r="U68" s="6" t="s">
        <v>85</v>
      </c>
      <c r="V68" s="6" t="s">
        <v>4372</v>
      </c>
      <c r="W68" s="7"/>
      <c r="X68" s="6"/>
      <c r="Y68" s="6"/>
      <c r="Z68" s="6"/>
      <c r="AA68" s="6"/>
      <c r="AB68" s="6"/>
      <c r="AC68" s="6"/>
      <c r="AD68" s="6"/>
      <c r="AE68" s="6"/>
      <c r="AF68" s="6"/>
      <c r="AG68" s="6"/>
    </row>
    <row r="69" ht="30" customHeight="1" spans="1:33">
      <c r="A69" s="6" t="s">
        <v>78</v>
      </c>
      <c r="B69" s="7">
        <v>45706</v>
      </c>
      <c r="C69" s="6" t="str">
        <f t="shared" si="0"/>
        <v>2025年2月</v>
      </c>
      <c r="D69" s="40" t="s">
        <v>40</v>
      </c>
      <c r="E69" s="6" t="s">
        <v>4373</v>
      </c>
      <c r="F69" s="6" t="s">
        <v>10</v>
      </c>
      <c r="G69" s="50" t="s">
        <v>2954</v>
      </c>
      <c r="H69" s="40" t="s">
        <v>4256</v>
      </c>
      <c r="I69" s="50" t="s">
        <v>82</v>
      </c>
      <c r="J69" s="50" t="s">
        <v>4176</v>
      </c>
      <c r="K69" s="8" t="s">
        <v>4374</v>
      </c>
      <c r="L69" s="6" t="s">
        <v>4375</v>
      </c>
      <c r="M69" s="68" t="s">
        <v>4376</v>
      </c>
      <c r="N69" s="8" t="s">
        <v>4377</v>
      </c>
      <c r="O69" s="6" t="s">
        <v>4378</v>
      </c>
      <c r="P69" s="61">
        <v>16800</v>
      </c>
      <c r="Q69" s="6" t="s">
        <v>303</v>
      </c>
      <c r="R69" s="50" t="s">
        <v>4253</v>
      </c>
      <c r="S69" s="50" t="s">
        <v>4215</v>
      </c>
      <c r="T69" s="50" t="s">
        <v>3557</v>
      </c>
      <c r="U69" s="6" t="s">
        <v>120</v>
      </c>
      <c r="V69" s="6" t="s">
        <v>4262</v>
      </c>
      <c r="W69" s="6"/>
      <c r="X69" s="6"/>
      <c r="Y69" s="6"/>
      <c r="Z69" s="6"/>
      <c r="AA69" s="6"/>
      <c r="AB69" s="6"/>
      <c r="AC69" s="6"/>
      <c r="AD69" s="6"/>
      <c r="AE69" s="6"/>
      <c r="AF69" s="6"/>
      <c r="AG69" s="6"/>
    </row>
    <row r="70" ht="30" customHeight="1" spans="1:33">
      <c r="A70" s="6" t="s">
        <v>78</v>
      </c>
      <c r="B70" s="7">
        <v>45708</v>
      </c>
      <c r="C70" s="6" t="str">
        <f t="shared" si="0"/>
        <v>2025年2月</v>
      </c>
      <c r="D70" s="40" t="s">
        <v>40</v>
      </c>
      <c r="E70" s="6" t="s">
        <v>4379</v>
      </c>
      <c r="F70" s="6" t="s">
        <v>10</v>
      </c>
      <c r="G70" s="50" t="s">
        <v>4169</v>
      </c>
      <c r="H70" s="40"/>
      <c r="I70" s="50" t="s">
        <v>82</v>
      </c>
      <c r="J70" s="50" t="s">
        <v>4176</v>
      </c>
      <c r="K70" s="8" t="s">
        <v>4380</v>
      </c>
      <c r="L70" s="6" t="s">
        <v>4381</v>
      </c>
      <c r="M70" s="61" t="s">
        <v>1020</v>
      </c>
      <c r="N70" s="6" t="s">
        <v>4382</v>
      </c>
      <c r="O70" s="6" t="s">
        <v>1023</v>
      </c>
      <c r="P70" s="61">
        <v>28.72</v>
      </c>
      <c r="Q70" s="6" t="s">
        <v>149</v>
      </c>
      <c r="R70" s="50" t="s">
        <v>4253</v>
      </c>
      <c r="S70" s="50" t="s">
        <v>4215</v>
      </c>
      <c r="T70" s="50" t="s">
        <v>3506</v>
      </c>
      <c r="U70" s="6" t="s">
        <v>85</v>
      </c>
      <c r="V70" s="6" t="s">
        <v>4383</v>
      </c>
      <c r="W70" s="6" t="s">
        <v>4384</v>
      </c>
      <c r="X70" s="6" t="s">
        <v>4360</v>
      </c>
      <c r="Y70" s="6"/>
      <c r="Z70" s="6"/>
      <c r="AA70" s="6"/>
      <c r="AB70" s="6"/>
      <c r="AC70" s="6"/>
      <c r="AD70" s="6"/>
      <c r="AE70" s="6"/>
      <c r="AF70" s="6"/>
      <c r="AG70" s="6"/>
    </row>
    <row r="71" ht="24.75" customHeight="1" spans="1:33">
      <c r="A71" s="6" t="s">
        <v>78</v>
      </c>
      <c r="B71" s="7">
        <v>45709</v>
      </c>
      <c r="C71" s="6" t="str">
        <f t="shared" si="0"/>
        <v>2025年2月</v>
      </c>
      <c r="D71" s="40" t="s">
        <v>40</v>
      </c>
      <c r="E71" s="6" t="s">
        <v>4385</v>
      </c>
      <c r="F71" s="6" t="s">
        <v>10</v>
      </c>
      <c r="G71" s="50" t="s">
        <v>2954</v>
      </c>
      <c r="H71" s="40"/>
      <c r="I71" s="50" t="s">
        <v>82</v>
      </c>
      <c r="J71" s="50" t="s">
        <v>4176</v>
      </c>
      <c r="K71" s="8" t="s">
        <v>4250</v>
      </c>
      <c r="L71" s="6" t="s">
        <v>4251</v>
      </c>
      <c r="M71" s="68" t="s">
        <v>1005</v>
      </c>
      <c r="N71" s="8" t="s">
        <v>4386</v>
      </c>
      <c r="O71" s="6" t="s">
        <v>4387</v>
      </c>
      <c r="P71" s="61">
        <v>629.1</v>
      </c>
      <c r="Q71" s="6" t="s">
        <v>149</v>
      </c>
      <c r="R71" s="50" t="s">
        <v>4253</v>
      </c>
      <c r="S71" s="50" t="s">
        <v>4215</v>
      </c>
      <c r="T71" s="50" t="s">
        <v>3506</v>
      </c>
      <c r="U71" s="6" t="s">
        <v>85</v>
      </c>
      <c r="V71" s="6" t="s">
        <v>4388</v>
      </c>
      <c r="W71" s="6"/>
      <c r="X71" s="6"/>
      <c r="Y71" s="6"/>
      <c r="Z71" s="6"/>
      <c r="AA71" s="6"/>
      <c r="AB71" s="6"/>
      <c r="AC71" s="6"/>
      <c r="AD71" s="6"/>
      <c r="AE71" s="6"/>
      <c r="AF71" s="6"/>
      <c r="AG71" s="6"/>
    </row>
    <row r="72" ht="30" customHeight="1" spans="1:33">
      <c r="A72" s="6" t="s">
        <v>78</v>
      </c>
      <c r="B72" s="7">
        <v>45709</v>
      </c>
      <c r="C72" s="6" t="str">
        <f t="shared" si="0"/>
        <v>2025年2月</v>
      </c>
      <c r="D72" s="40" t="s">
        <v>40</v>
      </c>
      <c r="E72" s="6" t="s">
        <v>4389</v>
      </c>
      <c r="F72" s="6" t="s">
        <v>10</v>
      </c>
      <c r="G72" s="50" t="s">
        <v>2954</v>
      </c>
      <c r="H72" s="40"/>
      <c r="I72" s="50" t="s">
        <v>82</v>
      </c>
      <c r="M72" s="10"/>
      <c r="P72" s="61">
        <v>629.1</v>
      </c>
      <c r="Q72" s="6" t="s">
        <v>149</v>
      </c>
      <c r="R72" s="10"/>
      <c r="S72" s="10"/>
      <c r="T72" s="10"/>
      <c r="V72" s="6" t="s">
        <v>4390</v>
      </c>
      <c r="W72" s="7">
        <v>45716</v>
      </c>
      <c r="X72" s="6" t="s">
        <v>4391</v>
      </c>
      <c r="Y72" s="6"/>
      <c r="Z72" s="6"/>
      <c r="AA72" s="6"/>
      <c r="AB72" s="6"/>
      <c r="AC72" s="6"/>
      <c r="AD72" s="6"/>
      <c r="AE72" s="6"/>
      <c r="AF72" s="6"/>
      <c r="AG72" s="6"/>
    </row>
    <row r="73" ht="30" customHeight="1" spans="1:33">
      <c r="A73" s="6" t="s">
        <v>78</v>
      </c>
      <c r="B73" s="7">
        <v>45709</v>
      </c>
      <c r="C73" s="6" t="str">
        <f t="shared" si="0"/>
        <v>2025年2月</v>
      </c>
      <c r="D73" s="40" t="s">
        <v>40</v>
      </c>
      <c r="E73" s="6" t="s">
        <v>4392</v>
      </c>
      <c r="F73" s="6" t="s">
        <v>10</v>
      </c>
      <c r="G73" s="50" t="s">
        <v>4169</v>
      </c>
      <c r="H73" s="40"/>
      <c r="I73" s="50" t="s">
        <v>82</v>
      </c>
      <c r="J73" s="50" t="s">
        <v>4176</v>
      </c>
      <c r="K73" s="8" t="s">
        <v>4393</v>
      </c>
      <c r="L73" s="6" t="s">
        <v>4394</v>
      </c>
      <c r="M73" s="61" t="s">
        <v>1020</v>
      </c>
      <c r="N73" s="6" t="s">
        <v>4395</v>
      </c>
      <c r="O73" s="6" t="s">
        <v>1023</v>
      </c>
      <c r="P73" s="61">
        <v>27.81</v>
      </c>
      <c r="Q73" s="6" t="s">
        <v>149</v>
      </c>
      <c r="R73" s="50" t="s">
        <v>4253</v>
      </c>
      <c r="S73" s="50" t="s">
        <v>4215</v>
      </c>
      <c r="T73" s="50" t="s">
        <v>3506</v>
      </c>
      <c r="U73" s="6" t="s">
        <v>85</v>
      </c>
      <c r="V73" s="6"/>
      <c r="W73" s="6" t="s">
        <v>4396</v>
      </c>
      <c r="X73" s="6" t="s">
        <v>4360</v>
      </c>
      <c r="Y73" s="6"/>
      <c r="Z73" s="6"/>
      <c r="AA73" s="6"/>
      <c r="AB73" s="6"/>
      <c r="AC73" s="6"/>
      <c r="AD73" s="6"/>
      <c r="AE73" s="6"/>
      <c r="AF73" s="6"/>
      <c r="AG73" s="6"/>
    </row>
    <row r="74" ht="30" customHeight="1" spans="1:33">
      <c r="A74" s="6" t="s">
        <v>78</v>
      </c>
      <c r="B74" s="7">
        <v>45709</v>
      </c>
      <c r="C74" s="6" t="str">
        <f t="shared" si="0"/>
        <v>2025年2月</v>
      </c>
      <c r="D74" s="40" t="s">
        <v>40</v>
      </c>
      <c r="E74" s="6" t="s">
        <v>4397</v>
      </c>
      <c r="F74" s="6" t="s">
        <v>10</v>
      </c>
      <c r="G74" s="50" t="s">
        <v>2954</v>
      </c>
      <c r="H74" s="40" t="s">
        <v>4256</v>
      </c>
      <c r="I74" s="50" t="s">
        <v>82</v>
      </c>
      <c r="J74" s="50" t="s">
        <v>4176</v>
      </c>
      <c r="K74" s="8" t="s">
        <v>4398</v>
      </c>
      <c r="L74" s="6" t="s">
        <v>4399</v>
      </c>
      <c r="M74" s="61" t="s">
        <v>4400</v>
      </c>
      <c r="N74" s="6" t="s">
        <v>4401</v>
      </c>
      <c r="O74" s="6" t="s">
        <v>4402</v>
      </c>
      <c r="P74" s="61">
        <v>80</v>
      </c>
      <c r="Q74" s="6" t="s">
        <v>139</v>
      </c>
      <c r="R74" s="50" t="s">
        <v>4253</v>
      </c>
      <c r="S74" s="50" t="s">
        <v>4215</v>
      </c>
      <c r="T74" s="50" t="s">
        <v>3506</v>
      </c>
      <c r="U74" s="6" t="s">
        <v>194</v>
      </c>
      <c r="V74" s="6"/>
      <c r="W74" s="6"/>
      <c r="X74" s="6"/>
      <c r="Y74" s="6"/>
      <c r="Z74" s="6"/>
      <c r="AA74" s="6"/>
      <c r="AB74" s="6"/>
      <c r="AC74" s="6"/>
      <c r="AD74" s="6"/>
      <c r="AE74" s="6"/>
      <c r="AF74" s="6"/>
      <c r="AG74" s="6"/>
    </row>
    <row r="75" ht="30" customHeight="1" spans="1:33">
      <c r="A75" s="6" t="s">
        <v>78</v>
      </c>
      <c r="B75" s="7">
        <v>45713</v>
      </c>
      <c r="C75" s="6" t="str">
        <f t="shared" si="0"/>
        <v>2025年2月</v>
      </c>
      <c r="D75" s="40" t="s">
        <v>40</v>
      </c>
      <c r="E75" s="6" t="s">
        <v>4403</v>
      </c>
      <c r="F75" s="6" t="s">
        <v>10</v>
      </c>
      <c r="G75" s="50" t="s">
        <v>2954</v>
      </c>
      <c r="H75" s="40"/>
      <c r="I75" s="50" t="s">
        <v>82</v>
      </c>
      <c r="J75" s="50" t="s">
        <v>4176</v>
      </c>
      <c r="K75" s="8" t="s">
        <v>4250</v>
      </c>
      <c r="L75" s="6" t="s">
        <v>4251</v>
      </c>
      <c r="M75" s="61" t="s">
        <v>1005</v>
      </c>
      <c r="N75" s="6" t="s">
        <v>4404</v>
      </c>
      <c r="O75" s="6" t="s">
        <v>4405</v>
      </c>
      <c r="P75" s="61">
        <v>110</v>
      </c>
      <c r="Q75" s="6" t="s">
        <v>149</v>
      </c>
      <c r="R75" s="50" t="s">
        <v>4253</v>
      </c>
      <c r="S75" s="50" t="s">
        <v>4215</v>
      </c>
      <c r="T75" s="50" t="s">
        <v>3506</v>
      </c>
      <c r="U75" s="6" t="s">
        <v>85</v>
      </c>
      <c r="V75" s="6" t="s">
        <v>4406</v>
      </c>
      <c r="W75" s="6"/>
      <c r="X75" s="6"/>
      <c r="Y75" s="6"/>
      <c r="Z75" s="6"/>
      <c r="AA75" s="6"/>
      <c r="AB75" s="6"/>
      <c r="AC75" s="6"/>
      <c r="AD75" s="6"/>
      <c r="AE75" s="6"/>
      <c r="AF75" s="6"/>
      <c r="AG75" s="6"/>
    </row>
    <row r="76" ht="30" customHeight="1" spans="1:33">
      <c r="A76" s="6" t="s">
        <v>78</v>
      </c>
      <c r="B76" s="7">
        <v>45714</v>
      </c>
      <c r="C76" s="6" t="str">
        <f t="shared" si="0"/>
        <v>2025年2月</v>
      </c>
      <c r="D76" s="40" t="s">
        <v>40</v>
      </c>
      <c r="E76" s="6" t="s">
        <v>4407</v>
      </c>
      <c r="F76" s="6" t="s">
        <v>10</v>
      </c>
      <c r="G76" s="50" t="s">
        <v>4169</v>
      </c>
      <c r="H76" s="40"/>
      <c r="I76" s="50" t="s">
        <v>82</v>
      </c>
      <c r="J76" s="50" t="s">
        <v>4176</v>
      </c>
      <c r="K76" s="8" t="s">
        <v>4408</v>
      </c>
      <c r="L76" s="6" t="s">
        <v>4409</v>
      </c>
      <c r="M76" s="61" t="s">
        <v>3749</v>
      </c>
      <c r="N76" s="6" t="s">
        <v>4410</v>
      </c>
      <c r="O76" s="6" t="s">
        <v>1016</v>
      </c>
      <c r="P76" s="61">
        <v>65</v>
      </c>
      <c r="Q76" s="6" t="s">
        <v>149</v>
      </c>
      <c r="R76" s="50" t="s">
        <v>4253</v>
      </c>
      <c r="S76" s="50" t="s">
        <v>4215</v>
      </c>
      <c r="T76" s="50" t="s">
        <v>3506</v>
      </c>
      <c r="U76" s="6" t="s">
        <v>85</v>
      </c>
      <c r="V76" s="6" t="s">
        <v>4411</v>
      </c>
      <c r="W76" s="6"/>
      <c r="X76" s="6"/>
      <c r="Y76" s="6"/>
      <c r="Z76" s="6"/>
      <c r="AA76" s="6"/>
      <c r="AB76" s="6"/>
      <c r="AC76" s="6"/>
      <c r="AD76" s="6"/>
      <c r="AE76" s="6"/>
      <c r="AF76" s="6"/>
      <c r="AG76" s="6"/>
    </row>
    <row r="77" ht="30" customHeight="1" spans="1:33">
      <c r="A77" s="6" t="s">
        <v>78</v>
      </c>
      <c r="B77" s="7">
        <v>45720</v>
      </c>
      <c r="C77" s="6" t="str">
        <f t="shared" si="0"/>
        <v>2025年3月</v>
      </c>
      <c r="D77" s="40" t="s">
        <v>40</v>
      </c>
      <c r="E77" s="6" t="s">
        <v>4412</v>
      </c>
      <c r="F77" s="6" t="s">
        <v>10</v>
      </c>
      <c r="G77" s="50" t="s">
        <v>2954</v>
      </c>
      <c r="H77" s="40" t="s">
        <v>4256</v>
      </c>
      <c r="I77" s="50" t="s">
        <v>82</v>
      </c>
      <c r="J77" s="50" t="s">
        <v>4176</v>
      </c>
      <c r="K77" s="8" t="s">
        <v>4374</v>
      </c>
      <c r="L77" s="6" t="s">
        <v>4375</v>
      </c>
      <c r="M77" s="61" t="s">
        <v>4376</v>
      </c>
      <c r="N77" s="6" t="s">
        <v>4413</v>
      </c>
      <c r="O77" s="6" t="s">
        <v>4414</v>
      </c>
      <c r="P77" s="61">
        <v>9692.5</v>
      </c>
      <c r="Q77" s="6" t="s">
        <v>303</v>
      </c>
      <c r="R77" s="50" t="s">
        <v>4253</v>
      </c>
      <c r="S77" s="50" t="s">
        <v>4215</v>
      </c>
      <c r="T77" s="50" t="s">
        <v>3506</v>
      </c>
      <c r="U77" s="6" t="s">
        <v>120</v>
      </c>
      <c r="V77" s="6"/>
      <c r="W77" s="6"/>
      <c r="X77" s="6"/>
      <c r="Y77" s="6"/>
      <c r="Z77" s="6"/>
      <c r="AA77" s="6"/>
      <c r="AB77" s="6"/>
      <c r="AC77" s="6"/>
      <c r="AD77" s="6"/>
      <c r="AE77" s="6"/>
      <c r="AF77" s="6"/>
      <c r="AG77" s="6"/>
    </row>
    <row r="78" ht="30" customHeight="1" spans="1:33">
      <c r="A78" s="6" t="s">
        <v>78</v>
      </c>
      <c r="B78" s="7">
        <v>45728</v>
      </c>
      <c r="C78" s="6" t="str">
        <f t="shared" si="0"/>
        <v>2025年3月</v>
      </c>
      <c r="D78" s="40" t="s">
        <v>40</v>
      </c>
      <c r="E78" s="6" t="s">
        <v>4415</v>
      </c>
      <c r="F78" s="6" t="s">
        <v>10</v>
      </c>
      <c r="G78" s="50" t="s">
        <v>2954</v>
      </c>
      <c r="H78" s="40" t="s">
        <v>4249</v>
      </c>
      <c r="I78" s="50" t="s">
        <v>82</v>
      </c>
      <c r="J78" s="50" t="s">
        <v>4176</v>
      </c>
      <c r="K78" s="8" t="s">
        <v>4416</v>
      </c>
      <c r="L78" s="6" t="s">
        <v>4417</v>
      </c>
      <c r="M78" s="61" t="s">
        <v>1005</v>
      </c>
      <c r="N78" s="6" t="s">
        <v>4418</v>
      </c>
      <c r="O78" s="6" t="s">
        <v>4419</v>
      </c>
      <c r="P78" s="61">
        <v>760</v>
      </c>
      <c r="Q78" s="6" t="s">
        <v>149</v>
      </c>
      <c r="R78" s="50" t="s">
        <v>4319</v>
      </c>
      <c r="S78" s="50" t="s">
        <v>4215</v>
      </c>
      <c r="T78" s="50" t="s">
        <v>3506</v>
      </c>
      <c r="U78" s="6" t="s">
        <v>85</v>
      </c>
      <c r="V78" s="6" t="s">
        <v>4420</v>
      </c>
      <c r="W78" s="6"/>
      <c r="X78" s="6"/>
      <c r="Y78" s="6"/>
      <c r="Z78" s="6"/>
      <c r="AA78" s="6"/>
      <c r="AB78" s="6"/>
      <c r="AC78" s="6"/>
      <c r="AD78" s="6"/>
      <c r="AE78" s="6"/>
      <c r="AF78" s="6"/>
      <c r="AG78" s="6"/>
    </row>
    <row r="79" ht="30" customHeight="1" spans="1:33">
      <c r="A79" s="6" t="s">
        <v>78</v>
      </c>
      <c r="B79" s="7">
        <v>45728</v>
      </c>
      <c r="C79" s="6" t="str">
        <f t="shared" si="0"/>
        <v>2025年3月</v>
      </c>
      <c r="D79" s="40" t="s">
        <v>40</v>
      </c>
      <c r="E79" s="73" t="s">
        <v>4421</v>
      </c>
      <c r="F79" s="6" t="s">
        <v>10</v>
      </c>
      <c r="G79" s="50" t="s">
        <v>2954</v>
      </c>
      <c r="H79" s="40" t="s">
        <v>4249</v>
      </c>
      <c r="I79" s="50" t="s">
        <v>82</v>
      </c>
      <c r="J79" s="50" t="s">
        <v>4176</v>
      </c>
      <c r="K79" s="8" t="s">
        <v>4416</v>
      </c>
      <c r="L79" s="6" t="s">
        <v>4417</v>
      </c>
      <c r="M79" s="61" t="s">
        <v>1005</v>
      </c>
      <c r="N79" s="6" t="s">
        <v>4422</v>
      </c>
      <c r="O79" s="6" t="s">
        <v>4419</v>
      </c>
      <c r="P79" s="61">
        <v>260</v>
      </c>
      <c r="Q79" s="6" t="s">
        <v>149</v>
      </c>
      <c r="R79" s="50" t="s">
        <v>4319</v>
      </c>
      <c r="S79" s="50" t="s">
        <v>4215</v>
      </c>
      <c r="T79" s="50" t="s">
        <v>3506</v>
      </c>
      <c r="U79" s="6" t="s">
        <v>85</v>
      </c>
      <c r="W79" s="6"/>
      <c r="X79" s="6"/>
      <c r="Y79" s="6"/>
      <c r="Z79" s="6"/>
      <c r="AA79" s="6"/>
      <c r="AB79" s="6"/>
      <c r="AC79" s="6"/>
      <c r="AD79" s="6"/>
      <c r="AE79" s="6"/>
      <c r="AF79" s="6"/>
      <c r="AG79" s="6"/>
    </row>
    <row r="80" ht="30" customHeight="1" spans="1:33">
      <c r="A80" s="6" t="s">
        <v>78</v>
      </c>
      <c r="B80" s="7">
        <v>45728</v>
      </c>
      <c r="C80" s="6" t="str">
        <f t="shared" si="0"/>
        <v>2025年3月</v>
      </c>
      <c r="D80" s="40" t="s">
        <v>40</v>
      </c>
      <c r="E80" s="6" t="s">
        <v>4423</v>
      </c>
      <c r="F80" s="6" t="s">
        <v>10</v>
      </c>
      <c r="G80" s="50" t="s">
        <v>2954</v>
      </c>
      <c r="H80" s="40" t="s">
        <v>4249</v>
      </c>
      <c r="I80" s="50" t="s">
        <v>82</v>
      </c>
      <c r="J80" s="50" t="s">
        <v>4176</v>
      </c>
      <c r="K80" s="8" t="s">
        <v>4416</v>
      </c>
      <c r="L80" s="6" t="s">
        <v>4417</v>
      </c>
      <c r="M80" s="61" t="s">
        <v>1005</v>
      </c>
      <c r="N80" s="6" t="s">
        <v>4424</v>
      </c>
      <c r="O80" s="6" t="s">
        <v>4419</v>
      </c>
      <c r="P80" s="61">
        <v>750</v>
      </c>
      <c r="Q80" s="6" t="s">
        <v>149</v>
      </c>
      <c r="R80" s="50" t="s">
        <v>4319</v>
      </c>
      <c r="S80" s="50" t="s">
        <v>4215</v>
      </c>
      <c r="T80" s="50" t="s">
        <v>3506</v>
      </c>
      <c r="U80" s="6" t="s">
        <v>85</v>
      </c>
      <c r="W80" s="6"/>
      <c r="X80" s="6"/>
      <c r="Y80" s="6"/>
      <c r="Z80" s="6"/>
      <c r="AA80" s="6"/>
      <c r="AB80" s="6"/>
      <c r="AC80" s="6"/>
      <c r="AD80" s="6"/>
      <c r="AE80" s="6"/>
      <c r="AF80" s="6"/>
      <c r="AG80" s="6"/>
    </row>
    <row r="81" ht="30" customHeight="1" spans="1:33">
      <c r="A81" s="6" t="s">
        <v>78</v>
      </c>
      <c r="B81" s="7">
        <v>45735</v>
      </c>
      <c r="C81" s="6" t="str">
        <f t="shared" ref="C81:C88" si="1">YEAR(B82)&amp;"年"&amp;MONTH(B82)&amp;"月"</f>
        <v>2025年3月</v>
      </c>
      <c r="D81" s="40" t="s">
        <v>40</v>
      </c>
      <c r="E81" s="6" t="s">
        <v>4425</v>
      </c>
      <c r="F81" s="6" t="s">
        <v>10</v>
      </c>
      <c r="G81" s="50" t="s">
        <v>4169</v>
      </c>
      <c r="H81" s="40"/>
      <c r="I81" s="50" t="s">
        <v>82</v>
      </c>
      <c r="J81" s="50" t="s">
        <v>4426</v>
      </c>
      <c r="K81" s="8" t="s">
        <v>1153</v>
      </c>
      <c r="L81" s="6" t="s">
        <v>1155</v>
      </c>
      <c r="M81" s="61"/>
      <c r="N81" s="6" t="s">
        <v>2232</v>
      </c>
      <c r="O81" s="6"/>
      <c r="P81" s="61">
        <v>280</v>
      </c>
      <c r="Q81" s="6" t="s">
        <v>139</v>
      </c>
      <c r="U81" s="6" t="s">
        <v>85</v>
      </c>
      <c r="V81" s="41" t="s">
        <v>4427</v>
      </c>
      <c r="W81" s="6"/>
      <c r="X81" s="6"/>
      <c r="Y81" s="6"/>
      <c r="Z81" s="6"/>
      <c r="AA81" s="6"/>
      <c r="AB81" s="6"/>
      <c r="AC81" s="6"/>
      <c r="AD81" s="6"/>
      <c r="AE81" s="6"/>
      <c r="AF81" s="6"/>
      <c r="AG81" s="6"/>
    </row>
    <row r="82" ht="30" customHeight="1" spans="1:33">
      <c r="A82" s="6" t="s">
        <v>78</v>
      </c>
      <c r="B82" s="7">
        <v>45734</v>
      </c>
      <c r="C82" s="6" t="str">
        <f t="shared" si="1"/>
        <v>2025年3月</v>
      </c>
      <c r="D82" s="40" t="s">
        <v>40</v>
      </c>
      <c r="E82" s="6" t="s">
        <v>4428</v>
      </c>
      <c r="F82" s="6" t="s">
        <v>10</v>
      </c>
      <c r="G82" s="50" t="s">
        <v>4169</v>
      </c>
      <c r="H82" s="40"/>
      <c r="I82" s="50" t="s">
        <v>82</v>
      </c>
      <c r="J82" s="50" t="s">
        <v>4176</v>
      </c>
      <c r="K82" s="8" t="s">
        <v>1052</v>
      </c>
      <c r="L82" s="6" t="s">
        <v>4332</v>
      </c>
      <c r="M82" s="61" t="s">
        <v>1005</v>
      </c>
      <c r="N82" s="8" t="s">
        <v>4429</v>
      </c>
      <c r="O82" s="6" t="s">
        <v>4430</v>
      </c>
      <c r="P82" s="61">
        <v>566</v>
      </c>
      <c r="Q82" s="6" t="s">
        <v>139</v>
      </c>
      <c r="R82" s="50" t="s">
        <v>4253</v>
      </c>
      <c r="S82" s="50" t="s">
        <v>4215</v>
      </c>
      <c r="T82" s="50" t="s">
        <v>3506</v>
      </c>
      <c r="U82" s="6" t="s">
        <v>85</v>
      </c>
      <c r="V82" s="41" t="s">
        <v>4431</v>
      </c>
      <c r="W82" s="7">
        <v>45748</v>
      </c>
      <c r="X82" s="74">
        <v>45749</v>
      </c>
      <c r="Y82" s="6"/>
      <c r="Z82" s="6"/>
      <c r="AA82" s="6"/>
      <c r="AB82" s="6"/>
      <c r="AC82" s="6"/>
      <c r="AD82" s="6"/>
      <c r="AE82" s="6"/>
      <c r="AF82" s="6"/>
      <c r="AG82" s="6"/>
    </row>
    <row r="83" ht="30" customHeight="1" spans="1:33">
      <c r="A83" s="10"/>
      <c r="B83" s="7">
        <v>45734</v>
      </c>
      <c r="C83" s="6" t="str">
        <f t="shared" si="1"/>
        <v>2025年3月</v>
      </c>
      <c r="D83" s="40" t="s">
        <v>40</v>
      </c>
      <c r="E83" s="6" t="s">
        <v>4432</v>
      </c>
      <c r="F83" s="6" t="s">
        <v>10</v>
      </c>
      <c r="G83" s="40"/>
      <c r="H83" s="40"/>
      <c r="I83" s="50" t="s">
        <v>82</v>
      </c>
      <c r="J83" s="50" t="s">
        <v>4176</v>
      </c>
      <c r="K83" s="8" t="s">
        <v>1052</v>
      </c>
      <c r="L83" s="6" t="s">
        <v>4332</v>
      </c>
      <c r="M83" s="61" t="s">
        <v>1005</v>
      </c>
      <c r="N83" s="8" t="s">
        <v>4433</v>
      </c>
      <c r="O83" s="6" t="s">
        <v>4430</v>
      </c>
      <c r="P83" s="61">
        <v>318</v>
      </c>
      <c r="Q83" s="6" t="s">
        <v>139</v>
      </c>
      <c r="R83" s="50" t="s">
        <v>4253</v>
      </c>
      <c r="S83" s="50" t="s">
        <v>4215</v>
      </c>
      <c r="T83" s="50" t="s">
        <v>3506</v>
      </c>
      <c r="U83" s="6" t="s">
        <v>85</v>
      </c>
      <c r="W83" s="7">
        <v>45748</v>
      </c>
      <c r="X83" s="6"/>
      <c r="Y83" s="6"/>
      <c r="Z83" s="6"/>
      <c r="AA83" s="6"/>
      <c r="AB83" s="6"/>
      <c r="AC83" s="6"/>
      <c r="AD83" s="6"/>
      <c r="AE83" s="6"/>
      <c r="AF83" s="6"/>
      <c r="AG83" s="6"/>
    </row>
    <row r="84" ht="30" customHeight="1" spans="1:33">
      <c r="A84" s="10"/>
      <c r="B84" s="7">
        <v>45734</v>
      </c>
      <c r="C84" s="6" t="str">
        <f t="shared" si="1"/>
        <v>2025年3月</v>
      </c>
      <c r="D84" s="40" t="s">
        <v>40</v>
      </c>
      <c r="E84" s="6" t="s">
        <v>4434</v>
      </c>
      <c r="F84" s="6" t="s">
        <v>10</v>
      </c>
      <c r="G84" s="40"/>
      <c r="H84" s="40"/>
      <c r="I84" s="50" t="s">
        <v>82</v>
      </c>
      <c r="J84" s="50" t="s">
        <v>4176</v>
      </c>
      <c r="K84" s="8" t="s">
        <v>1052</v>
      </c>
      <c r="L84" s="6" t="s">
        <v>4332</v>
      </c>
      <c r="M84" s="61" t="s">
        <v>1005</v>
      </c>
      <c r="N84" s="8" t="s">
        <v>4435</v>
      </c>
      <c r="O84" s="6" t="s">
        <v>4430</v>
      </c>
      <c r="P84" s="61">
        <v>300</v>
      </c>
      <c r="Q84" s="6" t="s">
        <v>139</v>
      </c>
      <c r="R84" s="50" t="s">
        <v>4253</v>
      </c>
      <c r="S84" s="50" t="s">
        <v>4215</v>
      </c>
      <c r="T84" s="50" t="s">
        <v>3506</v>
      </c>
      <c r="U84" s="6" t="s">
        <v>85</v>
      </c>
      <c r="W84" s="7">
        <v>45748</v>
      </c>
      <c r="X84" s="6"/>
      <c r="Y84" s="6"/>
      <c r="Z84" s="6"/>
      <c r="AA84" s="6"/>
      <c r="AB84" s="6"/>
      <c r="AC84" s="6"/>
      <c r="AD84" s="6"/>
      <c r="AE84" s="6"/>
      <c r="AF84" s="6"/>
      <c r="AG84" s="6"/>
    </row>
    <row r="85" ht="30" customHeight="1" spans="1:33">
      <c r="A85" s="10"/>
      <c r="B85" s="7">
        <v>45734</v>
      </c>
      <c r="C85" s="6" t="str">
        <f t="shared" si="1"/>
        <v>2025年3月</v>
      </c>
      <c r="D85" s="40" t="s">
        <v>40</v>
      </c>
      <c r="E85" s="6" t="s">
        <v>4436</v>
      </c>
      <c r="F85" s="6" t="s">
        <v>10</v>
      </c>
      <c r="G85" s="40"/>
      <c r="H85" s="40"/>
      <c r="I85" s="50" t="s">
        <v>82</v>
      </c>
      <c r="J85" s="50" t="s">
        <v>4176</v>
      </c>
      <c r="K85" s="8" t="s">
        <v>1164</v>
      </c>
      <c r="L85" s="6" t="s">
        <v>1166</v>
      </c>
      <c r="M85" s="61" t="s">
        <v>1005</v>
      </c>
      <c r="N85" s="8" t="s">
        <v>4437</v>
      </c>
      <c r="O85" s="6" t="s">
        <v>4430</v>
      </c>
      <c r="P85" s="61">
        <v>510</v>
      </c>
      <c r="Q85" s="6" t="s">
        <v>139</v>
      </c>
      <c r="R85" s="50" t="s">
        <v>4253</v>
      </c>
      <c r="S85" s="50" t="s">
        <v>4215</v>
      </c>
      <c r="T85" s="50" t="s">
        <v>3506</v>
      </c>
      <c r="U85" s="6" t="s">
        <v>85</v>
      </c>
      <c r="W85" s="6"/>
      <c r="X85" s="6"/>
      <c r="Y85" s="6"/>
      <c r="Z85" s="6"/>
      <c r="AA85" s="6"/>
      <c r="AB85" s="6"/>
      <c r="AC85" s="6"/>
      <c r="AD85" s="6"/>
      <c r="AE85" s="6"/>
      <c r="AF85" s="6"/>
      <c r="AG85" s="6"/>
    </row>
    <row r="86" ht="30" customHeight="1" spans="1:33">
      <c r="A86" s="10"/>
      <c r="B86" s="7">
        <v>45734</v>
      </c>
      <c r="C86" s="6" t="str">
        <f t="shared" si="1"/>
        <v>2025年3月</v>
      </c>
      <c r="D86" s="40" t="s">
        <v>40</v>
      </c>
      <c r="E86" s="6" t="s">
        <v>4438</v>
      </c>
      <c r="F86" s="6" t="s">
        <v>10</v>
      </c>
      <c r="G86" s="40"/>
      <c r="H86" s="40"/>
      <c r="I86" s="50" t="s">
        <v>82</v>
      </c>
      <c r="J86" s="50" t="s">
        <v>4176</v>
      </c>
      <c r="K86" s="8" t="s">
        <v>1164</v>
      </c>
      <c r="L86" s="6" t="s">
        <v>1166</v>
      </c>
      <c r="M86" s="61" t="s">
        <v>1005</v>
      </c>
      <c r="N86" s="8" t="s">
        <v>4439</v>
      </c>
      <c r="O86" s="6" t="s">
        <v>4430</v>
      </c>
      <c r="P86" s="61">
        <v>400</v>
      </c>
      <c r="Q86" s="6" t="s">
        <v>139</v>
      </c>
      <c r="R86" s="50" t="s">
        <v>4253</v>
      </c>
      <c r="S86" s="50" t="s">
        <v>4215</v>
      </c>
      <c r="T86" s="50" t="s">
        <v>3506</v>
      </c>
      <c r="U86" s="6" t="s">
        <v>85</v>
      </c>
      <c r="W86" s="6"/>
      <c r="X86" s="6"/>
      <c r="Y86" s="6"/>
      <c r="Z86" s="6"/>
      <c r="AA86" s="6"/>
      <c r="AB86" s="6"/>
      <c r="AC86" s="6"/>
      <c r="AD86" s="6"/>
      <c r="AE86" s="6"/>
      <c r="AF86" s="6"/>
      <c r="AG86" s="6"/>
    </row>
    <row r="87" ht="30" customHeight="1" spans="1:33">
      <c r="A87" s="10"/>
      <c r="B87" s="7">
        <v>45734</v>
      </c>
      <c r="C87" s="6" t="str">
        <f t="shared" si="1"/>
        <v>2025年3月</v>
      </c>
      <c r="D87" s="40" t="s">
        <v>40</v>
      </c>
      <c r="E87" s="6" t="s">
        <v>4440</v>
      </c>
      <c r="F87" s="6" t="s">
        <v>10</v>
      </c>
      <c r="G87" s="40"/>
      <c r="H87" s="40"/>
      <c r="I87" s="50" t="s">
        <v>82</v>
      </c>
      <c r="J87" s="50" t="s">
        <v>4176</v>
      </c>
      <c r="K87" s="8" t="s">
        <v>1153</v>
      </c>
      <c r="L87" s="6" t="s">
        <v>1155</v>
      </c>
      <c r="M87" s="61" t="s">
        <v>1005</v>
      </c>
      <c r="N87" s="8" t="s">
        <v>4441</v>
      </c>
      <c r="O87" s="6" t="s">
        <v>4430</v>
      </c>
      <c r="P87" s="61">
        <v>452</v>
      </c>
      <c r="Q87" s="6" t="s">
        <v>139</v>
      </c>
      <c r="R87" s="50" t="s">
        <v>4253</v>
      </c>
      <c r="S87" s="50" t="s">
        <v>4215</v>
      </c>
      <c r="T87" s="50" t="s">
        <v>3506</v>
      </c>
      <c r="U87" s="6" t="s">
        <v>85</v>
      </c>
      <c r="W87" s="7">
        <v>45748</v>
      </c>
      <c r="X87" s="6"/>
      <c r="Y87" s="6"/>
      <c r="Z87" s="6"/>
      <c r="AA87" s="6"/>
      <c r="AB87" s="6"/>
      <c r="AC87" s="6"/>
      <c r="AD87" s="6"/>
      <c r="AE87" s="6"/>
      <c r="AF87" s="6"/>
      <c r="AG87" s="6"/>
    </row>
    <row r="88" ht="30" customHeight="1" spans="1:33">
      <c r="A88" s="10"/>
      <c r="B88" s="7">
        <v>45734</v>
      </c>
      <c r="C88" s="6" t="str">
        <f t="shared" si="1"/>
        <v>2025年3月</v>
      </c>
      <c r="D88" s="40" t="s">
        <v>40</v>
      </c>
      <c r="E88" s="6" t="s">
        <v>4442</v>
      </c>
      <c r="F88" s="6" t="s">
        <v>10</v>
      </c>
      <c r="G88" s="40"/>
      <c r="H88" s="40"/>
      <c r="I88" s="50" t="s">
        <v>82</v>
      </c>
      <c r="J88" s="50" t="s">
        <v>4176</v>
      </c>
      <c r="K88" s="8" t="s">
        <v>1153</v>
      </c>
      <c r="L88" s="6" t="s">
        <v>1155</v>
      </c>
      <c r="M88" s="61" t="s">
        <v>1005</v>
      </c>
      <c r="N88" s="8" t="s">
        <v>4443</v>
      </c>
      <c r="O88" s="6" t="s">
        <v>4430</v>
      </c>
      <c r="P88" s="61">
        <v>215</v>
      </c>
      <c r="Q88" s="6" t="s">
        <v>139</v>
      </c>
      <c r="R88" s="50" t="s">
        <v>4253</v>
      </c>
      <c r="S88" s="50" t="s">
        <v>4215</v>
      </c>
      <c r="T88" s="50" t="s">
        <v>3506</v>
      </c>
      <c r="U88" s="6" t="s">
        <v>85</v>
      </c>
      <c r="W88" s="7">
        <v>45748</v>
      </c>
      <c r="X88" s="6"/>
      <c r="Y88" s="6"/>
      <c r="Z88" s="6"/>
      <c r="AA88" s="6"/>
      <c r="AB88" s="6"/>
      <c r="AC88" s="6"/>
      <c r="AD88" s="6"/>
      <c r="AE88" s="6"/>
      <c r="AF88" s="6"/>
      <c r="AG88" s="6"/>
    </row>
    <row r="89" ht="30" customHeight="1" spans="1:33">
      <c r="A89" s="6" t="s">
        <v>78</v>
      </c>
      <c r="B89" s="7">
        <v>45742</v>
      </c>
      <c r="C89" s="6" t="str">
        <f t="shared" ref="C89:C152" si="2">YEAR(B89)&amp;"年"&amp;MONTH(B89)&amp;"月"</f>
        <v>2025年3月</v>
      </c>
      <c r="D89" s="40" t="s">
        <v>40</v>
      </c>
      <c r="E89" s="6" t="s">
        <v>4444</v>
      </c>
      <c r="F89" s="6" t="s">
        <v>10</v>
      </c>
      <c r="G89" s="50" t="s">
        <v>2954</v>
      </c>
      <c r="H89" s="40" t="s">
        <v>4256</v>
      </c>
      <c r="I89" s="50" t="s">
        <v>82</v>
      </c>
      <c r="J89" s="50" t="s">
        <v>4176</v>
      </c>
      <c r="K89" s="8" t="s">
        <v>1228</v>
      </c>
      <c r="L89" s="6" t="s">
        <v>1230</v>
      </c>
      <c r="M89" s="61" t="s">
        <v>1005</v>
      </c>
      <c r="N89" s="6" t="s">
        <v>4445</v>
      </c>
      <c r="O89" s="6" t="s">
        <v>4446</v>
      </c>
      <c r="P89" s="61">
        <v>68.02</v>
      </c>
      <c r="Q89" s="6" t="s">
        <v>149</v>
      </c>
      <c r="R89" s="50" t="s">
        <v>4253</v>
      </c>
      <c r="S89" s="50" t="s">
        <v>4215</v>
      </c>
      <c r="T89" s="50" t="s">
        <v>3506</v>
      </c>
      <c r="U89" s="6" t="s">
        <v>85</v>
      </c>
      <c r="V89" s="6" t="s">
        <v>4447</v>
      </c>
      <c r="W89" s="6"/>
      <c r="X89" s="6"/>
      <c r="Y89" s="6"/>
      <c r="Z89" s="6"/>
      <c r="AA89" s="6"/>
      <c r="AB89" s="6"/>
      <c r="AC89" s="6"/>
      <c r="AD89" s="6"/>
      <c r="AE89" s="6"/>
      <c r="AF89" s="6"/>
      <c r="AG89" s="6"/>
    </row>
    <row r="90" ht="30" customHeight="1" spans="1:33">
      <c r="A90" s="6" t="s">
        <v>142</v>
      </c>
      <c r="B90" s="7">
        <v>45743</v>
      </c>
      <c r="C90" s="6" t="str">
        <f t="shared" si="2"/>
        <v>2025年3月</v>
      </c>
      <c r="D90" s="40" t="s">
        <v>39</v>
      </c>
      <c r="E90" s="41" t="s">
        <v>4448</v>
      </c>
      <c r="F90" s="6" t="s">
        <v>12</v>
      </c>
      <c r="G90" s="50" t="s">
        <v>2954</v>
      </c>
      <c r="H90" s="40"/>
      <c r="I90" s="50" t="s">
        <v>82</v>
      </c>
      <c r="K90" s="8" t="s">
        <v>1159</v>
      </c>
      <c r="L90" s="6" t="s">
        <v>1160</v>
      </c>
      <c r="M90" s="75">
        <v>45747.4166666667</v>
      </c>
      <c r="N90" s="6" t="s">
        <v>4449</v>
      </c>
      <c r="O90" s="6" t="s">
        <v>4450</v>
      </c>
      <c r="P90" s="76">
        <v>5200</v>
      </c>
      <c r="Q90" s="6" t="s">
        <v>173</v>
      </c>
      <c r="R90" s="50" t="s">
        <v>4319</v>
      </c>
      <c r="S90" s="50" t="s">
        <v>4215</v>
      </c>
      <c r="U90" s="6" t="s">
        <v>186</v>
      </c>
      <c r="V90" s="6"/>
      <c r="W90" s="6"/>
      <c r="X90" s="6"/>
      <c r="Y90" s="6"/>
      <c r="Z90" s="6"/>
      <c r="AA90" s="6"/>
      <c r="AB90" s="6"/>
      <c r="AC90" s="6"/>
      <c r="AD90" s="6"/>
      <c r="AE90" s="6"/>
      <c r="AF90" s="6"/>
      <c r="AG90" s="6"/>
    </row>
    <row r="91" ht="30" customHeight="1" spans="1:33">
      <c r="A91" s="10"/>
      <c r="B91" s="7">
        <v>45743</v>
      </c>
      <c r="C91" s="6" t="str">
        <f t="shared" si="2"/>
        <v>2025年3月</v>
      </c>
      <c r="D91" s="40" t="s">
        <v>39</v>
      </c>
      <c r="E91" s="41" t="s">
        <v>4451</v>
      </c>
      <c r="F91" s="6" t="s">
        <v>12</v>
      </c>
      <c r="G91" s="40"/>
      <c r="H91" s="40"/>
      <c r="I91" s="50" t="s">
        <v>82</v>
      </c>
      <c r="M91" s="10"/>
      <c r="N91" s="6" t="s">
        <v>4452</v>
      </c>
      <c r="O91" s="6" t="s">
        <v>4450</v>
      </c>
      <c r="P91" s="76">
        <v>19800</v>
      </c>
      <c r="Q91" s="6" t="s">
        <v>173</v>
      </c>
      <c r="R91" s="50" t="s">
        <v>4319</v>
      </c>
      <c r="S91" s="50" t="s">
        <v>4215</v>
      </c>
      <c r="U91" s="6" t="s">
        <v>186</v>
      </c>
      <c r="V91" s="6"/>
      <c r="W91" s="6"/>
      <c r="X91" s="6"/>
      <c r="Y91" s="6"/>
      <c r="Z91" s="6"/>
      <c r="AA91" s="6"/>
      <c r="AB91" s="6"/>
      <c r="AC91" s="6"/>
      <c r="AD91" s="6"/>
      <c r="AE91" s="6"/>
      <c r="AF91" s="6"/>
      <c r="AG91" s="6"/>
    </row>
    <row r="92" ht="30" customHeight="1" spans="1:33">
      <c r="A92" s="6" t="s">
        <v>78</v>
      </c>
      <c r="B92" s="7">
        <v>45751</v>
      </c>
      <c r="C92" s="6" t="str">
        <f t="shared" si="2"/>
        <v>2025年4月</v>
      </c>
      <c r="D92" s="40" t="s">
        <v>40</v>
      </c>
      <c r="E92" s="6" t="s">
        <v>4453</v>
      </c>
      <c r="F92" s="6" t="s">
        <v>10</v>
      </c>
      <c r="G92" s="50" t="s">
        <v>2954</v>
      </c>
      <c r="H92" s="40"/>
      <c r="I92" s="50" t="s">
        <v>82</v>
      </c>
      <c r="J92" s="50" t="s">
        <v>4176</v>
      </c>
      <c r="K92" s="8" t="s">
        <v>4416</v>
      </c>
      <c r="L92" s="6" t="s">
        <v>4417</v>
      </c>
      <c r="M92" s="61" t="s">
        <v>1005</v>
      </c>
      <c r="N92" s="6" t="s">
        <v>4454</v>
      </c>
      <c r="O92" s="6" t="s">
        <v>4455</v>
      </c>
      <c r="P92" s="61">
        <v>139</v>
      </c>
      <c r="Q92" s="6" t="s">
        <v>149</v>
      </c>
      <c r="R92" s="50" t="s">
        <v>4253</v>
      </c>
      <c r="S92" s="50" t="s">
        <v>4215</v>
      </c>
      <c r="T92" s="50" t="s">
        <v>3506</v>
      </c>
      <c r="U92" s="6" t="s">
        <v>85</v>
      </c>
      <c r="V92" s="6"/>
      <c r="W92" s="6"/>
      <c r="X92" s="6"/>
      <c r="Y92" s="6"/>
      <c r="Z92" s="6"/>
      <c r="AA92" s="6"/>
      <c r="AB92" s="6"/>
      <c r="AC92" s="6"/>
      <c r="AD92" s="6"/>
      <c r="AE92" s="6"/>
      <c r="AF92" s="6"/>
      <c r="AG92" s="6"/>
    </row>
    <row r="93" ht="30" customHeight="1" spans="1:33">
      <c r="A93" s="6" t="s">
        <v>207</v>
      </c>
      <c r="B93" s="7">
        <v>45770</v>
      </c>
      <c r="C93" s="6" t="str">
        <f t="shared" si="2"/>
        <v>2025年4月</v>
      </c>
      <c r="D93" s="40" t="s">
        <v>40</v>
      </c>
      <c r="E93" s="6" t="s">
        <v>4456</v>
      </c>
      <c r="F93" s="6" t="s">
        <v>11</v>
      </c>
      <c r="G93" s="50" t="s">
        <v>4169</v>
      </c>
      <c r="H93" s="40"/>
      <c r="I93" s="50" t="s">
        <v>82</v>
      </c>
      <c r="J93" s="50" t="s">
        <v>4176</v>
      </c>
      <c r="K93" s="8" t="s">
        <v>4457</v>
      </c>
      <c r="L93" s="6" t="s">
        <v>4458</v>
      </c>
      <c r="M93" s="61"/>
      <c r="N93" s="6" t="s">
        <v>4459</v>
      </c>
      <c r="O93" s="6" t="s">
        <v>4460</v>
      </c>
      <c r="P93" s="76">
        <v>4110</v>
      </c>
      <c r="Q93" s="6" t="s">
        <v>149</v>
      </c>
      <c r="R93" s="50" t="s">
        <v>4319</v>
      </c>
      <c r="S93" s="50" t="s">
        <v>4215</v>
      </c>
      <c r="T93" s="50" t="s">
        <v>3506</v>
      </c>
      <c r="U93" s="6" t="s">
        <v>4461</v>
      </c>
      <c r="V93" s="41" t="s">
        <v>4462</v>
      </c>
      <c r="W93" s="6"/>
      <c r="X93" s="6"/>
      <c r="Y93" s="6"/>
      <c r="Z93" s="6"/>
      <c r="AA93" s="6"/>
      <c r="AB93" s="6"/>
      <c r="AC93" s="6"/>
      <c r="AD93" s="6"/>
      <c r="AE93" s="6"/>
      <c r="AF93" s="6"/>
      <c r="AG93" s="6"/>
    </row>
    <row r="94" ht="30" customHeight="1" spans="1:33">
      <c r="A94" s="6" t="s">
        <v>78</v>
      </c>
      <c r="B94" s="7">
        <v>45782</v>
      </c>
      <c r="C94" s="6" t="str">
        <f t="shared" si="2"/>
        <v>2025年5月</v>
      </c>
      <c r="D94" s="40" t="s">
        <v>40</v>
      </c>
      <c r="E94" s="6" t="s">
        <v>4463</v>
      </c>
      <c r="F94" s="6" t="s">
        <v>10</v>
      </c>
      <c r="G94" s="50" t="s">
        <v>2954</v>
      </c>
      <c r="H94" s="40"/>
      <c r="I94" s="50" t="s">
        <v>82</v>
      </c>
      <c r="J94" s="50" t="s">
        <v>4176</v>
      </c>
      <c r="K94" s="8" t="s">
        <v>4464</v>
      </c>
      <c r="L94" s="6" t="s">
        <v>4465</v>
      </c>
      <c r="M94" s="61" t="s">
        <v>1005</v>
      </c>
      <c r="N94" s="6" t="s">
        <v>4466</v>
      </c>
      <c r="O94" s="6" t="s">
        <v>4467</v>
      </c>
      <c r="P94" s="61">
        <v>170</v>
      </c>
      <c r="Q94" s="6" t="s">
        <v>149</v>
      </c>
      <c r="R94" s="50" t="s">
        <v>4319</v>
      </c>
      <c r="S94" s="50" t="s">
        <v>4215</v>
      </c>
      <c r="T94" s="50" t="s">
        <v>3506</v>
      </c>
      <c r="U94" s="6" t="s">
        <v>85</v>
      </c>
      <c r="V94" s="6" t="s">
        <v>4468</v>
      </c>
      <c r="W94" s="6"/>
      <c r="X94" s="6"/>
      <c r="Y94" s="6"/>
      <c r="Z94" s="6"/>
      <c r="AA94" s="6"/>
      <c r="AB94" s="6"/>
      <c r="AC94" s="6"/>
      <c r="AD94" s="6"/>
      <c r="AE94" s="6"/>
      <c r="AF94" s="6"/>
      <c r="AG94" s="6"/>
    </row>
    <row r="95" ht="30" customHeight="1" spans="1:33">
      <c r="A95" s="6" t="s">
        <v>142</v>
      </c>
      <c r="B95" s="7">
        <v>45784</v>
      </c>
      <c r="C95" s="6" t="str">
        <f t="shared" si="2"/>
        <v>2025年5月</v>
      </c>
      <c r="D95" s="40" t="s">
        <v>39</v>
      </c>
      <c r="E95" s="41" t="s">
        <v>4469</v>
      </c>
      <c r="F95" s="6" t="s">
        <v>11</v>
      </c>
      <c r="G95" s="50" t="s">
        <v>2954</v>
      </c>
      <c r="H95" s="40" t="s">
        <v>4249</v>
      </c>
      <c r="I95" s="50" t="s">
        <v>82</v>
      </c>
      <c r="J95" s="50" t="s">
        <v>4190</v>
      </c>
      <c r="K95" s="8" t="s">
        <v>2844</v>
      </c>
      <c r="L95" s="6" t="s">
        <v>2845</v>
      </c>
      <c r="M95" s="61"/>
      <c r="N95" s="6" t="s">
        <v>4470</v>
      </c>
      <c r="O95" s="6" t="s">
        <v>4471</v>
      </c>
      <c r="P95" s="61">
        <f>9994.93</f>
        <v>9994.93</v>
      </c>
      <c r="Q95" s="6" t="s">
        <v>173</v>
      </c>
      <c r="R95" s="50" t="s">
        <v>4319</v>
      </c>
      <c r="S95" s="50" t="s">
        <v>4215</v>
      </c>
      <c r="T95" s="50" t="s">
        <v>3506</v>
      </c>
      <c r="U95" s="6" t="s">
        <v>261</v>
      </c>
      <c r="V95" s="6" t="s">
        <v>4472</v>
      </c>
      <c r="W95" s="6"/>
      <c r="X95" s="6"/>
      <c r="Y95" s="6"/>
      <c r="Z95" s="6"/>
      <c r="AA95" s="6"/>
      <c r="AB95" s="6"/>
      <c r="AC95" s="6"/>
      <c r="AD95" s="6"/>
      <c r="AE95" s="6"/>
      <c r="AF95" s="6"/>
      <c r="AG95" s="6"/>
    </row>
    <row r="96" ht="30" customHeight="1" spans="1:33">
      <c r="A96" s="10"/>
      <c r="B96" s="7">
        <v>45784</v>
      </c>
      <c r="C96" s="6" t="str">
        <f t="shared" si="2"/>
        <v>2025年5月</v>
      </c>
      <c r="D96" s="40" t="s">
        <v>39</v>
      </c>
      <c r="E96" s="41" t="s">
        <v>4473</v>
      </c>
      <c r="F96" s="6" t="s">
        <v>11</v>
      </c>
      <c r="G96" s="50" t="s">
        <v>2954</v>
      </c>
      <c r="H96" s="40" t="s">
        <v>4249</v>
      </c>
      <c r="I96" s="50" t="s">
        <v>82</v>
      </c>
      <c r="J96" s="50" t="s">
        <v>4190</v>
      </c>
      <c r="K96" s="8" t="s">
        <v>2844</v>
      </c>
      <c r="L96" s="6" t="s">
        <v>2845</v>
      </c>
      <c r="M96" s="61"/>
      <c r="N96" s="6" t="s">
        <v>4474</v>
      </c>
      <c r="O96" s="6" t="s">
        <v>4471</v>
      </c>
      <c r="P96" s="61">
        <v>10114.96</v>
      </c>
      <c r="Q96" s="6" t="s">
        <v>173</v>
      </c>
      <c r="R96" s="50" t="s">
        <v>4319</v>
      </c>
      <c r="S96" s="50" t="s">
        <v>4215</v>
      </c>
      <c r="T96" s="50" t="s">
        <v>3506</v>
      </c>
      <c r="U96" s="6" t="s">
        <v>261</v>
      </c>
      <c r="V96" s="6" t="s">
        <v>4472</v>
      </c>
      <c r="W96" s="6"/>
      <c r="X96" s="6"/>
      <c r="Y96" s="6"/>
      <c r="Z96" s="6"/>
      <c r="AA96" s="6"/>
      <c r="AB96" s="6"/>
      <c r="AC96" s="6"/>
      <c r="AD96" s="6"/>
      <c r="AE96" s="6"/>
      <c r="AF96" s="6"/>
      <c r="AG96" s="6"/>
    </row>
    <row r="97" ht="30" customHeight="1" spans="1:33">
      <c r="A97" s="6" t="s">
        <v>78</v>
      </c>
      <c r="B97" s="7">
        <v>45789</v>
      </c>
      <c r="C97" s="6" t="str">
        <f t="shared" si="2"/>
        <v>2025年5月</v>
      </c>
      <c r="D97" s="40" t="s">
        <v>40</v>
      </c>
      <c r="E97" s="6" t="s">
        <v>4475</v>
      </c>
      <c r="F97" s="6" t="s">
        <v>10</v>
      </c>
      <c r="G97" s="50" t="s">
        <v>2954</v>
      </c>
      <c r="H97" s="40"/>
      <c r="I97" s="50" t="s">
        <v>82</v>
      </c>
      <c r="J97" s="50" t="s">
        <v>4176</v>
      </c>
      <c r="K97" s="8" t="s">
        <v>1430</v>
      </c>
      <c r="L97" s="6" t="s">
        <v>1432</v>
      </c>
      <c r="M97" s="61" t="s">
        <v>1005</v>
      </c>
      <c r="N97" s="6" t="s">
        <v>4476</v>
      </c>
      <c r="O97" s="6" t="s">
        <v>4477</v>
      </c>
      <c r="P97" s="61">
        <v>500</v>
      </c>
      <c r="Q97" s="6" t="s">
        <v>149</v>
      </c>
      <c r="R97" s="50" t="s">
        <v>4319</v>
      </c>
      <c r="S97" s="50" t="s">
        <v>4215</v>
      </c>
      <c r="T97" s="50" t="s">
        <v>3506</v>
      </c>
      <c r="U97" s="6" t="s">
        <v>85</v>
      </c>
      <c r="V97" s="6"/>
      <c r="W97" s="6"/>
      <c r="X97" s="6"/>
      <c r="Y97" s="6"/>
      <c r="Z97" s="6"/>
      <c r="AA97" s="6"/>
      <c r="AB97" s="6"/>
      <c r="AC97" s="6"/>
      <c r="AD97" s="6"/>
      <c r="AE97" s="6"/>
      <c r="AF97" s="6"/>
      <c r="AG97" s="6"/>
    </row>
    <row r="98" ht="30" customHeight="1" spans="1:33">
      <c r="A98" s="6" t="s">
        <v>78</v>
      </c>
      <c r="B98" s="7">
        <v>45791</v>
      </c>
      <c r="C98" s="6" t="str">
        <f t="shared" si="2"/>
        <v>2025年5月</v>
      </c>
      <c r="D98" s="40" t="s">
        <v>40</v>
      </c>
      <c r="E98" s="6" t="s">
        <v>4478</v>
      </c>
      <c r="F98" s="6" t="s">
        <v>10</v>
      </c>
      <c r="G98" s="50" t="s">
        <v>4169</v>
      </c>
      <c r="H98" s="40"/>
      <c r="I98" s="50" t="s">
        <v>82</v>
      </c>
      <c r="J98" s="50" t="s">
        <v>4176</v>
      </c>
      <c r="K98" s="8" t="s">
        <v>4479</v>
      </c>
      <c r="L98" s="41" t="s">
        <v>4480</v>
      </c>
      <c r="M98" s="61" t="s">
        <v>4481</v>
      </c>
      <c r="N98" s="6" t="s">
        <v>4482</v>
      </c>
      <c r="O98" s="6" t="s">
        <v>1023</v>
      </c>
      <c r="P98" s="61">
        <v>82.74</v>
      </c>
      <c r="Q98" s="6" t="s">
        <v>149</v>
      </c>
      <c r="R98" s="50" t="s">
        <v>4253</v>
      </c>
      <c r="S98" s="50" t="s">
        <v>4215</v>
      </c>
      <c r="T98" s="50" t="s">
        <v>3506</v>
      </c>
      <c r="U98" s="6" t="s">
        <v>136</v>
      </c>
      <c r="V98" s="6"/>
      <c r="W98" s="6"/>
      <c r="X98" s="6"/>
      <c r="Y98" s="6"/>
      <c r="Z98" s="6"/>
      <c r="AA98" s="6"/>
      <c r="AB98" s="6"/>
      <c r="AC98" s="6"/>
      <c r="AD98" s="6"/>
      <c r="AE98" s="6"/>
      <c r="AF98" s="6"/>
      <c r="AG98" s="6"/>
    </row>
    <row r="99" ht="30" customHeight="1" spans="1:33">
      <c r="A99" s="6" t="s">
        <v>78</v>
      </c>
      <c r="B99" s="7">
        <v>45793</v>
      </c>
      <c r="C99" s="6" t="str">
        <f t="shared" si="2"/>
        <v>2025年5月</v>
      </c>
      <c r="D99" s="40" t="s">
        <v>40</v>
      </c>
      <c r="E99" s="6" t="s">
        <v>4483</v>
      </c>
      <c r="F99" s="6" t="s">
        <v>10</v>
      </c>
      <c r="G99" s="50" t="s">
        <v>4169</v>
      </c>
      <c r="H99" s="40" t="s">
        <v>50</v>
      </c>
      <c r="I99" s="50" t="s">
        <v>82</v>
      </c>
      <c r="J99" s="50" t="s">
        <v>4176</v>
      </c>
      <c r="K99" s="8" t="s">
        <v>4250</v>
      </c>
      <c r="L99" s="6" t="s">
        <v>4251</v>
      </c>
      <c r="M99" s="61" t="s">
        <v>1005</v>
      </c>
      <c r="N99" s="6" t="s">
        <v>4484</v>
      </c>
      <c r="O99" s="6"/>
      <c r="P99" s="61">
        <v>310</v>
      </c>
      <c r="Q99" s="6" t="s">
        <v>139</v>
      </c>
      <c r="R99" s="50" t="s">
        <v>4319</v>
      </c>
      <c r="S99" s="50" t="s">
        <v>4215</v>
      </c>
      <c r="T99" s="50" t="s">
        <v>3506</v>
      </c>
      <c r="U99" s="6" t="s">
        <v>85</v>
      </c>
      <c r="V99" s="6" t="s">
        <v>4485</v>
      </c>
      <c r="W99" s="6"/>
      <c r="X99" s="6"/>
      <c r="Y99" s="6"/>
      <c r="Z99" s="6"/>
      <c r="AA99" s="6"/>
      <c r="AB99" s="6"/>
      <c r="AC99" s="6"/>
      <c r="AD99" s="6"/>
      <c r="AE99" s="6"/>
      <c r="AF99" s="6"/>
      <c r="AG99" s="6"/>
    </row>
    <row r="100" ht="30" customHeight="1" spans="1:33">
      <c r="A100" s="6" t="s">
        <v>78</v>
      </c>
      <c r="B100" s="7">
        <v>45793</v>
      </c>
      <c r="C100" s="6" t="str">
        <f t="shared" si="2"/>
        <v>2025年5月</v>
      </c>
      <c r="D100" s="40" t="s">
        <v>40</v>
      </c>
      <c r="E100" s="6" t="s">
        <v>4486</v>
      </c>
      <c r="F100" s="6" t="s">
        <v>10</v>
      </c>
      <c r="G100" s="50" t="s">
        <v>4169</v>
      </c>
      <c r="H100" s="40" t="s">
        <v>50</v>
      </c>
      <c r="I100" s="50" t="s">
        <v>82</v>
      </c>
      <c r="J100" s="50" t="s">
        <v>4176</v>
      </c>
      <c r="K100" s="8" t="s">
        <v>4250</v>
      </c>
      <c r="L100" s="6" t="s">
        <v>4251</v>
      </c>
      <c r="M100" s="61" t="s">
        <v>1005</v>
      </c>
      <c r="N100" s="6" t="s">
        <v>4487</v>
      </c>
      <c r="O100" s="6"/>
      <c r="P100" s="61">
        <v>75</v>
      </c>
      <c r="Q100" s="6" t="s">
        <v>139</v>
      </c>
      <c r="R100" s="50" t="s">
        <v>4319</v>
      </c>
      <c r="S100" s="50" t="s">
        <v>4215</v>
      </c>
      <c r="T100" s="50" t="s">
        <v>3506</v>
      </c>
      <c r="U100" s="6" t="s">
        <v>85</v>
      </c>
      <c r="V100" s="6" t="s">
        <v>4485</v>
      </c>
      <c r="W100" s="6"/>
      <c r="X100" s="6"/>
      <c r="Y100" s="6"/>
      <c r="Z100" s="6"/>
      <c r="AA100" s="6"/>
      <c r="AB100" s="6"/>
      <c r="AC100" s="6"/>
      <c r="AD100" s="6"/>
      <c r="AE100" s="6"/>
      <c r="AF100" s="6"/>
      <c r="AG100" s="6"/>
    </row>
    <row r="101" ht="30" customHeight="1" spans="1:33">
      <c r="A101" s="6" t="s">
        <v>78</v>
      </c>
      <c r="B101" s="7">
        <v>45793</v>
      </c>
      <c r="C101" s="6" t="str">
        <f t="shared" si="2"/>
        <v>2025年5月</v>
      </c>
      <c r="D101" s="40" t="s">
        <v>40</v>
      </c>
      <c r="E101" s="6" t="s">
        <v>4488</v>
      </c>
      <c r="F101" s="6" t="s">
        <v>10</v>
      </c>
      <c r="G101" s="50" t="s">
        <v>4169</v>
      </c>
      <c r="H101" s="40"/>
      <c r="I101" s="50" t="s">
        <v>82</v>
      </c>
      <c r="J101" s="50" t="s">
        <v>4176</v>
      </c>
      <c r="K101" s="8" t="s">
        <v>3262</v>
      </c>
      <c r="L101" s="6" t="s">
        <v>3263</v>
      </c>
      <c r="M101" s="61" t="s">
        <v>4481</v>
      </c>
      <c r="N101" s="6" t="s">
        <v>4489</v>
      </c>
      <c r="O101" s="6" t="s">
        <v>1023</v>
      </c>
      <c r="P101" s="61">
        <v>83.36</v>
      </c>
      <c r="Q101" s="6" t="s">
        <v>149</v>
      </c>
      <c r="R101" s="50" t="s">
        <v>4319</v>
      </c>
      <c r="S101" s="50" t="s">
        <v>4215</v>
      </c>
      <c r="T101" s="50" t="s">
        <v>3506</v>
      </c>
      <c r="U101" s="6" t="s">
        <v>85</v>
      </c>
      <c r="V101" s="6"/>
      <c r="W101" s="6"/>
      <c r="X101" s="6"/>
      <c r="Y101" s="6"/>
      <c r="Z101" s="6"/>
      <c r="AA101" s="6"/>
      <c r="AB101" s="6"/>
      <c r="AC101" s="6"/>
      <c r="AD101" s="6"/>
      <c r="AE101" s="6"/>
      <c r="AF101" s="6"/>
      <c r="AG101" s="6"/>
    </row>
    <row r="102" ht="30" customHeight="1" spans="1:33">
      <c r="A102" s="6" t="s">
        <v>142</v>
      </c>
      <c r="B102" s="7">
        <v>45797</v>
      </c>
      <c r="C102" s="6" t="str">
        <f t="shared" si="2"/>
        <v>2025年5月</v>
      </c>
      <c r="D102" s="40" t="s">
        <v>39</v>
      </c>
      <c r="E102" s="6" t="s">
        <v>2857</v>
      </c>
      <c r="F102" s="6" t="s">
        <v>12</v>
      </c>
      <c r="G102" s="50" t="s">
        <v>2954</v>
      </c>
      <c r="H102" s="40" t="s">
        <v>4249</v>
      </c>
      <c r="I102" s="50" t="s">
        <v>82</v>
      </c>
      <c r="J102" s="50" t="s">
        <v>4176</v>
      </c>
      <c r="K102" s="8" t="s">
        <v>2858</v>
      </c>
      <c r="L102" s="6" t="s">
        <v>2859</v>
      </c>
      <c r="M102" s="61"/>
      <c r="N102" s="6" t="s">
        <v>4490</v>
      </c>
      <c r="O102" s="6" t="s">
        <v>4491</v>
      </c>
      <c r="P102" s="61">
        <v>22500</v>
      </c>
      <c r="Q102" s="6" t="s">
        <v>173</v>
      </c>
      <c r="R102" s="50" t="s">
        <v>4319</v>
      </c>
      <c r="S102" s="50" t="s">
        <v>4215</v>
      </c>
      <c r="T102" s="50" t="s">
        <v>3506</v>
      </c>
      <c r="U102" s="6" t="s">
        <v>129</v>
      </c>
      <c r="V102" s="6"/>
      <c r="W102" s="6"/>
      <c r="X102" s="6"/>
      <c r="Y102" s="6"/>
      <c r="Z102" s="6"/>
      <c r="AA102" s="6"/>
      <c r="AB102" s="6"/>
      <c r="AC102" s="6"/>
      <c r="AD102" s="6"/>
      <c r="AE102" s="6"/>
      <c r="AF102" s="6"/>
      <c r="AG102" s="6"/>
    </row>
    <row r="103" ht="30" customHeight="1" spans="1:33">
      <c r="A103" s="6" t="s">
        <v>78</v>
      </c>
      <c r="B103" s="7">
        <v>45799</v>
      </c>
      <c r="C103" s="6" t="str">
        <f t="shared" si="2"/>
        <v>2025年5月</v>
      </c>
      <c r="D103" s="40" t="s">
        <v>40</v>
      </c>
      <c r="E103" s="6" t="s">
        <v>4492</v>
      </c>
      <c r="F103" s="6" t="s">
        <v>10</v>
      </c>
      <c r="G103" s="50" t="s">
        <v>4169</v>
      </c>
      <c r="H103" s="40"/>
      <c r="I103" s="50" t="s">
        <v>82</v>
      </c>
      <c r="J103" s="50" t="s">
        <v>4176</v>
      </c>
      <c r="K103" s="8" t="s">
        <v>1375</v>
      </c>
      <c r="L103" s="6" t="s">
        <v>1447</v>
      </c>
      <c r="M103" s="61" t="s">
        <v>1005</v>
      </c>
      <c r="N103" s="8" t="s">
        <v>4493</v>
      </c>
      <c r="O103" s="6" t="s">
        <v>4494</v>
      </c>
      <c r="P103" s="61">
        <v>100</v>
      </c>
      <c r="Q103" s="6" t="s">
        <v>139</v>
      </c>
      <c r="R103" s="50" t="s">
        <v>4253</v>
      </c>
      <c r="S103" s="50" t="s">
        <v>4215</v>
      </c>
      <c r="T103" s="50" t="s">
        <v>3506</v>
      </c>
      <c r="U103" s="6" t="s">
        <v>85</v>
      </c>
      <c r="V103" s="6"/>
      <c r="W103" s="6"/>
      <c r="X103" s="6"/>
      <c r="Y103" s="6"/>
      <c r="Z103" s="6"/>
      <c r="AA103" s="6"/>
      <c r="AB103" s="6"/>
      <c r="AC103" s="6"/>
      <c r="AD103" s="6"/>
      <c r="AE103" s="6"/>
      <c r="AF103" s="6"/>
      <c r="AG103" s="6"/>
    </row>
    <row r="104" ht="30" customHeight="1" spans="1:33">
      <c r="A104" s="6" t="s">
        <v>78</v>
      </c>
      <c r="B104" s="7">
        <v>45799</v>
      </c>
      <c r="C104" s="6" t="str">
        <f t="shared" si="2"/>
        <v>2025年5月</v>
      </c>
      <c r="D104" s="40" t="s">
        <v>40</v>
      </c>
      <c r="E104" s="41" t="s">
        <v>4495</v>
      </c>
      <c r="F104" s="6" t="s">
        <v>10</v>
      </c>
      <c r="G104" s="50" t="s">
        <v>2954</v>
      </c>
      <c r="H104" s="40" t="s">
        <v>4256</v>
      </c>
      <c r="I104" s="50" t="s">
        <v>82</v>
      </c>
      <c r="J104" s="50" t="s">
        <v>4176</v>
      </c>
      <c r="K104" s="8" t="s">
        <v>4496</v>
      </c>
      <c r="L104" s="41" t="s">
        <v>4497</v>
      </c>
      <c r="M104" s="61" t="s">
        <v>4498</v>
      </c>
      <c r="N104" s="8" t="s">
        <v>4499</v>
      </c>
      <c r="O104" s="6" t="s">
        <v>4500</v>
      </c>
      <c r="P104" s="61">
        <v>300</v>
      </c>
      <c r="Q104" s="6" t="s">
        <v>139</v>
      </c>
      <c r="R104" s="50" t="s">
        <v>4253</v>
      </c>
      <c r="S104" s="50" t="s">
        <v>4215</v>
      </c>
      <c r="T104" s="50" t="s">
        <v>3557</v>
      </c>
      <c r="U104" s="6" t="s">
        <v>85</v>
      </c>
      <c r="V104" s="6"/>
      <c r="W104" s="6"/>
      <c r="X104" s="6"/>
      <c r="Y104" s="6"/>
      <c r="Z104" s="6"/>
      <c r="AA104" s="6"/>
      <c r="AB104" s="6"/>
      <c r="AC104" s="6"/>
      <c r="AD104" s="6"/>
      <c r="AE104" s="6"/>
      <c r="AF104" s="6"/>
      <c r="AG104" s="6"/>
    </row>
    <row r="105" ht="30" customHeight="1" spans="1:33">
      <c r="A105" s="6" t="s">
        <v>207</v>
      </c>
      <c r="B105" s="7">
        <v>45812</v>
      </c>
      <c r="C105" s="6" t="str">
        <f t="shared" si="2"/>
        <v>2025年6月</v>
      </c>
      <c r="D105" s="40" t="s">
        <v>39</v>
      </c>
      <c r="E105" s="41" t="s">
        <v>4501</v>
      </c>
      <c r="F105" s="6" t="s">
        <v>11</v>
      </c>
      <c r="G105" s="50" t="s">
        <v>2954</v>
      </c>
      <c r="H105" s="40" t="s">
        <v>2886</v>
      </c>
      <c r="I105" s="50" t="s">
        <v>82</v>
      </c>
      <c r="J105" s="50" t="s">
        <v>4190</v>
      </c>
      <c r="K105" s="8" t="s">
        <v>2844</v>
      </c>
      <c r="L105" s="6" t="s">
        <v>2845</v>
      </c>
      <c r="M105" s="61"/>
      <c r="N105" s="6" t="s">
        <v>4502</v>
      </c>
      <c r="O105" s="6" t="s">
        <v>4503</v>
      </c>
      <c r="P105" s="76">
        <v>103078.45</v>
      </c>
      <c r="Q105" s="6" t="s">
        <v>1567</v>
      </c>
      <c r="R105" s="50" t="s">
        <v>4319</v>
      </c>
      <c r="S105" s="50" t="s">
        <v>4173</v>
      </c>
      <c r="T105" s="50" t="s">
        <v>3506</v>
      </c>
      <c r="U105" s="6" t="s">
        <v>261</v>
      </c>
      <c r="V105" s="6"/>
      <c r="W105" s="6"/>
      <c r="X105" s="6"/>
      <c r="Y105" s="6"/>
      <c r="Z105" s="6"/>
      <c r="AA105" s="6" t="s">
        <v>4504</v>
      </c>
      <c r="AB105" s="6"/>
      <c r="AC105" s="6"/>
      <c r="AD105" s="6"/>
      <c r="AE105" s="6"/>
      <c r="AF105" s="6"/>
      <c r="AG105" s="6"/>
    </row>
    <row r="106" ht="30" customHeight="1" spans="1:33">
      <c r="A106" s="6" t="s">
        <v>207</v>
      </c>
      <c r="B106" s="7">
        <v>45812</v>
      </c>
      <c r="C106" s="6" t="str">
        <f t="shared" si="2"/>
        <v>2025年6月</v>
      </c>
      <c r="D106" s="40" t="s">
        <v>39</v>
      </c>
      <c r="E106" s="6" t="s">
        <v>4505</v>
      </c>
      <c r="F106" s="6" t="s">
        <v>11</v>
      </c>
      <c r="G106" s="50" t="s">
        <v>2954</v>
      </c>
      <c r="H106" s="40" t="s">
        <v>2886</v>
      </c>
      <c r="I106" s="50" t="s">
        <v>82</v>
      </c>
      <c r="J106" s="50" t="s">
        <v>4190</v>
      </c>
      <c r="K106" s="8" t="s">
        <v>2844</v>
      </c>
      <c r="L106" s="6" t="s">
        <v>2845</v>
      </c>
      <c r="M106" s="61"/>
      <c r="N106" s="6" t="s">
        <v>4506</v>
      </c>
      <c r="O106" s="6" t="s">
        <v>4503</v>
      </c>
      <c r="P106" s="76">
        <v>71609.27</v>
      </c>
      <c r="Q106" s="6" t="s">
        <v>1567</v>
      </c>
      <c r="R106" s="50" t="s">
        <v>4319</v>
      </c>
      <c r="S106" s="50" t="s">
        <v>4173</v>
      </c>
      <c r="T106" s="50" t="s">
        <v>3506</v>
      </c>
      <c r="U106" s="6" t="s">
        <v>261</v>
      </c>
      <c r="V106" s="6"/>
      <c r="W106" s="6"/>
      <c r="X106" s="6"/>
      <c r="Y106" s="6"/>
      <c r="Z106" s="6"/>
      <c r="AB106" s="6"/>
      <c r="AC106" s="6"/>
      <c r="AD106" s="6"/>
      <c r="AE106" s="6"/>
      <c r="AF106" s="6"/>
      <c r="AG106" s="6"/>
    </row>
    <row r="107" ht="30" customHeight="1" spans="1:33">
      <c r="A107" s="6" t="s">
        <v>207</v>
      </c>
      <c r="B107" s="7">
        <v>45812</v>
      </c>
      <c r="C107" s="6" t="str">
        <f t="shared" si="2"/>
        <v>2025年6月</v>
      </c>
      <c r="D107" s="40" t="s">
        <v>39</v>
      </c>
      <c r="E107" s="6" t="s">
        <v>4507</v>
      </c>
      <c r="F107" s="6" t="s">
        <v>11</v>
      </c>
      <c r="G107" s="50" t="s">
        <v>2954</v>
      </c>
      <c r="H107" s="40" t="s">
        <v>50</v>
      </c>
      <c r="I107" s="50" t="s">
        <v>82</v>
      </c>
      <c r="J107" s="50" t="s">
        <v>4176</v>
      </c>
      <c r="K107" s="8" t="s">
        <v>4508</v>
      </c>
      <c r="L107" s="6" t="s">
        <v>4509</v>
      </c>
      <c r="M107" s="61"/>
      <c r="N107" s="6" t="s">
        <v>4510</v>
      </c>
      <c r="O107" s="6" t="s">
        <v>4511</v>
      </c>
      <c r="P107" s="76">
        <v>50000</v>
      </c>
      <c r="Q107" s="6" t="s">
        <v>1567</v>
      </c>
      <c r="R107" s="50" t="s">
        <v>4319</v>
      </c>
      <c r="S107" s="50" t="s">
        <v>4173</v>
      </c>
      <c r="T107" s="50" t="s">
        <v>3506</v>
      </c>
      <c r="U107" s="6" t="s">
        <v>270</v>
      </c>
      <c r="V107" s="6" t="s">
        <v>4512</v>
      </c>
      <c r="W107" s="6"/>
      <c r="X107" s="6"/>
      <c r="Y107" s="6"/>
      <c r="Z107" s="6"/>
      <c r="AA107" s="6" t="s">
        <v>4513</v>
      </c>
      <c r="AB107" s="6"/>
      <c r="AC107" s="6"/>
      <c r="AD107" s="6"/>
      <c r="AE107" s="6"/>
      <c r="AF107" s="6"/>
      <c r="AG107" s="6"/>
    </row>
    <row r="108" ht="30" customHeight="1" spans="1:33">
      <c r="A108" s="6" t="s">
        <v>78</v>
      </c>
      <c r="B108" s="7">
        <v>45813</v>
      </c>
      <c r="C108" s="6" t="str">
        <f t="shared" si="2"/>
        <v>2025年6月</v>
      </c>
      <c r="D108" s="40" t="s">
        <v>40</v>
      </c>
      <c r="E108" s="6" t="s">
        <v>4514</v>
      </c>
      <c r="F108" s="6" t="s">
        <v>10</v>
      </c>
      <c r="G108" s="50" t="s">
        <v>2954</v>
      </c>
      <c r="H108" s="40" t="s">
        <v>4515</v>
      </c>
      <c r="I108" s="50" t="s">
        <v>82</v>
      </c>
      <c r="J108" s="50" t="s">
        <v>4176</v>
      </c>
      <c r="K108" s="8" t="s">
        <v>1550</v>
      </c>
      <c r="L108" s="6" t="s">
        <v>1553</v>
      </c>
      <c r="M108" s="61" t="s">
        <v>1005</v>
      </c>
      <c r="N108" s="6" t="s">
        <v>4516</v>
      </c>
      <c r="O108" s="6" t="s">
        <v>4517</v>
      </c>
      <c r="P108" s="61">
        <v>9983.43</v>
      </c>
      <c r="Q108" s="6" t="s">
        <v>173</v>
      </c>
      <c r="R108" s="50" t="s">
        <v>4253</v>
      </c>
      <c r="S108" s="50" t="s">
        <v>4215</v>
      </c>
      <c r="T108" s="50" t="s">
        <v>3506</v>
      </c>
      <c r="U108" s="6" t="s">
        <v>120</v>
      </c>
      <c r="V108" s="6" t="s">
        <v>4518</v>
      </c>
      <c r="W108" s="6"/>
      <c r="X108" s="6"/>
      <c r="Y108" s="6"/>
      <c r="Z108" s="6"/>
      <c r="AA108" s="6"/>
      <c r="AB108" s="6"/>
      <c r="AC108" s="6"/>
      <c r="AD108" s="6"/>
      <c r="AE108" s="6"/>
      <c r="AF108" s="6"/>
      <c r="AG108" s="6"/>
    </row>
    <row r="109" ht="30" customHeight="1" spans="1:33">
      <c r="A109" s="6" t="s">
        <v>207</v>
      </c>
      <c r="B109" s="7">
        <v>45818</v>
      </c>
      <c r="C109" s="6" t="str">
        <f t="shared" si="2"/>
        <v>2025年6月</v>
      </c>
      <c r="D109" s="40" t="s">
        <v>39</v>
      </c>
      <c r="E109" s="77" t="s">
        <v>4519</v>
      </c>
      <c r="F109" s="6" t="s">
        <v>11</v>
      </c>
      <c r="G109" s="50" t="s">
        <v>2954</v>
      </c>
      <c r="H109" s="40" t="s">
        <v>2886</v>
      </c>
      <c r="I109" s="50" t="s">
        <v>82</v>
      </c>
      <c r="J109" s="50" t="s">
        <v>4190</v>
      </c>
      <c r="K109" s="8" t="s">
        <v>2844</v>
      </c>
      <c r="L109" s="6" t="s">
        <v>2845</v>
      </c>
      <c r="M109" s="61"/>
      <c r="N109" s="6" t="s">
        <v>4520</v>
      </c>
      <c r="O109" s="6" t="s">
        <v>4503</v>
      </c>
      <c r="P109" s="76">
        <v>23577.58</v>
      </c>
      <c r="Q109" s="6" t="s">
        <v>149</v>
      </c>
      <c r="R109" s="50" t="s">
        <v>4319</v>
      </c>
      <c r="S109" s="50" t="s">
        <v>4173</v>
      </c>
      <c r="T109" s="50" t="s">
        <v>3506</v>
      </c>
      <c r="U109" s="6" t="s">
        <v>261</v>
      </c>
      <c r="V109" s="6"/>
      <c r="W109" s="6"/>
      <c r="X109" s="6"/>
      <c r="Y109" s="6"/>
      <c r="Z109" s="6"/>
      <c r="AA109" s="6" t="s">
        <v>4521</v>
      </c>
      <c r="AB109" s="6"/>
      <c r="AC109" s="6"/>
      <c r="AD109" s="6"/>
      <c r="AE109" s="6"/>
      <c r="AF109" s="6"/>
      <c r="AG109" s="6"/>
    </row>
    <row r="110" ht="30" customHeight="1" spans="1:33">
      <c r="A110" s="69" t="s">
        <v>4522</v>
      </c>
      <c r="B110" s="78">
        <v>45832</v>
      </c>
      <c r="C110" s="69" t="str">
        <f t="shared" si="2"/>
        <v>2025年6月</v>
      </c>
      <c r="D110" s="79" t="s">
        <v>40</v>
      </c>
      <c r="E110" s="80" t="s">
        <v>4523</v>
      </c>
      <c r="F110" s="69" t="s">
        <v>10</v>
      </c>
      <c r="G110" s="81" t="s">
        <v>4169</v>
      </c>
      <c r="H110" s="79"/>
      <c r="I110" s="50" t="s">
        <v>82</v>
      </c>
      <c r="J110" s="81" t="s">
        <v>4190</v>
      </c>
      <c r="K110" s="82"/>
      <c r="L110" s="69"/>
      <c r="M110" s="83"/>
      <c r="N110" s="69"/>
      <c r="O110" s="69"/>
      <c r="P110" s="84"/>
      <c r="Q110" s="69"/>
      <c r="R110" s="81"/>
      <c r="S110" s="81"/>
      <c r="T110" s="81"/>
      <c r="U110" s="69"/>
      <c r="V110" s="69"/>
      <c r="W110" s="69"/>
      <c r="X110" s="69"/>
      <c r="Y110" s="69"/>
      <c r="Z110" s="69"/>
      <c r="AA110" s="69"/>
      <c r="AB110" s="69"/>
      <c r="AC110" s="69"/>
      <c r="AD110" s="69"/>
      <c r="AE110" s="69"/>
      <c r="AF110" s="69"/>
      <c r="AG110" s="69"/>
    </row>
    <row r="111" ht="30" customHeight="1" spans="1:33">
      <c r="A111" s="6" t="s">
        <v>78</v>
      </c>
      <c r="B111" s="7">
        <v>45833</v>
      </c>
      <c r="C111" s="6" t="str">
        <f t="shared" si="2"/>
        <v>2025年6月</v>
      </c>
      <c r="D111" s="40" t="s">
        <v>40</v>
      </c>
      <c r="E111" s="6" t="s">
        <v>4524</v>
      </c>
      <c r="F111" s="6" t="s">
        <v>10</v>
      </c>
      <c r="G111" s="50" t="s">
        <v>4169</v>
      </c>
      <c r="H111" s="40"/>
      <c r="I111" s="50" t="s">
        <v>82</v>
      </c>
      <c r="J111" s="50" t="s">
        <v>4176</v>
      </c>
      <c r="K111" s="8" t="s">
        <v>4525</v>
      </c>
      <c r="L111" s="6" t="s">
        <v>4526</v>
      </c>
      <c r="M111" s="61" t="s">
        <v>4527</v>
      </c>
      <c r="N111" s="6" t="s">
        <v>4528</v>
      </c>
      <c r="O111" s="6" t="s">
        <v>1023</v>
      </c>
      <c r="P111" s="61">
        <v>59.14</v>
      </c>
      <c r="Q111" s="6" t="s">
        <v>149</v>
      </c>
      <c r="R111" s="50" t="s">
        <v>4253</v>
      </c>
      <c r="S111" s="50" t="s">
        <v>4215</v>
      </c>
      <c r="T111" s="50" t="s">
        <v>3506</v>
      </c>
      <c r="U111" s="6" t="s">
        <v>540</v>
      </c>
      <c r="V111" s="6"/>
      <c r="W111" s="6"/>
      <c r="X111" s="6"/>
      <c r="Y111" s="6"/>
      <c r="Z111" s="6"/>
      <c r="AA111" s="6"/>
      <c r="AB111" s="6"/>
      <c r="AC111" s="6"/>
      <c r="AD111" s="6"/>
      <c r="AE111" s="6"/>
      <c r="AF111" s="6"/>
      <c r="AG111" s="6"/>
    </row>
    <row r="112" ht="30" customHeight="1" spans="1:33">
      <c r="A112" s="6" t="s">
        <v>207</v>
      </c>
      <c r="B112" s="7">
        <v>45833</v>
      </c>
      <c r="C112" s="6" t="str">
        <f t="shared" si="2"/>
        <v>2025年6月</v>
      </c>
      <c r="D112" s="40" t="s">
        <v>40</v>
      </c>
      <c r="E112" s="6" t="s">
        <v>4529</v>
      </c>
      <c r="F112" s="6" t="s">
        <v>11</v>
      </c>
      <c r="G112" s="50" t="s">
        <v>4169</v>
      </c>
      <c r="H112" s="40" t="s">
        <v>4515</v>
      </c>
      <c r="I112" s="50" t="s">
        <v>82</v>
      </c>
      <c r="J112" s="50" t="s">
        <v>4176</v>
      </c>
      <c r="K112" s="8" t="s">
        <v>1282</v>
      </c>
      <c r="L112" s="6" t="s">
        <v>1284</v>
      </c>
      <c r="M112" s="61"/>
      <c r="N112" s="6" t="s">
        <v>4530</v>
      </c>
      <c r="O112" s="6" t="s">
        <v>1283</v>
      </c>
      <c r="P112" s="61">
        <v>32560</v>
      </c>
      <c r="Q112" s="6" t="s">
        <v>149</v>
      </c>
      <c r="R112" s="50" t="s">
        <v>4319</v>
      </c>
      <c r="S112" s="50" t="s">
        <v>4215</v>
      </c>
      <c r="T112" s="50" t="s">
        <v>3506</v>
      </c>
      <c r="U112" s="6" t="s">
        <v>111</v>
      </c>
      <c r="V112" s="6" t="s">
        <v>4531</v>
      </c>
      <c r="W112" s="6"/>
      <c r="X112" s="6"/>
      <c r="Y112" s="6"/>
      <c r="Z112" s="6"/>
      <c r="AA112" s="6"/>
      <c r="AB112" s="6"/>
      <c r="AC112" s="6"/>
      <c r="AD112" s="6"/>
      <c r="AE112" s="6"/>
      <c r="AF112" s="6"/>
      <c r="AG112" s="6"/>
    </row>
    <row r="113" ht="30" customHeight="1" spans="1:33">
      <c r="A113" s="6" t="s">
        <v>142</v>
      </c>
      <c r="B113" s="7">
        <v>45833</v>
      </c>
      <c r="C113" s="6" t="str">
        <f t="shared" si="2"/>
        <v>2025年6月</v>
      </c>
      <c r="D113" s="40" t="s">
        <v>40</v>
      </c>
      <c r="E113" s="6" t="s">
        <v>4532</v>
      </c>
      <c r="F113" s="6" t="s">
        <v>11</v>
      </c>
      <c r="G113" s="50" t="s">
        <v>4169</v>
      </c>
      <c r="H113" s="40" t="s">
        <v>4249</v>
      </c>
      <c r="I113" s="50" t="s">
        <v>82</v>
      </c>
      <c r="J113" s="50" t="s">
        <v>4190</v>
      </c>
      <c r="K113" s="8" t="s">
        <v>4533</v>
      </c>
      <c r="L113" s="6" t="s">
        <v>4534</v>
      </c>
      <c r="M113" s="61"/>
      <c r="N113" s="6" t="s">
        <v>4535</v>
      </c>
      <c r="O113" s="6" t="s">
        <v>4536</v>
      </c>
      <c r="P113" s="61">
        <v>99190</v>
      </c>
      <c r="Q113" s="6" t="s">
        <v>149</v>
      </c>
      <c r="R113" s="50" t="s">
        <v>4319</v>
      </c>
      <c r="S113" s="50" t="s">
        <v>4215</v>
      </c>
      <c r="T113" s="50" t="s">
        <v>3506</v>
      </c>
      <c r="U113" s="6" t="s">
        <v>111</v>
      </c>
      <c r="V113" s="6"/>
      <c r="W113" s="6"/>
      <c r="X113" s="6"/>
      <c r="Y113" s="6"/>
      <c r="Z113" s="6"/>
      <c r="AA113" s="6"/>
      <c r="AB113" s="6"/>
      <c r="AC113" s="6"/>
      <c r="AD113" s="6"/>
      <c r="AE113" s="6"/>
      <c r="AF113" s="6"/>
      <c r="AG113" s="6"/>
    </row>
    <row r="114" ht="30" customHeight="1" spans="1:33">
      <c r="A114" s="6" t="s">
        <v>142</v>
      </c>
      <c r="B114" s="7">
        <v>45833</v>
      </c>
      <c r="C114" s="6" t="str">
        <f t="shared" si="2"/>
        <v>2025年6月</v>
      </c>
      <c r="D114" s="40" t="s">
        <v>40</v>
      </c>
      <c r="E114" s="6" t="s">
        <v>4537</v>
      </c>
      <c r="F114" s="6" t="s">
        <v>11</v>
      </c>
      <c r="G114" s="50" t="s">
        <v>4169</v>
      </c>
      <c r="H114" s="40" t="s">
        <v>4249</v>
      </c>
      <c r="I114" s="50" t="s">
        <v>82</v>
      </c>
      <c r="J114" s="50" t="s">
        <v>4190</v>
      </c>
      <c r="K114" s="59" t="s">
        <v>4533</v>
      </c>
      <c r="L114" s="6" t="s">
        <v>4534</v>
      </c>
      <c r="M114" s="61"/>
      <c r="N114" s="6" t="s">
        <v>4538</v>
      </c>
      <c r="O114" s="6" t="s">
        <v>4536</v>
      </c>
      <c r="P114" s="61">
        <v>99930</v>
      </c>
      <c r="Q114" s="6" t="s">
        <v>149</v>
      </c>
      <c r="R114" s="50" t="s">
        <v>4319</v>
      </c>
      <c r="S114" s="50" t="s">
        <v>4215</v>
      </c>
      <c r="T114" s="50" t="s">
        <v>3506</v>
      </c>
      <c r="U114" s="6" t="s">
        <v>111</v>
      </c>
      <c r="V114" s="6"/>
      <c r="W114" s="6"/>
      <c r="X114" s="6"/>
      <c r="Y114" s="6"/>
      <c r="Z114" s="6"/>
      <c r="AA114" s="6"/>
      <c r="AB114" s="6"/>
      <c r="AC114" s="6"/>
      <c r="AD114" s="6"/>
      <c r="AE114" s="6"/>
      <c r="AF114" s="6"/>
      <c r="AG114" s="6"/>
    </row>
    <row r="115" ht="30" customHeight="1" spans="1:33">
      <c r="A115" s="6" t="s">
        <v>142</v>
      </c>
      <c r="B115" s="7">
        <v>45833</v>
      </c>
      <c r="C115" s="6" t="str">
        <f t="shared" si="2"/>
        <v>2025年6月</v>
      </c>
      <c r="D115" s="40" t="s">
        <v>40</v>
      </c>
      <c r="E115" s="6" t="s">
        <v>4539</v>
      </c>
      <c r="F115" s="6" t="s">
        <v>11</v>
      </c>
      <c r="G115" s="50" t="s">
        <v>4169</v>
      </c>
      <c r="H115" s="40"/>
      <c r="I115" s="50" t="s">
        <v>82</v>
      </c>
      <c r="J115" s="50" t="s">
        <v>4176</v>
      </c>
      <c r="K115" s="8" t="s">
        <v>4540</v>
      </c>
      <c r="L115" s="6" t="s">
        <v>4541</v>
      </c>
      <c r="M115" s="61"/>
      <c r="N115" s="85" t="s">
        <v>4542</v>
      </c>
      <c r="O115" s="6" t="s">
        <v>4543</v>
      </c>
      <c r="P115" s="61">
        <v>30</v>
      </c>
      <c r="Q115" s="6" t="s">
        <v>149</v>
      </c>
      <c r="R115" s="50" t="s">
        <v>4319</v>
      </c>
      <c r="S115" s="50" t="s">
        <v>4215</v>
      </c>
      <c r="T115" s="50" t="s">
        <v>3506</v>
      </c>
      <c r="U115" s="6" t="s">
        <v>540</v>
      </c>
      <c r="V115" s="6" t="s">
        <v>4544</v>
      </c>
      <c r="W115" s="6"/>
      <c r="X115" s="6"/>
      <c r="Y115" s="6"/>
      <c r="Z115" s="6"/>
      <c r="AA115" s="6"/>
      <c r="AB115" s="6"/>
      <c r="AC115" s="6"/>
      <c r="AD115" s="6"/>
      <c r="AE115" s="6"/>
      <c r="AF115" s="6"/>
      <c r="AG115" s="6"/>
    </row>
    <row r="116" ht="30" customHeight="1" spans="1:33">
      <c r="A116" s="6" t="s">
        <v>142</v>
      </c>
      <c r="B116" s="7">
        <v>45833</v>
      </c>
      <c r="C116" s="6" t="str">
        <f t="shared" si="2"/>
        <v>2025年6月</v>
      </c>
      <c r="D116" s="40" t="s">
        <v>40</v>
      </c>
      <c r="E116" s="6" t="s">
        <v>4545</v>
      </c>
      <c r="F116" s="6" t="s">
        <v>11</v>
      </c>
      <c r="G116" s="50" t="s">
        <v>4169</v>
      </c>
      <c r="H116" s="40" t="s">
        <v>4249</v>
      </c>
      <c r="I116" s="50" t="s">
        <v>82</v>
      </c>
      <c r="J116" s="50" t="s">
        <v>4190</v>
      </c>
      <c r="K116" s="8" t="s">
        <v>4533</v>
      </c>
      <c r="L116" s="6" t="s">
        <v>4534</v>
      </c>
      <c r="M116" s="61"/>
      <c r="N116" s="6" t="s">
        <v>4546</v>
      </c>
      <c r="O116" s="6" t="s">
        <v>4536</v>
      </c>
      <c r="P116" s="61">
        <v>99666</v>
      </c>
      <c r="Q116" s="6" t="s">
        <v>149</v>
      </c>
      <c r="R116" s="50" t="s">
        <v>4319</v>
      </c>
      <c r="S116" s="50" t="s">
        <v>4215</v>
      </c>
      <c r="T116" s="50" t="s">
        <v>3506</v>
      </c>
      <c r="U116" s="6" t="s">
        <v>111</v>
      </c>
      <c r="V116" s="6"/>
      <c r="W116" s="6"/>
      <c r="X116" s="6"/>
      <c r="Y116" s="6"/>
      <c r="Z116" s="6"/>
      <c r="AA116" s="6"/>
      <c r="AB116" s="6"/>
      <c r="AC116" s="6"/>
      <c r="AD116" s="6"/>
      <c r="AE116" s="6"/>
      <c r="AF116" s="6"/>
      <c r="AG116" s="6"/>
    </row>
    <row r="117" ht="30" customHeight="1" spans="1:33">
      <c r="A117" s="6" t="s">
        <v>142</v>
      </c>
      <c r="B117" s="7">
        <v>45833</v>
      </c>
      <c r="C117" s="6" t="str">
        <f t="shared" si="2"/>
        <v>2025年6月</v>
      </c>
      <c r="D117" s="40" t="s">
        <v>40</v>
      </c>
      <c r="E117" s="6" t="s">
        <v>4547</v>
      </c>
      <c r="F117" s="6" t="s">
        <v>11</v>
      </c>
      <c r="G117" s="50" t="s">
        <v>4169</v>
      </c>
      <c r="H117" s="40" t="s">
        <v>4249</v>
      </c>
      <c r="I117" s="50" t="s">
        <v>82</v>
      </c>
      <c r="J117" s="50" t="s">
        <v>4190</v>
      </c>
      <c r="K117" s="8" t="s">
        <v>4533</v>
      </c>
      <c r="L117" s="6" t="s">
        <v>4534</v>
      </c>
      <c r="M117" s="61"/>
      <c r="N117" s="85" t="s">
        <v>4548</v>
      </c>
      <c r="O117" s="6" t="s">
        <v>4536</v>
      </c>
      <c r="P117" s="61">
        <v>95260</v>
      </c>
      <c r="Q117" s="6" t="s">
        <v>149</v>
      </c>
      <c r="R117" s="50" t="s">
        <v>4319</v>
      </c>
      <c r="S117" s="50" t="s">
        <v>4215</v>
      </c>
      <c r="T117" s="50" t="s">
        <v>3506</v>
      </c>
      <c r="U117" s="6" t="s">
        <v>111</v>
      </c>
      <c r="V117" s="6" t="s">
        <v>4549</v>
      </c>
      <c r="W117" s="6"/>
      <c r="X117" s="6"/>
      <c r="Y117" s="6"/>
      <c r="Z117" s="6"/>
      <c r="AA117" s="6"/>
      <c r="AB117" s="6"/>
      <c r="AC117" s="6"/>
      <c r="AD117" s="6"/>
      <c r="AE117" s="6"/>
      <c r="AF117" s="6"/>
      <c r="AG117" s="6"/>
    </row>
    <row r="118" ht="30" customHeight="1" spans="1:33">
      <c r="A118" s="6" t="s">
        <v>142</v>
      </c>
      <c r="B118" s="7">
        <v>45833</v>
      </c>
      <c r="C118" s="6" t="str">
        <f t="shared" si="2"/>
        <v>2025年6月</v>
      </c>
      <c r="D118" s="40" t="s">
        <v>40</v>
      </c>
      <c r="E118" s="6" t="s">
        <v>4550</v>
      </c>
      <c r="F118" s="6" t="s">
        <v>11</v>
      </c>
      <c r="G118" s="50" t="s">
        <v>4169</v>
      </c>
      <c r="H118" s="40" t="s">
        <v>4249</v>
      </c>
      <c r="I118" s="50" t="s">
        <v>82</v>
      </c>
      <c r="J118" s="50" t="s">
        <v>4190</v>
      </c>
      <c r="K118" s="8" t="s">
        <v>4533</v>
      </c>
      <c r="L118" s="6" t="s">
        <v>4534</v>
      </c>
      <c r="M118" s="61"/>
      <c r="N118" s="6" t="s">
        <v>4551</v>
      </c>
      <c r="O118" s="6" t="s">
        <v>4536</v>
      </c>
      <c r="P118" s="61">
        <v>99550</v>
      </c>
      <c r="Q118" s="6" t="s">
        <v>149</v>
      </c>
      <c r="R118" s="50" t="s">
        <v>4319</v>
      </c>
      <c r="S118" s="50" t="s">
        <v>4215</v>
      </c>
      <c r="T118" s="50" t="s">
        <v>3506</v>
      </c>
      <c r="U118" s="6" t="s">
        <v>111</v>
      </c>
      <c r="V118" s="6"/>
      <c r="W118" s="6"/>
      <c r="X118" s="6"/>
      <c r="Y118" s="6"/>
      <c r="Z118" s="6"/>
      <c r="AA118" s="6"/>
      <c r="AB118" s="6"/>
      <c r="AC118" s="6"/>
      <c r="AD118" s="6"/>
      <c r="AE118" s="6"/>
      <c r="AF118" s="6"/>
      <c r="AG118" s="6"/>
    </row>
    <row r="119" ht="30" customHeight="1" spans="1:33">
      <c r="A119" s="6" t="s">
        <v>78</v>
      </c>
      <c r="B119" s="7">
        <v>45838</v>
      </c>
      <c r="C119" s="6" t="str">
        <f t="shared" si="2"/>
        <v>2025年6月</v>
      </c>
      <c r="D119" s="40" t="s">
        <v>40</v>
      </c>
      <c r="E119" s="6" t="s">
        <v>4552</v>
      </c>
      <c r="F119" s="6" t="s">
        <v>10</v>
      </c>
      <c r="G119" s="50" t="s">
        <v>4169</v>
      </c>
      <c r="H119" s="40"/>
      <c r="I119" s="50" t="s">
        <v>82</v>
      </c>
      <c r="J119" s="50" t="s">
        <v>4176</v>
      </c>
      <c r="K119" s="8" t="s">
        <v>4553</v>
      </c>
      <c r="L119" s="6" t="s">
        <v>4554</v>
      </c>
      <c r="M119" s="61" t="s">
        <v>4555</v>
      </c>
      <c r="N119" s="6" t="s">
        <v>4556</v>
      </c>
      <c r="O119" s="6" t="s">
        <v>1023</v>
      </c>
      <c r="P119" s="61">
        <v>304.29</v>
      </c>
      <c r="Q119" s="6" t="s">
        <v>149</v>
      </c>
      <c r="R119" s="50" t="s">
        <v>4253</v>
      </c>
      <c r="S119" s="50" t="s">
        <v>4215</v>
      </c>
      <c r="T119" s="50" t="s">
        <v>3506</v>
      </c>
      <c r="U119" s="6" t="s">
        <v>161</v>
      </c>
      <c r="V119" s="6" t="s">
        <v>4557</v>
      </c>
      <c r="W119" s="6"/>
      <c r="X119" s="6"/>
      <c r="Y119" s="6"/>
      <c r="Z119" s="6"/>
      <c r="AA119" s="6"/>
      <c r="AB119" s="6"/>
      <c r="AC119" s="6"/>
      <c r="AD119" s="6"/>
      <c r="AE119" s="6"/>
      <c r="AF119" s="6"/>
      <c r="AG119" s="6"/>
    </row>
    <row r="120" ht="30" customHeight="1" spans="1:33">
      <c r="A120" s="6" t="s">
        <v>78</v>
      </c>
      <c r="B120" s="7">
        <v>45839</v>
      </c>
      <c r="C120" s="6" t="str">
        <f t="shared" si="2"/>
        <v>2025年7月</v>
      </c>
      <c r="D120" s="40" t="s">
        <v>40</v>
      </c>
      <c r="E120" s="6" t="s">
        <v>4558</v>
      </c>
      <c r="F120" s="6" t="s">
        <v>10</v>
      </c>
      <c r="G120" s="50" t="s">
        <v>2954</v>
      </c>
      <c r="H120" s="40"/>
      <c r="I120" s="50" t="s">
        <v>82</v>
      </c>
      <c r="J120" s="50" t="s">
        <v>4176</v>
      </c>
      <c r="K120" s="8" t="s">
        <v>665</v>
      </c>
      <c r="L120" s="6" t="s">
        <v>666</v>
      </c>
      <c r="M120" s="61" t="s">
        <v>1005</v>
      </c>
      <c r="N120" s="6" t="s">
        <v>4559</v>
      </c>
      <c r="O120" s="6" t="s">
        <v>4560</v>
      </c>
      <c r="P120" s="61">
        <v>19998</v>
      </c>
      <c r="Q120" s="6" t="s">
        <v>149</v>
      </c>
      <c r="R120" s="50" t="s">
        <v>4253</v>
      </c>
      <c r="S120" s="50" t="s">
        <v>4215</v>
      </c>
      <c r="T120" s="50" t="s">
        <v>3506</v>
      </c>
      <c r="U120" s="6" t="s">
        <v>186</v>
      </c>
      <c r="V120" s="6" t="s">
        <v>4262</v>
      </c>
      <c r="W120" s="6"/>
      <c r="X120" s="6"/>
      <c r="Y120" s="6"/>
      <c r="Z120" s="6"/>
      <c r="AA120" s="6"/>
      <c r="AB120" s="6"/>
      <c r="AC120" s="6"/>
      <c r="AD120" s="6"/>
      <c r="AE120" s="6"/>
      <c r="AF120" s="6"/>
      <c r="AG120" s="6"/>
    </row>
    <row r="121" ht="30" customHeight="1" spans="1:33">
      <c r="A121" s="6" t="s">
        <v>207</v>
      </c>
      <c r="B121" s="7">
        <v>45840</v>
      </c>
      <c r="C121" s="6" t="str">
        <f t="shared" si="2"/>
        <v>2025年7月</v>
      </c>
      <c r="D121" s="40" t="s">
        <v>40</v>
      </c>
      <c r="E121" s="6" t="s">
        <v>4561</v>
      </c>
      <c r="F121" s="6" t="s">
        <v>11</v>
      </c>
      <c r="G121" s="50" t="s">
        <v>2954</v>
      </c>
      <c r="H121" s="40" t="s">
        <v>4256</v>
      </c>
      <c r="I121" s="50" t="s">
        <v>82</v>
      </c>
      <c r="J121" s="50" t="s">
        <v>4176</v>
      </c>
      <c r="K121" s="8" t="s">
        <v>4562</v>
      </c>
      <c r="L121" s="6" t="s">
        <v>4563</v>
      </c>
      <c r="M121" s="61"/>
      <c r="N121" s="6" t="s">
        <v>4564</v>
      </c>
      <c r="O121" s="6" t="s">
        <v>4565</v>
      </c>
      <c r="P121" s="76">
        <v>13000</v>
      </c>
      <c r="Q121" s="6" t="s">
        <v>149</v>
      </c>
      <c r="R121" s="50" t="s">
        <v>4319</v>
      </c>
      <c r="S121" s="50" t="s">
        <v>4215</v>
      </c>
      <c r="T121" s="50" t="s">
        <v>3506</v>
      </c>
      <c r="U121" s="6" t="s">
        <v>111</v>
      </c>
      <c r="V121" s="6" t="s">
        <v>4566</v>
      </c>
      <c r="W121" s="6"/>
      <c r="X121" s="6"/>
      <c r="Y121" s="6"/>
      <c r="Z121" s="6"/>
      <c r="AA121" s="6"/>
      <c r="AB121" s="6"/>
      <c r="AC121" s="6"/>
      <c r="AD121" s="6"/>
      <c r="AE121" s="6"/>
      <c r="AF121" s="6"/>
      <c r="AG121" s="6"/>
    </row>
    <row r="122" ht="30" customHeight="1" spans="1:33">
      <c r="A122" s="6" t="s">
        <v>142</v>
      </c>
      <c r="B122" s="7">
        <v>45841</v>
      </c>
      <c r="C122" s="6" t="str">
        <f t="shared" si="2"/>
        <v>2025年7月</v>
      </c>
      <c r="D122" s="40" t="s">
        <v>39</v>
      </c>
      <c r="E122" s="6" t="s">
        <v>4567</v>
      </c>
      <c r="F122" s="6" t="s">
        <v>12</v>
      </c>
      <c r="G122" s="50" t="s">
        <v>2954</v>
      </c>
      <c r="H122" s="40" t="s">
        <v>4256</v>
      </c>
      <c r="I122" s="50" t="s">
        <v>82</v>
      </c>
      <c r="J122" s="50" t="s">
        <v>4176</v>
      </c>
      <c r="K122" s="8" t="s">
        <v>4568</v>
      </c>
      <c r="L122" s="6" t="s">
        <v>4569</v>
      </c>
      <c r="M122" s="61"/>
      <c r="N122" s="6" t="s">
        <v>4570</v>
      </c>
      <c r="O122" s="6" t="s">
        <v>4571</v>
      </c>
      <c r="P122" s="61">
        <v>1400</v>
      </c>
      <c r="Q122" s="6" t="s">
        <v>173</v>
      </c>
      <c r="R122" s="50" t="s">
        <v>4319</v>
      </c>
      <c r="S122" s="50" t="s">
        <v>4215</v>
      </c>
      <c r="T122" s="50" t="s">
        <v>3557</v>
      </c>
      <c r="U122" s="6" t="s">
        <v>146</v>
      </c>
      <c r="V122" s="6" t="s">
        <v>4572</v>
      </c>
      <c r="W122" s="6"/>
      <c r="X122" s="6"/>
      <c r="Y122" s="6"/>
      <c r="Z122" s="6"/>
      <c r="AA122" s="6"/>
      <c r="AB122" s="6"/>
      <c r="AC122" s="6"/>
      <c r="AD122" s="6"/>
      <c r="AE122" s="6"/>
      <c r="AF122" s="6"/>
      <c r="AG122" s="6"/>
    </row>
    <row r="123" ht="30" customHeight="1" spans="1:33">
      <c r="A123" s="6" t="s">
        <v>207</v>
      </c>
      <c r="B123" s="7">
        <v>45847</v>
      </c>
      <c r="C123" s="6" t="str">
        <f t="shared" si="2"/>
        <v>2025年7月</v>
      </c>
      <c r="D123" s="40" t="s">
        <v>40</v>
      </c>
      <c r="E123" s="6" t="s">
        <v>4573</v>
      </c>
      <c r="F123" s="6" t="s">
        <v>11</v>
      </c>
      <c r="G123" s="50" t="s">
        <v>4169</v>
      </c>
      <c r="H123" s="40" t="s">
        <v>4249</v>
      </c>
      <c r="I123" s="50" t="s">
        <v>82</v>
      </c>
      <c r="J123" s="50" t="s">
        <v>4176</v>
      </c>
      <c r="K123" s="8" t="s">
        <v>4574</v>
      </c>
      <c r="L123" s="6" t="s">
        <v>4575</v>
      </c>
      <c r="M123" s="61"/>
      <c r="N123" s="6" t="s">
        <v>4576</v>
      </c>
      <c r="O123" s="6" t="s">
        <v>4577</v>
      </c>
      <c r="P123" s="76">
        <v>15000</v>
      </c>
      <c r="Q123" s="6" t="s">
        <v>149</v>
      </c>
      <c r="R123" s="50" t="s">
        <v>4253</v>
      </c>
      <c r="S123" s="50" t="s">
        <v>4215</v>
      </c>
      <c r="T123" s="50" t="s">
        <v>3557</v>
      </c>
      <c r="U123" s="6" t="s">
        <v>111</v>
      </c>
      <c r="V123" s="6" t="s">
        <v>4578</v>
      </c>
      <c r="W123" s="6"/>
      <c r="X123" s="6"/>
      <c r="Y123" s="6"/>
      <c r="Z123" s="6"/>
      <c r="AA123" s="6"/>
      <c r="AB123" s="6"/>
      <c r="AC123" s="6"/>
      <c r="AD123" s="6"/>
      <c r="AE123" s="6"/>
      <c r="AF123" s="6"/>
      <c r="AG123" s="6"/>
    </row>
    <row r="124" ht="30" customHeight="1" spans="1:33">
      <c r="A124" s="6" t="s">
        <v>78</v>
      </c>
      <c r="B124" s="7">
        <v>45855</v>
      </c>
      <c r="C124" s="6" t="str">
        <f t="shared" si="2"/>
        <v>2025年7月</v>
      </c>
      <c r="D124" s="40" t="s">
        <v>40</v>
      </c>
      <c r="E124" s="6" t="s">
        <v>4579</v>
      </c>
      <c r="F124" s="6" t="s">
        <v>10</v>
      </c>
      <c r="G124" s="50" t="s">
        <v>4169</v>
      </c>
      <c r="H124" s="40"/>
      <c r="I124" s="50" t="s">
        <v>82</v>
      </c>
      <c r="J124" s="50" t="s">
        <v>4176</v>
      </c>
      <c r="K124" s="8" t="s">
        <v>528</v>
      </c>
      <c r="L124" s="6" t="s">
        <v>529</v>
      </c>
      <c r="M124" s="61" t="s">
        <v>4481</v>
      </c>
      <c r="N124" s="6" t="s">
        <v>4580</v>
      </c>
      <c r="O124" s="6" t="s">
        <v>1023</v>
      </c>
      <c r="P124" s="61">
        <v>8.28</v>
      </c>
      <c r="Q124" s="6" t="s">
        <v>149</v>
      </c>
      <c r="R124" s="50" t="s">
        <v>4253</v>
      </c>
      <c r="S124" s="50" t="s">
        <v>4215</v>
      </c>
      <c r="T124" s="50" t="s">
        <v>3506</v>
      </c>
      <c r="U124" s="6" t="s">
        <v>186</v>
      </c>
      <c r="V124" s="6"/>
      <c r="W124" s="6"/>
      <c r="X124" s="6"/>
      <c r="Y124" s="6"/>
      <c r="Z124" s="6"/>
      <c r="AA124" s="6"/>
      <c r="AB124" s="6"/>
      <c r="AC124" s="6"/>
      <c r="AD124" s="6"/>
      <c r="AE124" s="6"/>
      <c r="AF124" s="6"/>
      <c r="AG124" s="6"/>
    </row>
    <row r="125" ht="30" customHeight="1" spans="1:33">
      <c r="A125" s="6" t="s">
        <v>78</v>
      </c>
      <c r="B125" s="7">
        <v>45855</v>
      </c>
      <c r="C125" s="6" t="str">
        <f t="shared" si="2"/>
        <v>2025年7月</v>
      </c>
      <c r="D125" s="40" t="s">
        <v>40</v>
      </c>
      <c r="E125" s="6" t="s">
        <v>4581</v>
      </c>
      <c r="F125" s="6" t="s">
        <v>10</v>
      </c>
      <c r="G125" s="50" t="s">
        <v>2954</v>
      </c>
      <c r="H125" s="40"/>
      <c r="I125" s="50" t="s">
        <v>82</v>
      </c>
      <c r="J125" s="50" t="s">
        <v>4190</v>
      </c>
      <c r="K125" s="8" t="s">
        <v>665</v>
      </c>
      <c r="L125" s="6" t="s">
        <v>666</v>
      </c>
      <c r="M125" s="61" t="s">
        <v>1005</v>
      </c>
      <c r="N125" s="6" t="s">
        <v>4582</v>
      </c>
      <c r="O125" s="6" t="s">
        <v>4583</v>
      </c>
      <c r="P125" s="61">
        <v>4500</v>
      </c>
      <c r="Q125" s="6" t="s">
        <v>149</v>
      </c>
      <c r="R125" s="50" t="s">
        <v>4319</v>
      </c>
      <c r="S125" s="50" t="s">
        <v>4215</v>
      </c>
      <c r="T125" s="50" t="s">
        <v>3506</v>
      </c>
      <c r="U125" s="6" t="s">
        <v>186</v>
      </c>
      <c r="V125" s="6" t="s">
        <v>4584</v>
      </c>
      <c r="W125" s="6"/>
      <c r="X125" s="6"/>
      <c r="Y125" s="6"/>
      <c r="Z125" s="6"/>
      <c r="AA125" s="6"/>
      <c r="AB125" s="6"/>
      <c r="AC125" s="6"/>
      <c r="AD125" s="6"/>
      <c r="AE125" s="6"/>
      <c r="AF125" s="6"/>
      <c r="AG125" s="6"/>
    </row>
    <row r="126" ht="30" customHeight="1" spans="1:33">
      <c r="A126" s="6" t="s">
        <v>78</v>
      </c>
      <c r="B126" s="7">
        <v>45855</v>
      </c>
      <c r="C126" s="6" t="str">
        <f t="shared" si="2"/>
        <v>2025年7月</v>
      </c>
      <c r="D126" s="40" t="s">
        <v>40</v>
      </c>
      <c r="E126" s="6" t="s">
        <v>4585</v>
      </c>
      <c r="F126" s="6" t="s">
        <v>10</v>
      </c>
      <c r="G126" s="50" t="s">
        <v>4169</v>
      </c>
      <c r="H126" s="40"/>
      <c r="I126" s="50" t="s">
        <v>82</v>
      </c>
      <c r="J126" s="50" t="s">
        <v>4176</v>
      </c>
      <c r="K126" s="8" t="s">
        <v>528</v>
      </c>
      <c r="L126" s="6" t="s">
        <v>529</v>
      </c>
      <c r="M126" s="61" t="s">
        <v>4481</v>
      </c>
      <c r="N126" s="6" t="s">
        <v>4586</v>
      </c>
      <c r="O126" s="6" t="s">
        <v>1023</v>
      </c>
      <c r="P126" s="61">
        <v>4.33</v>
      </c>
      <c r="Q126" s="6" t="s">
        <v>149</v>
      </c>
      <c r="R126" s="50" t="s">
        <v>4253</v>
      </c>
      <c r="S126" s="50" t="s">
        <v>4215</v>
      </c>
      <c r="T126" s="50" t="s">
        <v>3506</v>
      </c>
      <c r="U126" s="6" t="s">
        <v>186</v>
      </c>
      <c r="V126" s="6"/>
      <c r="W126" s="6"/>
      <c r="X126" s="6"/>
      <c r="Y126" s="6"/>
      <c r="Z126" s="6"/>
      <c r="AA126" s="6"/>
      <c r="AB126" s="6"/>
      <c r="AC126" s="6"/>
      <c r="AD126" s="6"/>
      <c r="AE126" s="6"/>
      <c r="AF126" s="6"/>
      <c r="AG126" s="6"/>
    </row>
    <row r="127" ht="30" customHeight="1" spans="1:33">
      <c r="A127" s="6" t="s">
        <v>207</v>
      </c>
      <c r="B127" s="7">
        <v>45859</v>
      </c>
      <c r="C127" s="6" t="str">
        <f t="shared" si="2"/>
        <v>2025年7月</v>
      </c>
      <c r="D127" s="40" t="s">
        <v>39</v>
      </c>
      <c r="E127" s="41" t="s">
        <v>4587</v>
      </c>
      <c r="F127" s="6" t="s">
        <v>11</v>
      </c>
      <c r="G127" s="50" t="s">
        <v>4169</v>
      </c>
      <c r="H127" s="40" t="s">
        <v>2886</v>
      </c>
      <c r="I127" s="50" t="s">
        <v>82</v>
      </c>
      <c r="J127" s="50" t="s">
        <v>4176</v>
      </c>
      <c r="K127" s="8" t="s">
        <v>2907</v>
      </c>
      <c r="L127" s="6" t="s">
        <v>2908</v>
      </c>
      <c r="M127" s="61"/>
      <c r="N127" s="6" t="s">
        <v>4588</v>
      </c>
      <c r="O127" s="6" t="s">
        <v>4589</v>
      </c>
      <c r="P127" s="61">
        <v>1651</v>
      </c>
      <c r="Q127" s="6" t="s">
        <v>173</v>
      </c>
      <c r="R127" s="50" t="s">
        <v>4253</v>
      </c>
      <c r="S127" s="50" t="s">
        <v>4215</v>
      </c>
      <c r="T127" s="50" t="s">
        <v>3557</v>
      </c>
      <c r="U127" s="6" t="s">
        <v>194</v>
      </c>
      <c r="V127" s="6" t="s">
        <v>4590</v>
      </c>
      <c r="W127" s="6"/>
      <c r="X127" s="6"/>
      <c r="Y127" s="6"/>
      <c r="Z127" s="6"/>
      <c r="AA127" s="6" t="s">
        <v>4591</v>
      </c>
      <c r="AB127" s="6"/>
      <c r="AC127" s="6"/>
      <c r="AD127" s="6"/>
      <c r="AE127" s="6"/>
      <c r="AF127" s="6"/>
      <c r="AG127" s="6"/>
    </row>
    <row r="128" ht="30" customHeight="1" spans="1:33">
      <c r="A128" s="6" t="s">
        <v>78</v>
      </c>
      <c r="B128" s="7">
        <v>45859</v>
      </c>
      <c r="C128" s="6" t="str">
        <f t="shared" si="2"/>
        <v>2025年7月</v>
      </c>
      <c r="D128" s="40" t="s">
        <v>40</v>
      </c>
      <c r="E128" s="6" t="s">
        <v>4592</v>
      </c>
      <c r="F128" s="6" t="s">
        <v>10</v>
      </c>
      <c r="G128" s="50" t="s">
        <v>4169</v>
      </c>
      <c r="H128" s="40"/>
      <c r="I128" s="50" t="s">
        <v>82</v>
      </c>
      <c r="J128" s="50" t="s">
        <v>4176</v>
      </c>
      <c r="K128" s="8" t="s">
        <v>1375</v>
      </c>
      <c r="L128" s="6" t="s">
        <v>1447</v>
      </c>
      <c r="M128" s="61" t="s">
        <v>1005</v>
      </c>
      <c r="N128" s="6" t="s">
        <v>4593</v>
      </c>
      <c r="O128" s="6" t="s">
        <v>4594</v>
      </c>
      <c r="P128" s="61">
        <v>111</v>
      </c>
      <c r="Q128" s="6" t="s">
        <v>139</v>
      </c>
      <c r="R128" s="50" t="s">
        <v>4253</v>
      </c>
      <c r="S128" s="50" t="s">
        <v>4215</v>
      </c>
      <c r="T128" s="50" t="s">
        <v>3506</v>
      </c>
      <c r="U128" s="6" t="s">
        <v>85</v>
      </c>
      <c r="V128" s="6"/>
      <c r="W128" s="6"/>
      <c r="X128" s="6"/>
      <c r="Y128" s="6"/>
      <c r="Z128" s="6"/>
      <c r="AA128" s="6"/>
      <c r="AB128" s="6"/>
      <c r="AC128" s="6"/>
      <c r="AD128" s="6"/>
      <c r="AE128" s="6"/>
      <c r="AF128" s="6"/>
      <c r="AG128" s="6"/>
    </row>
    <row r="129" ht="30" customHeight="1" spans="1:33">
      <c r="A129" s="6" t="s">
        <v>142</v>
      </c>
      <c r="B129" s="7">
        <v>45859</v>
      </c>
      <c r="C129" s="6" t="str">
        <f t="shared" si="2"/>
        <v>2025年7月</v>
      </c>
      <c r="D129" s="40" t="s">
        <v>40</v>
      </c>
      <c r="E129" s="6" t="s">
        <v>4595</v>
      </c>
      <c r="F129" s="6" t="s">
        <v>11</v>
      </c>
      <c r="G129" s="50" t="s">
        <v>4169</v>
      </c>
      <c r="H129" s="40"/>
      <c r="I129" s="50" t="s">
        <v>82</v>
      </c>
      <c r="J129" s="50" t="s">
        <v>4176</v>
      </c>
      <c r="K129" s="8" t="s">
        <v>4596</v>
      </c>
      <c r="L129" s="6" t="s">
        <v>4597</v>
      </c>
      <c r="M129" s="61"/>
      <c r="N129" s="6" t="s">
        <v>4598</v>
      </c>
      <c r="O129" s="6" t="s">
        <v>4599</v>
      </c>
      <c r="P129" s="61">
        <v>500</v>
      </c>
      <c r="Q129" s="6" t="s">
        <v>149</v>
      </c>
      <c r="R129" s="50" t="s">
        <v>4319</v>
      </c>
      <c r="S129" s="50" t="s">
        <v>4173</v>
      </c>
      <c r="T129" s="50" t="s">
        <v>3506</v>
      </c>
      <c r="U129" s="6" t="s">
        <v>136</v>
      </c>
      <c r="V129" s="6" t="s">
        <v>4600</v>
      </c>
      <c r="W129" s="6"/>
      <c r="X129" s="6"/>
      <c r="Y129" s="6"/>
      <c r="Z129" s="6"/>
      <c r="AA129" s="6"/>
      <c r="AB129" s="6"/>
      <c r="AC129" s="6"/>
      <c r="AD129" s="6"/>
      <c r="AE129" s="6"/>
      <c r="AF129" s="6"/>
      <c r="AG129" s="6"/>
    </row>
    <row r="130" ht="30" customHeight="1" spans="1:33">
      <c r="A130" s="6" t="s">
        <v>4601</v>
      </c>
      <c r="B130" s="7">
        <v>45861</v>
      </c>
      <c r="C130" s="6" t="str">
        <f t="shared" si="2"/>
        <v>2025年7月</v>
      </c>
      <c r="D130" s="40" t="s">
        <v>40</v>
      </c>
      <c r="E130" s="6" t="s">
        <v>4602</v>
      </c>
      <c r="F130" s="6" t="s">
        <v>10</v>
      </c>
      <c r="G130" s="50" t="s">
        <v>4169</v>
      </c>
      <c r="H130" s="40"/>
      <c r="I130" s="50" t="s">
        <v>82</v>
      </c>
      <c r="J130" s="50" t="s">
        <v>4190</v>
      </c>
      <c r="K130" s="8" t="s">
        <v>665</v>
      </c>
      <c r="L130" s="6" t="s">
        <v>666</v>
      </c>
      <c r="M130" s="61" t="s">
        <v>1005</v>
      </c>
      <c r="N130" s="6" t="s">
        <v>4603</v>
      </c>
      <c r="O130" s="6" t="s">
        <v>4604</v>
      </c>
      <c r="P130" s="61">
        <v>3000</v>
      </c>
      <c r="Q130" s="6" t="s">
        <v>149</v>
      </c>
      <c r="R130" s="50" t="s">
        <v>4319</v>
      </c>
      <c r="S130" s="50" t="s">
        <v>4215</v>
      </c>
      <c r="T130" s="50" t="s">
        <v>3506</v>
      </c>
      <c r="U130" s="6" t="s">
        <v>186</v>
      </c>
      <c r="V130" s="6" t="s">
        <v>4584</v>
      </c>
      <c r="W130" s="6"/>
      <c r="X130" s="6"/>
      <c r="Y130" s="6"/>
      <c r="Z130" s="6"/>
      <c r="AA130" s="6"/>
      <c r="AB130" s="6"/>
      <c r="AC130" s="6"/>
      <c r="AD130" s="6"/>
      <c r="AE130" s="6"/>
      <c r="AF130" s="6"/>
      <c r="AG130" s="6"/>
    </row>
    <row r="131" ht="30" customHeight="1" spans="1:33">
      <c r="A131" s="6" t="s">
        <v>142</v>
      </c>
      <c r="B131" s="7">
        <v>45862</v>
      </c>
      <c r="C131" s="6" t="str">
        <f t="shared" si="2"/>
        <v>2025年7月</v>
      </c>
      <c r="D131" s="40" t="s">
        <v>40</v>
      </c>
      <c r="E131" s="6" t="s">
        <v>4605</v>
      </c>
      <c r="F131" s="6" t="s">
        <v>11</v>
      </c>
      <c r="G131" s="50" t="s">
        <v>4169</v>
      </c>
      <c r="H131" s="40"/>
      <c r="I131" s="50" t="s">
        <v>82</v>
      </c>
      <c r="J131" s="50" t="s">
        <v>4176</v>
      </c>
      <c r="K131" s="8" t="s">
        <v>4606</v>
      </c>
      <c r="L131" s="6" t="s">
        <v>4607</v>
      </c>
      <c r="M131" s="61"/>
      <c r="N131" s="6" t="s">
        <v>4608</v>
      </c>
      <c r="O131" s="6" t="s">
        <v>4609</v>
      </c>
      <c r="P131" s="76">
        <v>10000</v>
      </c>
      <c r="Q131" s="6" t="s">
        <v>149</v>
      </c>
      <c r="R131" s="50" t="s">
        <v>4319</v>
      </c>
      <c r="S131" s="50" t="s">
        <v>4215</v>
      </c>
      <c r="T131" s="50" t="s">
        <v>3557</v>
      </c>
      <c r="U131" s="6" t="s">
        <v>685</v>
      </c>
      <c r="V131" s="6" t="s">
        <v>4610</v>
      </c>
      <c r="W131" s="6"/>
      <c r="X131" s="6"/>
      <c r="Y131" s="6"/>
      <c r="Z131" s="6"/>
      <c r="AA131" s="6"/>
      <c r="AB131" s="6"/>
      <c r="AC131" s="6"/>
      <c r="AD131" s="6"/>
      <c r="AE131" s="6"/>
      <c r="AF131" s="6"/>
      <c r="AG131" s="6"/>
    </row>
    <row r="132" ht="30" customHeight="1" spans="1:33">
      <c r="A132" s="6" t="s">
        <v>142</v>
      </c>
      <c r="B132" s="7">
        <v>45862</v>
      </c>
      <c r="C132" s="6" t="str">
        <f t="shared" si="2"/>
        <v>2025年7月</v>
      </c>
      <c r="D132" s="40" t="s">
        <v>40</v>
      </c>
      <c r="E132" s="6" t="s">
        <v>4611</v>
      </c>
      <c r="F132" s="6" t="s">
        <v>11</v>
      </c>
      <c r="G132" s="50" t="s">
        <v>4169</v>
      </c>
      <c r="H132" s="40"/>
      <c r="I132" s="50" t="s">
        <v>82</v>
      </c>
      <c r="J132" s="50" t="s">
        <v>4176</v>
      </c>
      <c r="K132" s="8" t="s">
        <v>4606</v>
      </c>
      <c r="L132" s="6" t="s">
        <v>4607</v>
      </c>
      <c r="M132" s="61"/>
      <c r="N132" s="6" t="s">
        <v>4612</v>
      </c>
      <c r="O132" s="6" t="s">
        <v>4609</v>
      </c>
      <c r="P132" s="61">
        <v>19998</v>
      </c>
      <c r="Q132" s="6" t="s">
        <v>149</v>
      </c>
      <c r="R132" s="50" t="s">
        <v>4319</v>
      </c>
      <c r="S132" s="50" t="s">
        <v>4215</v>
      </c>
      <c r="T132" s="50" t="s">
        <v>3557</v>
      </c>
      <c r="U132" s="6" t="s">
        <v>685</v>
      </c>
      <c r="V132" s="6" t="s">
        <v>4610</v>
      </c>
      <c r="W132" s="6"/>
      <c r="X132" s="6"/>
      <c r="Y132" s="6"/>
      <c r="Z132" s="6"/>
      <c r="AA132" s="6"/>
      <c r="AB132" s="6"/>
      <c r="AC132" s="6"/>
      <c r="AD132" s="6"/>
      <c r="AE132" s="6"/>
      <c r="AF132" s="6"/>
      <c r="AG132" s="6"/>
    </row>
    <row r="133" ht="30" customHeight="1" spans="1:33">
      <c r="A133" s="6" t="s">
        <v>142</v>
      </c>
      <c r="B133" s="7">
        <v>45862</v>
      </c>
      <c r="C133" s="6" t="str">
        <f t="shared" si="2"/>
        <v>2025年7月</v>
      </c>
      <c r="D133" s="40" t="s">
        <v>40</v>
      </c>
      <c r="E133" s="6" t="s">
        <v>4613</v>
      </c>
      <c r="F133" s="6" t="s">
        <v>11</v>
      </c>
      <c r="G133" s="50" t="s">
        <v>4169</v>
      </c>
      <c r="H133" s="40"/>
      <c r="I133" s="50" t="s">
        <v>82</v>
      </c>
      <c r="J133" s="50" t="s">
        <v>4176</v>
      </c>
      <c r="K133" s="8" t="s">
        <v>4606</v>
      </c>
      <c r="L133" s="6" t="s">
        <v>4607</v>
      </c>
      <c r="M133" s="61"/>
      <c r="N133" s="6" t="s">
        <v>4614</v>
      </c>
      <c r="O133" s="6" t="s">
        <v>4609</v>
      </c>
      <c r="P133" s="61">
        <v>19880</v>
      </c>
      <c r="Q133" s="6" t="s">
        <v>149</v>
      </c>
      <c r="R133" s="50" t="s">
        <v>4319</v>
      </c>
      <c r="S133" s="50" t="s">
        <v>4215</v>
      </c>
      <c r="T133" s="50" t="s">
        <v>3557</v>
      </c>
      <c r="U133" s="6" t="s">
        <v>685</v>
      </c>
      <c r="V133" s="6" t="s">
        <v>4610</v>
      </c>
      <c r="W133" s="6"/>
      <c r="X133" s="6"/>
      <c r="Y133" s="6"/>
      <c r="Z133" s="6"/>
      <c r="AA133" s="6"/>
      <c r="AB133" s="6"/>
      <c r="AC133" s="6"/>
      <c r="AD133" s="6"/>
      <c r="AE133" s="6"/>
      <c r="AF133" s="6"/>
      <c r="AG133" s="6"/>
    </row>
    <row r="134" ht="30" customHeight="1" spans="1:33">
      <c r="A134" s="6" t="s">
        <v>207</v>
      </c>
      <c r="B134" s="7">
        <v>45869</v>
      </c>
      <c r="C134" s="6" t="str">
        <f t="shared" si="2"/>
        <v>2025年7月</v>
      </c>
      <c r="D134" s="40" t="s">
        <v>40</v>
      </c>
      <c r="E134" s="6" t="s">
        <v>4615</v>
      </c>
      <c r="F134" s="6" t="s">
        <v>10</v>
      </c>
      <c r="G134" s="50" t="s">
        <v>4169</v>
      </c>
      <c r="H134" s="40"/>
      <c r="I134" s="50" t="s">
        <v>82</v>
      </c>
      <c r="J134" s="50" t="s">
        <v>4176</v>
      </c>
      <c r="K134" s="8" t="s">
        <v>4616</v>
      </c>
      <c r="L134" s="6" t="s">
        <v>4617</v>
      </c>
      <c r="M134" s="61" t="s">
        <v>4481</v>
      </c>
      <c r="N134" s="6" t="s">
        <v>4618</v>
      </c>
      <c r="O134" s="6" t="s">
        <v>1023</v>
      </c>
      <c r="P134" s="61">
        <v>500</v>
      </c>
      <c r="Q134" s="6" t="s">
        <v>149</v>
      </c>
      <c r="R134" s="50" t="s">
        <v>4253</v>
      </c>
      <c r="S134" s="50" t="s">
        <v>4215</v>
      </c>
      <c r="T134" s="50" t="s">
        <v>3506</v>
      </c>
      <c r="U134" s="6" t="s">
        <v>689</v>
      </c>
      <c r="V134" s="6"/>
      <c r="W134" s="6"/>
      <c r="X134" s="6"/>
      <c r="Y134" s="6"/>
      <c r="Z134" s="6"/>
      <c r="AA134" s="6"/>
      <c r="AB134" s="6"/>
      <c r="AC134" s="6"/>
      <c r="AD134" s="6"/>
      <c r="AE134" s="6"/>
      <c r="AF134" s="6"/>
      <c r="AG134" s="6"/>
    </row>
    <row r="135" ht="30" customHeight="1" spans="1:33">
      <c r="A135" s="6" t="s">
        <v>584</v>
      </c>
      <c r="B135" s="7">
        <v>45875</v>
      </c>
      <c r="C135" s="6" t="str">
        <f t="shared" si="2"/>
        <v>2025年8月</v>
      </c>
      <c r="D135" s="40" t="s">
        <v>40</v>
      </c>
      <c r="E135" s="6" t="s">
        <v>4619</v>
      </c>
      <c r="F135" s="6" t="s">
        <v>10</v>
      </c>
      <c r="G135" s="50" t="s">
        <v>4169</v>
      </c>
      <c r="H135" s="40" t="s">
        <v>2886</v>
      </c>
      <c r="I135" s="50" t="s">
        <v>82</v>
      </c>
      <c r="J135" s="50" t="s">
        <v>4176</v>
      </c>
      <c r="K135" s="8" t="s">
        <v>1375</v>
      </c>
      <c r="L135" s="6" t="s">
        <v>1447</v>
      </c>
      <c r="M135" s="61" t="s">
        <v>1005</v>
      </c>
      <c r="N135" s="6" t="s">
        <v>4620</v>
      </c>
      <c r="O135" s="6" t="s">
        <v>4621</v>
      </c>
      <c r="P135" s="61">
        <v>100</v>
      </c>
      <c r="Q135" s="6" t="s">
        <v>139</v>
      </c>
      <c r="R135" s="50" t="s">
        <v>4253</v>
      </c>
      <c r="S135" s="50" t="s">
        <v>4215</v>
      </c>
      <c r="T135" s="50" t="s">
        <v>3506</v>
      </c>
      <c r="U135" s="6" t="s">
        <v>689</v>
      </c>
      <c r="V135" s="41" t="s">
        <v>4622</v>
      </c>
      <c r="W135" s="6"/>
      <c r="X135" s="6"/>
      <c r="Y135" s="6"/>
      <c r="Z135" s="6"/>
      <c r="AA135" s="6"/>
      <c r="AB135" s="6"/>
      <c r="AC135" s="6"/>
      <c r="AD135" s="6"/>
      <c r="AE135" s="6"/>
      <c r="AF135" s="6"/>
      <c r="AG135" s="6"/>
    </row>
    <row r="136" ht="30" customHeight="1" spans="1:33">
      <c r="A136" s="6" t="s">
        <v>584</v>
      </c>
      <c r="B136" s="7">
        <v>45875</v>
      </c>
      <c r="C136" s="6" t="str">
        <f t="shared" si="2"/>
        <v>2025年8月</v>
      </c>
      <c r="D136" s="40" t="s">
        <v>40</v>
      </c>
      <c r="E136" s="6" t="s">
        <v>4623</v>
      </c>
      <c r="F136" s="6" t="s">
        <v>10</v>
      </c>
      <c r="G136" s="50" t="s">
        <v>4169</v>
      </c>
      <c r="H136" s="40" t="s">
        <v>2886</v>
      </c>
      <c r="I136" s="50" t="s">
        <v>82</v>
      </c>
      <c r="J136" s="50" t="s">
        <v>4176</v>
      </c>
      <c r="K136" s="8" t="s">
        <v>1273</v>
      </c>
      <c r="L136" s="41" t="s">
        <v>1275</v>
      </c>
      <c r="M136" s="61" t="s">
        <v>1005</v>
      </c>
      <c r="N136" s="6" t="s">
        <v>4624</v>
      </c>
      <c r="O136" s="6" t="s">
        <v>4625</v>
      </c>
      <c r="P136" s="61">
        <v>80</v>
      </c>
      <c r="Q136" s="6" t="s">
        <v>139</v>
      </c>
      <c r="R136" s="50" t="s">
        <v>4253</v>
      </c>
      <c r="S136" s="50" t="s">
        <v>4215</v>
      </c>
      <c r="T136" s="50" t="s">
        <v>3506</v>
      </c>
      <c r="U136" s="6" t="s">
        <v>689</v>
      </c>
      <c r="V136" s="41" t="s">
        <v>4626</v>
      </c>
      <c r="W136" s="6"/>
      <c r="X136" s="6"/>
      <c r="Y136" s="6"/>
      <c r="Z136" s="6"/>
      <c r="AA136" s="6"/>
      <c r="AB136" s="6"/>
      <c r="AC136" s="6"/>
      <c r="AD136" s="6"/>
      <c r="AE136" s="6"/>
      <c r="AF136" s="6"/>
      <c r="AG136" s="6"/>
    </row>
    <row r="137" ht="30" customHeight="1" spans="1:33">
      <c r="A137" s="6" t="s">
        <v>584</v>
      </c>
      <c r="B137" s="7">
        <v>45876</v>
      </c>
      <c r="C137" s="6" t="str">
        <f t="shared" si="2"/>
        <v>2025年8月</v>
      </c>
      <c r="D137" s="40" t="s">
        <v>40</v>
      </c>
      <c r="E137" s="6" t="s">
        <v>4627</v>
      </c>
      <c r="F137" s="6" t="s">
        <v>10</v>
      </c>
      <c r="G137" s="50" t="s">
        <v>4169</v>
      </c>
      <c r="H137" s="40" t="s">
        <v>2886</v>
      </c>
      <c r="I137" s="50" t="s">
        <v>82</v>
      </c>
      <c r="J137" s="50" t="s">
        <v>4176</v>
      </c>
      <c r="K137" s="8" t="s">
        <v>1375</v>
      </c>
      <c r="L137" s="6" t="s">
        <v>1447</v>
      </c>
      <c r="M137" s="61" t="s">
        <v>1005</v>
      </c>
      <c r="N137" s="6" t="s">
        <v>4628</v>
      </c>
      <c r="O137" s="6" t="s">
        <v>1446</v>
      </c>
      <c r="P137" s="61">
        <v>320</v>
      </c>
      <c r="Q137" s="6" t="s">
        <v>149</v>
      </c>
      <c r="R137" s="50" t="s">
        <v>4253</v>
      </c>
      <c r="S137" s="50" t="s">
        <v>4215</v>
      </c>
      <c r="T137" s="50" t="s">
        <v>3506</v>
      </c>
      <c r="U137" s="6" t="s">
        <v>689</v>
      </c>
      <c r="V137" s="41" t="s">
        <v>4629</v>
      </c>
      <c r="W137" s="6"/>
      <c r="X137" s="6"/>
      <c r="Y137" s="6"/>
      <c r="Z137" s="6"/>
      <c r="AA137" s="6"/>
      <c r="AB137" s="6"/>
      <c r="AC137" s="6"/>
      <c r="AD137" s="6"/>
      <c r="AE137" s="6"/>
      <c r="AF137" s="6"/>
      <c r="AG137" s="6"/>
    </row>
    <row r="138" ht="30" customHeight="1" spans="1:33">
      <c r="A138" s="6" t="s">
        <v>207</v>
      </c>
      <c r="B138" s="7">
        <v>45876</v>
      </c>
      <c r="C138" s="6" t="str">
        <f t="shared" si="2"/>
        <v>2025年8月</v>
      </c>
      <c r="D138" s="40" t="s">
        <v>40</v>
      </c>
      <c r="E138" s="6" t="s">
        <v>4630</v>
      </c>
      <c r="F138" s="6" t="s">
        <v>10</v>
      </c>
      <c r="G138" s="50" t="s">
        <v>2954</v>
      </c>
      <c r="H138" s="40" t="s">
        <v>4631</v>
      </c>
      <c r="I138" s="50" t="s">
        <v>82</v>
      </c>
      <c r="J138" s="50" t="s">
        <v>4176</v>
      </c>
      <c r="K138" s="8" t="s">
        <v>4632</v>
      </c>
      <c r="L138" s="6" t="s">
        <v>4633</v>
      </c>
      <c r="M138" s="61"/>
      <c r="N138" s="6" t="s">
        <v>4634</v>
      </c>
      <c r="O138" s="6" t="s">
        <v>4635</v>
      </c>
      <c r="P138" s="61">
        <v>3025</v>
      </c>
      <c r="Q138" s="6" t="s">
        <v>303</v>
      </c>
      <c r="R138" s="50" t="s">
        <v>4253</v>
      </c>
      <c r="S138" s="50" t="s">
        <v>4215</v>
      </c>
      <c r="T138" s="50" t="s">
        <v>3557</v>
      </c>
      <c r="U138" s="6" t="s">
        <v>800</v>
      </c>
      <c r="V138" s="6" t="s">
        <v>4636</v>
      </c>
      <c r="W138" s="6"/>
      <c r="X138" s="6"/>
      <c r="Y138" s="6"/>
      <c r="Z138" s="6"/>
      <c r="AA138" s="6"/>
      <c r="AB138" s="6"/>
      <c r="AC138" s="6"/>
      <c r="AD138" s="6"/>
      <c r="AE138" s="6"/>
      <c r="AF138" s="6"/>
      <c r="AG138" s="6"/>
    </row>
    <row r="139" ht="30" customHeight="1" spans="1:33">
      <c r="A139" s="6" t="s">
        <v>78</v>
      </c>
      <c r="B139" s="7">
        <v>45883</v>
      </c>
      <c r="C139" s="6" t="str">
        <f t="shared" si="2"/>
        <v>2025年8月</v>
      </c>
      <c r="D139" s="40" t="s">
        <v>40</v>
      </c>
      <c r="E139" s="6" t="s">
        <v>4637</v>
      </c>
      <c r="F139" s="6" t="s">
        <v>10</v>
      </c>
      <c r="G139" s="50" t="s">
        <v>4169</v>
      </c>
      <c r="H139" s="40"/>
      <c r="I139" s="50" t="s">
        <v>82</v>
      </c>
      <c r="J139" s="50" t="s">
        <v>4176</v>
      </c>
      <c r="K139" s="8" t="s">
        <v>4638</v>
      </c>
      <c r="L139" s="6" t="s">
        <v>4639</v>
      </c>
      <c r="M139" s="61" t="s">
        <v>3749</v>
      </c>
      <c r="N139" s="6" t="s">
        <v>4640</v>
      </c>
      <c r="O139" s="6" t="s">
        <v>1016</v>
      </c>
      <c r="P139" s="61">
        <v>23</v>
      </c>
      <c r="Q139" s="6" t="s">
        <v>149</v>
      </c>
      <c r="R139" s="50" t="s">
        <v>4253</v>
      </c>
      <c r="S139" s="50" t="s">
        <v>4215</v>
      </c>
      <c r="T139" s="50" t="s">
        <v>3506</v>
      </c>
      <c r="U139" s="6" t="s">
        <v>161</v>
      </c>
      <c r="V139" s="6"/>
      <c r="W139" s="6"/>
      <c r="X139" s="6"/>
      <c r="Y139" s="6"/>
      <c r="Z139" s="6"/>
      <c r="AA139" s="6"/>
      <c r="AB139" s="6"/>
      <c r="AC139" s="6"/>
      <c r="AD139" s="6"/>
      <c r="AE139" s="6"/>
      <c r="AF139" s="6"/>
      <c r="AG139" s="6"/>
    </row>
    <row r="140" ht="30" customHeight="1" spans="1:33">
      <c r="A140" s="6" t="s">
        <v>78</v>
      </c>
      <c r="B140" s="7">
        <v>45883</v>
      </c>
      <c r="C140" s="6" t="str">
        <f t="shared" si="2"/>
        <v>2025年8月</v>
      </c>
      <c r="D140" s="40" t="s">
        <v>40</v>
      </c>
      <c r="E140" s="6" t="s">
        <v>4641</v>
      </c>
      <c r="F140" s="6" t="s">
        <v>10</v>
      </c>
      <c r="G140" s="50" t="s">
        <v>4169</v>
      </c>
      <c r="H140" s="40"/>
      <c r="I140" s="50" t="s">
        <v>82</v>
      </c>
      <c r="J140" s="50" t="s">
        <v>4176</v>
      </c>
      <c r="K140" s="8" t="s">
        <v>4638</v>
      </c>
      <c r="L140" s="6" t="s">
        <v>4639</v>
      </c>
      <c r="M140" s="61" t="s">
        <v>3749</v>
      </c>
      <c r="N140" s="6" t="s">
        <v>4642</v>
      </c>
      <c r="O140" s="6" t="s">
        <v>1016</v>
      </c>
      <c r="P140" s="61">
        <v>22</v>
      </c>
      <c r="Q140" s="6" t="s">
        <v>149</v>
      </c>
      <c r="R140" s="50" t="s">
        <v>4253</v>
      </c>
      <c r="S140" s="50" t="s">
        <v>4215</v>
      </c>
      <c r="T140" s="50" t="s">
        <v>3506</v>
      </c>
      <c r="U140" s="6" t="s">
        <v>161</v>
      </c>
      <c r="V140" s="6"/>
      <c r="W140" s="6"/>
      <c r="X140" s="6"/>
      <c r="Y140" s="6"/>
      <c r="Z140" s="6"/>
      <c r="AA140" s="6"/>
      <c r="AB140" s="6"/>
      <c r="AC140" s="6"/>
      <c r="AD140" s="6"/>
      <c r="AE140" s="6"/>
      <c r="AF140" s="6"/>
      <c r="AG140" s="6"/>
    </row>
    <row r="141" ht="30" customHeight="1" spans="1:33">
      <c r="A141" s="6" t="s">
        <v>207</v>
      </c>
      <c r="B141" s="7">
        <v>45888</v>
      </c>
      <c r="C141" s="6" t="str">
        <f t="shared" si="2"/>
        <v>2025年8月</v>
      </c>
      <c r="D141" s="40" t="s">
        <v>39</v>
      </c>
      <c r="E141" s="6" t="s">
        <v>4643</v>
      </c>
      <c r="F141" s="6" t="s">
        <v>11</v>
      </c>
      <c r="G141" s="50" t="s">
        <v>4169</v>
      </c>
      <c r="H141" s="40"/>
      <c r="I141" s="50" t="s">
        <v>82</v>
      </c>
      <c r="J141" s="50" t="s">
        <v>4190</v>
      </c>
      <c r="K141" s="8" t="s">
        <v>2941</v>
      </c>
      <c r="L141" s="6" t="s">
        <v>2942</v>
      </c>
      <c r="M141" s="61"/>
      <c r="N141" s="6" t="s">
        <v>4644</v>
      </c>
      <c r="O141" s="6" t="s">
        <v>4645</v>
      </c>
      <c r="P141" s="76">
        <v>1365</v>
      </c>
      <c r="Q141" s="6" t="s">
        <v>173</v>
      </c>
      <c r="R141" s="50" t="s">
        <v>4319</v>
      </c>
      <c r="S141" s="50" t="s">
        <v>4173</v>
      </c>
      <c r="T141" s="50" t="s">
        <v>3506</v>
      </c>
      <c r="U141" s="6" t="s">
        <v>194</v>
      </c>
      <c r="V141" s="6" t="s">
        <v>4646</v>
      </c>
      <c r="W141" s="6"/>
      <c r="X141" s="6"/>
      <c r="Y141" s="6"/>
      <c r="Z141" s="6"/>
      <c r="AA141" s="6" t="s">
        <v>4647</v>
      </c>
      <c r="AB141" s="6"/>
      <c r="AC141" s="6"/>
      <c r="AD141" s="6"/>
      <c r="AE141" s="6"/>
      <c r="AF141" s="6"/>
      <c r="AG141" s="6"/>
    </row>
    <row r="142" ht="30" customHeight="1" spans="1:33">
      <c r="A142" s="6" t="s">
        <v>207</v>
      </c>
      <c r="B142" s="7">
        <v>45891</v>
      </c>
      <c r="C142" s="6" t="str">
        <f t="shared" si="2"/>
        <v>2025年8月</v>
      </c>
      <c r="D142" s="40" t="s">
        <v>40</v>
      </c>
      <c r="E142" s="6" t="s">
        <v>4648</v>
      </c>
      <c r="F142" s="6" t="s">
        <v>10</v>
      </c>
      <c r="G142" s="50" t="s">
        <v>4169</v>
      </c>
      <c r="H142" s="40"/>
      <c r="I142" s="50" t="s">
        <v>82</v>
      </c>
      <c r="J142" s="50" t="s">
        <v>4176</v>
      </c>
      <c r="K142" s="8" t="s">
        <v>4649</v>
      </c>
      <c r="L142" s="6" t="s">
        <v>4650</v>
      </c>
      <c r="M142" s="61" t="s">
        <v>3749</v>
      </c>
      <c r="N142" s="6" t="s">
        <v>4651</v>
      </c>
      <c r="O142" s="6" t="s">
        <v>1016</v>
      </c>
      <c r="P142" s="61">
        <v>157.6</v>
      </c>
      <c r="Q142" s="6" t="s">
        <v>149</v>
      </c>
      <c r="R142" s="50" t="s">
        <v>4253</v>
      </c>
      <c r="S142" s="50" t="s">
        <v>4215</v>
      </c>
      <c r="T142" s="50" t="s">
        <v>3506</v>
      </c>
      <c r="U142" s="6" t="s">
        <v>146</v>
      </c>
      <c r="V142" s="6"/>
      <c r="W142" s="6"/>
      <c r="X142" s="6"/>
      <c r="Y142" s="6"/>
      <c r="Z142" s="6"/>
      <c r="AA142" s="6"/>
      <c r="AB142" s="6"/>
      <c r="AC142" s="6"/>
      <c r="AD142" s="6"/>
      <c r="AE142" s="6"/>
      <c r="AF142" s="6"/>
      <c r="AG142" s="6"/>
    </row>
    <row r="143" ht="30" customHeight="1" spans="1:33">
      <c r="A143" s="6" t="s">
        <v>207</v>
      </c>
      <c r="B143" s="7">
        <v>45891</v>
      </c>
      <c r="C143" s="6" t="str">
        <f t="shared" si="2"/>
        <v>2025年8月</v>
      </c>
      <c r="D143" s="40" t="s">
        <v>40</v>
      </c>
      <c r="E143" s="6" t="s">
        <v>4652</v>
      </c>
      <c r="F143" s="6" t="s">
        <v>10</v>
      </c>
      <c r="G143" s="50" t="s">
        <v>4169</v>
      </c>
      <c r="H143" s="40"/>
      <c r="I143" s="50" t="s">
        <v>82</v>
      </c>
      <c r="J143" s="50" t="s">
        <v>4176</v>
      </c>
      <c r="K143" s="8" t="s">
        <v>1430</v>
      </c>
      <c r="L143" s="6" t="s">
        <v>1432</v>
      </c>
      <c r="M143" s="61" t="s">
        <v>1005</v>
      </c>
      <c r="N143" s="6" t="s">
        <v>4653</v>
      </c>
      <c r="O143" s="6" t="s">
        <v>4654</v>
      </c>
      <c r="P143" s="61">
        <v>120</v>
      </c>
      <c r="Q143" s="6" t="s">
        <v>149</v>
      </c>
      <c r="R143" s="50" t="s">
        <v>4253</v>
      </c>
      <c r="S143" s="50" t="s">
        <v>4215</v>
      </c>
      <c r="T143" s="50" t="s">
        <v>3506</v>
      </c>
      <c r="U143" s="6" t="s">
        <v>689</v>
      </c>
      <c r="V143" s="6" t="s">
        <v>4655</v>
      </c>
      <c r="W143" s="6"/>
      <c r="X143" s="6"/>
      <c r="Y143" s="6"/>
      <c r="Z143" s="6"/>
      <c r="AA143" s="6"/>
      <c r="AB143" s="6"/>
      <c r="AC143" s="6"/>
      <c r="AD143" s="6"/>
      <c r="AE143" s="6"/>
      <c r="AF143" s="6"/>
      <c r="AG143" s="6"/>
    </row>
    <row r="144" ht="30" customHeight="1" spans="1:33">
      <c r="A144" s="6" t="s">
        <v>78</v>
      </c>
      <c r="B144" s="7">
        <v>45896</v>
      </c>
      <c r="C144" s="6" t="str">
        <f t="shared" si="2"/>
        <v>2025年8月</v>
      </c>
      <c r="D144" s="40" t="s">
        <v>40</v>
      </c>
      <c r="E144" s="6" t="s">
        <v>4656</v>
      </c>
      <c r="F144" s="6" t="s">
        <v>10</v>
      </c>
      <c r="G144" s="50" t="s">
        <v>4169</v>
      </c>
      <c r="H144" s="40"/>
      <c r="I144" s="50" t="s">
        <v>82</v>
      </c>
      <c r="J144" s="50" t="s">
        <v>4176</v>
      </c>
      <c r="K144" s="8" t="s">
        <v>1375</v>
      </c>
      <c r="L144" s="6" t="s">
        <v>1447</v>
      </c>
      <c r="M144" s="61" t="s">
        <v>1005</v>
      </c>
      <c r="N144" s="41" t="s">
        <v>4657</v>
      </c>
      <c r="O144" s="6" t="s">
        <v>4494</v>
      </c>
      <c r="P144" s="61">
        <v>100</v>
      </c>
      <c r="Q144" s="6" t="s">
        <v>139</v>
      </c>
      <c r="R144" s="50" t="s">
        <v>4253</v>
      </c>
      <c r="S144" s="50" t="s">
        <v>4215</v>
      </c>
      <c r="T144" s="50" t="s">
        <v>3506</v>
      </c>
      <c r="U144" s="6" t="s">
        <v>85</v>
      </c>
      <c r="V144" s="6"/>
      <c r="W144" s="6"/>
      <c r="X144" s="6"/>
      <c r="Y144" s="6"/>
      <c r="Z144" s="6"/>
      <c r="AA144" s="6"/>
      <c r="AB144" s="6"/>
      <c r="AC144" s="6"/>
      <c r="AD144" s="6"/>
      <c r="AE144" s="6"/>
      <c r="AF144" s="6"/>
      <c r="AG144" s="6"/>
    </row>
    <row r="145" ht="30" customHeight="1" spans="1:33">
      <c r="A145" s="6" t="s">
        <v>207</v>
      </c>
      <c r="B145" s="7">
        <v>45897</v>
      </c>
      <c r="C145" s="6" t="str">
        <f t="shared" si="2"/>
        <v>2025年8月</v>
      </c>
      <c r="D145" s="40" t="s">
        <v>40</v>
      </c>
      <c r="E145" s="6" t="s">
        <v>4658</v>
      </c>
      <c r="F145" s="6" t="s">
        <v>11</v>
      </c>
      <c r="G145" s="50" t="s">
        <v>4169</v>
      </c>
      <c r="H145" s="40"/>
      <c r="I145" s="50" t="s">
        <v>82</v>
      </c>
      <c r="J145" s="50" t="s">
        <v>4176</v>
      </c>
      <c r="K145" s="8" t="s">
        <v>2959</v>
      </c>
      <c r="L145" s="59" t="s">
        <v>2960</v>
      </c>
      <c r="M145" s="61"/>
      <c r="N145" s="6" t="s">
        <v>4659</v>
      </c>
      <c r="O145" s="6" t="s">
        <v>4660</v>
      </c>
      <c r="P145" s="61">
        <v>10000</v>
      </c>
      <c r="Q145" s="6" t="s">
        <v>149</v>
      </c>
      <c r="R145" s="50" t="s">
        <v>4253</v>
      </c>
      <c r="S145" s="50" t="s">
        <v>4215</v>
      </c>
      <c r="T145" s="50" t="s">
        <v>3506</v>
      </c>
      <c r="U145" s="6" t="s">
        <v>685</v>
      </c>
      <c r="V145" s="6" t="s">
        <v>4661</v>
      </c>
      <c r="W145" s="6"/>
      <c r="X145" s="6"/>
      <c r="Y145" s="6"/>
      <c r="Z145" s="6"/>
      <c r="AA145" s="6"/>
      <c r="AB145" s="6"/>
      <c r="AC145" s="6"/>
      <c r="AD145" s="6"/>
      <c r="AE145" s="6"/>
      <c r="AF145" s="6"/>
      <c r="AG145" s="6"/>
    </row>
    <row r="146" ht="30" customHeight="1" spans="1:33">
      <c r="A146" s="6" t="s">
        <v>207</v>
      </c>
      <c r="B146" s="7">
        <v>45897</v>
      </c>
      <c r="C146" s="6" t="str">
        <f t="shared" si="2"/>
        <v>2025年8月</v>
      </c>
      <c r="D146" s="40" t="s">
        <v>40</v>
      </c>
      <c r="E146" s="6" t="s">
        <v>4662</v>
      </c>
      <c r="F146" s="6" t="s">
        <v>11</v>
      </c>
      <c r="G146" s="50" t="s">
        <v>4169</v>
      </c>
      <c r="H146" s="40"/>
      <c r="I146" s="50" t="s">
        <v>82</v>
      </c>
      <c r="J146" s="50" t="s">
        <v>4176</v>
      </c>
      <c r="K146" s="8" t="s">
        <v>2959</v>
      </c>
      <c r="L146" s="59" t="s">
        <v>2960</v>
      </c>
      <c r="M146" s="61"/>
      <c r="N146" s="6" t="s">
        <v>4663</v>
      </c>
      <c r="O146" s="6" t="s">
        <v>4660</v>
      </c>
      <c r="P146" s="76">
        <v>9850</v>
      </c>
      <c r="Q146" s="6" t="s">
        <v>149</v>
      </c>
      <c r="R146" s="50" t="s">
        <v>4253</v>
      </c>
      <c r="S146" s="50" t="s">
        <v>4215</v>
      </c>
      <c r="T146" s="50" t="s">
        <v>3506</v>
      </c>
      <c r="U146" s="6" t="s">
        <v>685</v>
      </c>
      <c r="V146" s="6" t="s">
        <v>4661</v>
      </c>
      <c r="W146" s="6"/>
      <c r="X146" s="6"/>
      <c r="Y146" s="6"/>
      <c r="Z146" s="6"/>
      <c r="AA146" s="6"/>
      <c r="AB146" s="6"/>
      <c r="AC146" s="6"/>
      <c r="AD146" s="6"/>
      <c r="AE146" s="6"/>
      <c r="AF146" s="6"/>
      <c r="AG146" s="6"/>
    </row>
    <row r="147" ht="30" customHeight="1" spans="1:33">
      <c r="A147" s="6" t="s">
        <v>207</v>
      </c>
      <c r="B147" s="7">
        <v>45901</v>
      </c>
      <c r="C147" s="6" t="str">
        <f t="shared" si="2"/>
        <v>2025年9月</v>
      </c>
      <c r="D147" s="40" t="s">
        <v>39</v>
      </c>
      <c r="E147" s="6" t="s">
        <v>4664</v>
      </c>
      <c r="F147" s="6" t="s">
        <v>12</v>
      </c>
      <c r="G147" s="50" t="s">
        <v>2954</v>
      </c>
      <c r="H147" s="40"/>
      <c r="I147" s="50" t="s">
        <v>82</v>
      </c>
      <c r="J147" s="50" t="s">
        <v>4176</v>
      </c>
      <c r="K147" s="8" t="s">
        <v>4665</v>
      </c>
      <c r="L147" s="6" t="s">
        <v>4666</v>
      </c>
      <c r="M147" s="61"/>
      <c r="N147" s="6" t="s">
        <v>4667</v>
      </c>
      <c r="O147" s="6" t="s">
        <v>4571</v>
      </c>
      <c r="P147" s="61">
        <v>300</v>
      </c>
      <c r="Q147" s="6" t="s">
        <v>173</v>
      </c>
      <c r="R147" s="50" t="s">
        <v>4319</v>
      </c>
      <c r="S147" s="50" t="s">
        <v>4215</v>
      </c>
      <c r="T147" s="50" t="s">
        <v>3506</v>
      </c>
      <c r="U147" s="6" t="s">
        <v>833</v>
      </c>
      <c r="V147" s="6" t="s">
        <v>4668</v>
      </c>
      <c r="W147" s="6"/>
      <c r="X147" s="6"/>
      <c r="Y147" s="6"/>
      <c r="Z147" s="6"/>
      <c r="AA147" s="6" t="s">
        <v>4669</v>
      </c>
      <c r="AB147" s="6"/>
      <c r="AC147" s="6"/>
      <c r="AD147" s="6"/>
      <c r="AE147" s="6"/>
      <c r="AF147" s="6"/>
      <c r="AG147" s="6"/>
    </row>
    <row r="148" ht="30" customHeight="1" spans="1:33">
      <c r="A148" s="6" t="s">
        <v>207</v>
      </c>
      <c r="B148" s="7">
        <v>45901</v>
      </c>
      <c r="C148" s="6" t="str">
        <f t="shared" si="2"/>
        <v>2025年9月</v>
      </c>
      <c r="D148" s="40" t="s">
        <v>40</v>
      </c>
      <c r="E148" s="6" t="s">
        <v>4670</v>
      </c>
      <c r="F148" s="6" t="s">
        <v>11</v>
      </c>
      <c r="G148" s="50" t="s">
        <v>4169</v>
      </c>
      <c r="H148" s="40"/>
      <c r="I148" s="50" t="s">
        <v>82</v>
      </c>
      <c r="J148" s="50" t="s">
        <v>4176</v>
      </c>
      <c r="K148" s="8" t="s">
        <v>2959</v>
      </c>
      <c r="L148" s="59" t="s">
        <v>2960</v>
      </c>
      <c r="M148" s="61"/>
      <c r="N148" s="6" t="s">
        <v>4671</v>
      </c>
      <c r="O148" s="6" t="s">
        <v>4660</v>
      </c>
      <c r="P148" s="61">
        <v>20000</v>
      </c>
      <c r="Q148" s="6" t="s">
        <v>149</v>
      </c>
      <c r="R148" s="50" t="s">
        <v>4253</v>
      </c>
      <c r="S148" s="50" t="s">
        <v>4215</v>
      </c>
      <c r="T148" s="50" t="s">
        <v>3506</v>
      </c>
      <c r="U148" s="6" t="s">
        <v>685</v>
      </c>
      <c r="V148" s="6"/>
      <c r="W148" s="6"/>
      <c r="X148" s="6"/>
      <c r="Y148" s="6"/>
      <c r="Z148" s="6"/>
      <c r="AA148" s="6"/>
      <c r="AB148" s="6"/>
      <c r="AC148" s="6"/>
      <c r="AD148" s="6"/>
      <c r="AE148" s="6"/>
      <c r="AF148" s="6"/>
      <c r="AG148" s="6"/>
    </row>
    <row r="149" ht="30" customHeight="1" spans="1:33">
      <c r="A149" s="6" t="s">
        <v>207</v>
      </c>
      <c r="B149" s="7">
        <v>45901</v>
      </c>
      <c r="C149" s="6" t="str">
        <f t="shared" si="2"/>
        <v>2025年9月</v>
      </c>
      <c r="D149" s="40" t="s">
        <v>40</v>
      </c>
      <c r="E149" s="6" t="s">
        <v>4672</v>
      </c>
      <c r="F149" s="6" t="s">
        <v>11</v>
      </c>
      <c r="G149" s="50" t="s">
        <v>4169</v>
      </c>
      <c r="H149" s="40"/>
      <c r="I149" s="50" t="s">
        <v>82</v>
      </c>
      <c r="J149" s="50" t="s">
        <v>4176</v>
      </c>
      <c r="K149" s="8" t="s">
        <v>2959</v>
      </c>
      <c r="L149" s="59" t="s">
        <v>2960</v>
      </c>
      <c r="M149" s="61"/>
      <c r="N149" s="6" t="s">
        <v>4673</v>
      </c>
      <c r="O149" s="6" t="s">
        <v>4660</v>
      </c>
      <c r="P149" s="61">
        <v>19400</v>
      </c>
      <c r="Q149" s="6" t="s">
        <v>149</v>
      </c>
      <c r="R149" s="50" t="s">
        <v>4253</v>
      </c>
      <c r="S149" s="50" t="s">
        <v>4215</v>
      </c>
      <c r="T149" s="50" t="s">
        <v>3506</v>
      </c>
      <c r="U149" s="6" t="s">
        <v>685</v>
      </c>
      <c r="V149" s="6"/>
      <c r="W149" s="6"/>
      <c r="X149" s="6"/>
      <c r="Y149" s="6"/>
      <c r="Z149" s="6"/>
      <c r="AA149" s="6"/>
      <c r="AB149" s="6"/>
      <c r="AC149" s="6"/>
      <c r="AD149" s="6"/>
      <c r="AE149" s="6"/>
      <c r="AF149" s="6"/>
      <c r="AG149" s="6"/>
    </row>
    <row r="150" ht="30" customHeight="1" spans="1:33">
      <c r="A150" s="6" t="s">
        <v>207</v>
      </c>
      <c r="B150" s="7">
        <v>45904</v>
      </c>
      <c r="C150" s="6" t="str">
        <f t="shared" si="2"/>
        <v>2025年9月</v>
      </c>
      <c r="D150" s="40" t="s">
        <v>39</v>
      </c>
      <c r="E150" s="6" t="s">
        <v>4674</v>
      </c>
      <c r="F150" s="6" t="s">
        <v>11</v>
      </c>
      <c r="G150" s="50" t="s">
        <v>2954</v>
      </c>
      <c r="H150" s="40"/>
      <c r="I150" s="50" t="s">
        <v>82</v>
      </c>
      <c r="J150" s="50" t="s">
        <v>4176</v>
      </c>
      <c r="K150" s="8" t="s">
        <v>2918</v>
      </c>
      <c r="L150" s="6" t="s">
        <v>2919</v>
      </c>
      <c r="M150" s="61"/>
      <c r="N150" s="6" t="s">
        <v>4675</v>
      </c>
      <c r="O150" s="6" t="s">
        <v>4676</v>
      </c>
      <c r="P150" s="61">
        <v>330.1</v>
      </c>
      <c r="Q150" s="6" t="s">
        <v>173</v>
      </c>
      <c r="R150" s="50" t="s">
        <v>4253</v>
      </c>
      <c r="S150" s="50" t="s">
        <v>4215</v>
      </c>
      <c r="T150" s="50" t="s">
        <v>3506</v>
      </c>
      <c r="U150" s="6" t="s">
        <v>2364</v>
      </c>
      <c r="V150" s="6"/>
      <c r="W150" s="6"/>
      <c r="X150" s="6"/>
      <c r="Y150" s="6"/>
      <c r="Z150" s="6"/>
      <c r="AA150" s="6" t="s">
        <v>4677</v>
      </c>
      <c r="AB150" s="6"/>
      <c r="AC150" s="6"/>
      <c r="AD150" s="6"/>
      <c r="AE150" s="6"/>
      <c r="AF150" s="6"/>
      <c r="AG150" s="6"/>
    </row>
    <row r="151" ht="30" customHeight="1" spans="1:33">
      <c r="A151" s="6" t="s">
        <v>207</v>
      </c>
      <c r="B151" s="7">
        <v>45908</v>
      </c>
      <c r="C151" s="6" t="str">
        <f t="shared" si="2"/>
        <v>2025年9月</v>
      </c>
      <c r="D151" s="40" t="s">
        <v>39</v>
      </c>
      <c r="E151" s="41" t="s">
        <v>4678</v>
      </c>
      <c r="F151" s="6" t="s">
        <v>11</v>
      </c>
      <c r="G151" s="50" t="s">
        <v>2954</v>
      </c>
      <c r="H151" s="40"/>
      <c r="I151" s="50" t="s">
        <v>82</v>
      </c>
      <c r="J151" s="50" t="s">
        <v>4190</v>
      </c>
      <c r="K151" s="8" t="s">
        <v>2907</v>
      </c>
      <c r="L151" s="6" t="s">
        <v>2908</v>
      </c>
      <c r="M151" s="61"/>
      <c r="N151" s="6" t="s">
        <v>4679</v>
      </c>
      <c r="O151" s="6" t="s">
        <v>4680</v>
      </c>
      <c r="P151" s="61">
        <v>8168</v>
      </c>
      <c r="Q151" s="6" t="s">
        <v>173</v>
      </c>
      <c r="R151" s="50" t="s">
        <v>4319</v>
      </c>
      <c r="S151" s="50" t="s">
        <v>4173</v>
      </c>
      <c r="T151" s="50" t="s">
        <v>3506</v>
      </c>
      <c r="U151" s="6" t="s">
        <v>1509</v>
      </c>
      <c r="V151" s="6" t="s">
        <v>4681</v>
      </c>
      <c r="W151" s="6"/>
      <c r="X151" s="6"/>
      <c r="Y151" s="6"/>
      <c r="Z151" s="6"/>
      <c r="AA151" s="6" t="s">
        <v>4682</v>
      </c>
      <c r="AB151" s="6"/>
      <c r="AC151" s="6"/>
      <c r="AD151" s="6"/>
      <c r="AE151" s="6"/>
      <c r="AF151" s="6"/>
      <c r="AG151" s="6"/>
    </row>
    <row r="152" ht="30" customHeight="1" spans="1:33">
      <c r="A152" s="6" t="s">
        <v>207</v>
      </c>
      <c r="B152" s="7">
        <v>45909</v>
      </c>
      <c r="C152" s="6" t="str">
        <f t="shared" si="2"/>
        <v>2025年9月</v>
      </c>
      <c r="D152" s="40" t="s">
        <v>40</v>
      </c>
      <c r="E152" s="6" t="s">
        <v>4683</v>
      </c>
      <c r="F152" s="6" t="s">
        <v>10</v>
      </c>
      <c r="G152" s="50" t="s">
        <v>4169</v>
      </c>
      <c r="H152" s="40"/>
      <c r="I152" s="50" t="s">
        <v>82</v>
      </c>
      <c r="J152" s="50" t="s">
        <v>4176</v>
      </c>
      <c r="K152" s="8" t="s">
        <v>564</v>
      </c>
      <c r="L152" s="6" t="s">
        <v>565</v>
      </c>
      <c r="M152" s="61" t="s">
        <v>4555</v>
      </c>
      <c r="N152" s="6" t="s">
        <v>4684</v>
      </c>
      <c r="O152" s="6" t="s">
        <v>1023</v>
      </c>
      <c r="P152" s="61">
        <v>9.05</v>
      </c>
      <c r="Q152" s="6" t="s">
        <v>149</v>
      </c>
      <c r="R152" s="50" t="s">
        <v>4253</v>
      </c>
      <c r="S152" s="50" t="s">
        <v>4215</v>
      </c>
      <c r="T152" s="50" t="s">
        <v>3506</v>
      </c>
      <c r="U152" s="6" t="s">
        <v>670</v>
      </c>
      <c r="V152" s="6" t="s">
        <v>4685</v>
      </c>
      <c r="W152" s="6"/>
      <c r="X152" s="6"/>
      <c r="Y152" s="6"/>
      <c r="Z152" s="6"/>
      <c r="AA152" s="6"/>
      <c r="AB152" s="6"/>
      <c r="AC152" s="6"/>
      <c r="AD152" s="6"/>
      <c r="AE152" s="6"/>
      <c r="AF152" s="6"/>
      <c r="AG152" s="6"/>
    </row>
    <row r="153" ht="30" customHeight="1" spans="1:33">
      <c r="A153" s="6" t="s">
        <v>207</v>
      </c>
      <c r="B153" s="7">
        <v>45909</v>
      </c>
      <c r="C153" s="6" t="str">
        <f t="shared" ref="C153:C216" si="3">YEAR(B153)&amp;"年"&amp;MONTH(B153)&amp;"月"</f>
        <v>2025年9月</v>
      </c>
      <c r="D153" s="40" t="s">
        <v>40</v>
      </c>
      <c r="E153" s="6" t="s">
        <v>4686</v>
      </c>
      <c r="F153" s="6" t="s">
        <v>10</v>
      </c>
      <c r="G153" s="50" t="s">
        <v>4169</v>
      </c>
      <c r="H153" s="40"/>
      <c r="I153" s="50" t="s">
        <v>82</v>
      </c>
      <c r="J153" s="50" t="s">
        <v>4176</v>
      </c>
      <c r="K153" s="8" t="s">
        <v>564</v>
      </c>
      <c r="L153" s="6" t="s">
        <v>565</v>
      </c>
      <c r="M153" s="61" t="s">
        <v>4555</v>
      </c>
      <c r="N153" s="6" t="s">
        <v>4687</v>
      </c>
      <c r="O153" s="6" t="s">
        <v>1023</v>
      </c>
      <c r="P153" s="61">
        <v>8.3</v>
      </c>
      <c r="Q153" s="6" t="s">
        <v>149</v>
      </c>
      <c r="R153" s="50" t="s">
        <v>4253</v>
      </c>
      <c r="S153" s="50" t="s">
        <v>4215</v>
      </c>
      <c r="T153" s="50" t="s">
        <v>3506</v>
      </c>
      <c r="U153" s="6" t="s">
        <v>670</v>
      </c>
      <c r="V153" s="6" t="s">
        <v>4685</v>
      </c>
      <c r="W153" s="6"/>
      <c r="X153" s="6"/>
      <c r="Y153" s="6"/>
      <c r="Z153" s="6"/>
      <c r="AA153" s="6"/>
      <c r="AB153" s="6"/>
      <c r="AC153" s="6"/>
      <c r="AD153" s="6"/>
      <c r="AE153" s="6"/>
      <c r="AF153" s="6"/>
      <c r="AG153" s="6"/>
    </row>
    <row r="154" ht="30" customHeight="1" spans="1:33">
      <c r="A154" s="6" t="s">
        <v>207</v>
      </c>
      <c r="B154" s="7">
        <v>45911</v>
      </c>
      <c r="C154" s="6" t="str">
        <f t="shared" si="3"/>
        <v>2025年9月</v>
      </c>
      <c r="D154" s="40" t="s">
        <v>40</v>
      </c>
      <c r="E154" s="6" t="s">
        <v>4688</v>
      </c>
      <c r="F154" s="6" t="s">
        <v>10</v>
      </c>
      <c r="G154" s="50" t="s">
        <v>4169</v>
      </c>
      <c r="H154" s="40"/>
      <c r="I154" s="50" t="s">
        <v>82</v>
      </c>
      <c r="J154" s="50" t="s">
        <v>4176</v>
      </c>
      <c r="K154" s="8" t="s">
        <v>4553</v>
      </c>
      <c r="L154" s="6" t="s">
        <v>4554</v>
      </c>
      <c r="M154" s="61" t="s">
        <v>4555</v>
      </c>
      <c r="N154" s="6" t="s">
        <v>4689</v>
      </c>
      <c r="O154" s="6" t="s">
        <v>1023</v>
      </c>
      <c r="P154" s="61">
        <v>12.51</v>
      </c>
      <c r="Q154" s="6" t="s">
        <v>149</v>
      </c>
      <c r="R154" s="50" t="s">
        <v>4253</v>
      </c>
      <c r="S154" s="50" t="s">
        <v>4215</v>
      </c>
      <c r="T154" s="50" t="s">
        <v>3506</v>
      </c>
      <c r="U154" s="6" t="s">
        <v>801</v>
      </c>
      <c r="V154" s="6"/>
      <c r="W154" s="6"/>
      <c r="X154" s="6"/>
      <c r="Y154" s="6"/>
      <c r="Z154" s="6"/>
      <c r="AA154" s="6"/>
      <c r="AB154" s="6"/>
      <c r="AC154" s="6"/>
      <c r="AD154" s="6"/>
      <c r="AE154" s="6"/>
      <c r="AF154" s="6"/>
      <c r="AG154" s="6"/>
    </row>
    <row r="155" ht="30" customHeight="1" spans="1:33">
      <c r="A155" s="6" t="s">
        <v>207</v>
      </c>
      <c r="B155" s="7">
        <v>45916</v>
      </c>
      <c r="C155" s="6" t="str">
        <f t="shared" si="3"/>
        <v>2025年9月</v>
      </c>
      <c r="D155" s="40" t="s">
        <v>40</v>
      </c>
      <c r="E155" s="6" t="s">
        <v>4690</v>
      </c>
      <c r="F155" s="6" t="s">
        <v>10</v>
      </c>
      <c r="G155" s="50" t="s">
        <v>4169</v>
      </c>
      <c r="H155" s="40"/>
      <c r="I155" s="50" t="s">
        <v>82</v>
      </c>
      <c r="J155" s="50" t="s">
        <v>4176</v>
      </c>
      <c r="K155" s="8" t="s">
        <v>4691</v>
      </c>
      <c r="L155" s="6" t="s">
        <v>4692</v>
      </c>
      <c r="M155" s="61" t="s">
        <v>4693</v>
      </c>
      <c r="N155" s="6" t="s">
        <v>4694</v>
      </c>
      <c r="O155" s="6" t="s">
        <v>1023</v>
      </c>
      <c r="P155" s="61">
        <v>9.3</v>
      </c>
      <c r="Q155" s="6" t="s">
        <v>149</v>
      </c>
      <c r="R155" s="50" t="s">
        <v>4253</v>
      </c>
      <c r="S155" s="50" t="s">
        <v>4215</v>
      </c>
      <c r="T155" s="50" t="s">
        <v>3506</v>
      </c>
      <c r="U155" s="6" t="s">
        <v>2436</v>
      </c>
      <c r="V155" s="6"/>
      <c r="W155" s="6"/>
      <c r="X155" s="6"/>
      <c r="Y155" s="6"/>
      <c r="Z155" s="6"/>
      <c r="AA155" s="6"/>
      <c r="AB155" s="6"/>
      <c r="AC155" s="6"/>
      <c r="AD155" s="6"/>
      <c r="AE155" s="6"/>
      <c r="AF155" s="6"/>
      <c r="AG155" s="6"/>
    </row>
    <row r="156" ht="30" customHeight="1" spans="1:33">
      <c r="A156" s="6" t="s">
        <v>142</v>
      </c>
      <c r="B156" s="7">
        <v>45925</v>
      </c>
      <c r="C156" s="6" t="str">
        <f t="shared" si="3"/>
        <v>2025年9月</v>
      </c>
      <c r="D156" s="40" t="s">
        <v>40</v>
      </c>
      <c r="E156" s="6" t="s">
        <v>4695</v>
      </c>
      <c r="F156" s="6" t="s">
        <v>11</v>
      </c>
      <c r="G156" s="50" t="s">
        <v>4169</v>
      </c>
      <c r="H156" s="40"/>
      <c r="I156" s="50" t="s">
        <v>82</v>
      </c>
      <c r="J156" s="50" t="s">
        <v>4190</v>
      </c>
      <c r="K156" s="8" t="s">
        <v>4696</v>
      </c>
      <c r="L156" s="6" t="s">
        <v>4697</v>
      </c>
      <c r="M156" s="61"/>
      <c r="N156" s="6" t="s">
        <v>4698</v>
      </c>
      <c r="O156" s="6" t="s">
        <v>4699</v>
      </c>
      <c r="P156" s="86">
        <v>10050</v>
      </c>
      <c r="Q156" s="6" t="s">
        <v>149</v>
      </c>
      <c r="S156" s="50" t="s">
        <v>4215</v>
      </c>
      <c r="T156" s="50" t="s">
        <v>3506</v>
      </c>
      <c r="U156" s="6" t="s">
        <v>685</v>
      </c>
      <c r="V156" s="6"/>
      <c r="W156" s="6"/>
      <c r="X156" s="6"/>
      <c r="Y156" s="6"/>
      <c r="Z156" s="6"/>
      <c r="AA156" s="6"/>
      <c r="AB156" s="6"/>
      <c r="AC156" s="6"/>
      <c r="AD156" s="6"/>
      <c r="AE156" s="6"/>
      <c r="AF156" s="6"/>
      <c r="AG156" s="6"/>
    </row>
    <row r="157" ht="30" customHeight="1" spans="1:33">
      <c r="A157" s="6" t="s">
        <v>142</v>
      </c>
      <c r="B157" s="7">
        <v>45933</v>
      </c>
      <c r="C157" s="6" t="str">
        <f t="shared" si="3"/>
        <v>2025年10月</v>
      </c>
      <c r="D157" s="40" t="s">
        <v>40</v>
      </c>
      <c r="E157" s="85" t="s">
        <v>4700</v>
      </c>
      <c r="F157" s="6" t="s">
        <v>10</v>
      </c>
      <c r="G157" s="50" t="s">
        <v>2954</v>
      </c>
      <c r="H157" s="40"/>
      <c r="I157" s="50" t="s">
        <v>82</v>
      </c>
      <c r="J157" s="50" t="s">
        <v>4176</v>
      </c>
      <c r="K157" s="6" t="s">
        <v>4701</v>
      </c>
      <c r="L157" s="6"/>
      <c r="M157" s="61"/>
      <c r="N157" s="6" t="s">
        <v>4702</v>
      </c>
      <c r="O157" s="6"/>
      <c r="P157" s="61">
        <v>83.698</v>
      </c>
      <c r="Q157" s="6" t="s">
        <v>303</v>
      </c>
      <c r="R157" s="50" t="s">
        <v>4253</v>
      </c>
      <c r="U157" s="6"/>
      <c r="V157" s="6"/>
      <c r="W157" s="6"/>
      <c r="X157" s="6"/>
      <c r="Y157" s="6"/>
      <c r="Z157" s="6"/>
      <c r="AA157" s="6"/>
      <c r="AB157" s="6"/>
      <c r="AC157" s="6"/>
      <c r="AD157" s="6"/>
      <c r="AE157" s="6"/>
      <c r="AF157" s="6"/>
      <c r="AG157" s="6"/>
    </row>
    <row r="158" ht="30" customHeight="1" spans="1:33">
      <c r="A158" s="6" t="s">
        <v>78</v>
      </c>
      <c r="B158" s="7">
        <v>45937</v>
      </c>
      <c r="C158" s="6" t="str">
        <f t="shared" si="3"/>
        <v>2025年10月</v>
      </c>
      <c r="D158" s="40" t="s">
        <v>40</v>
      </c>
      <c r="E158" s="6" t="s">
        <v>4703</v>
      </c>
      <c r="F158" s="6" t="s">
        <v>10</v>
      </c>
      <c r="G158" s="50" t="s">
        <v>2954</v>
      </c>
      <c r="H158" s="40"/>
      <c r="I158" s="50" t="s">
        <v>82</v>
      </c>
      <c r="J158" s="50" t="s">
        <v>4176</v>
      </c>
      <c r="K158" s="8" t="s">
        <v>1273</v>
      </c>
      <c r="L158" s="6" t="s">
        <v>1275</v>
      </c>
      <c r="M158" s="61" t="s">
        <v>1005</v>
      </c>
      <c r="N158" s="6" t="s">
        <v>4704</v>
      </c>
      <c r="O158" s="6" t="s">
        <v>4705</v>
      </c>
      <c r="P158" s="61">
        <v>400</v>
      </c>
      <c r="Q158" s="6" t="s">
        <v>149</v>
      </c>
      <c r="R158" s="50" t="s">
        <v>4253</v>
      </c>
      <c r="S158" s="50" t="s">
        <v>4215</v>
      </c>
      <c r="T158" s="50" t="s">
        <v>3506</v>
      </c>
      <c r="U158" s="6" t="s">
        <v>85</v>
      </c>
      <c r="V158" s="6"/>
      <c r="W158" s="6"/>
      <c r="X158" s="6"/>
      <c r="Y158" s="6"/>
      <c r="Z158" s="6"/>
      <c r="AA158" s="6"/>
      <c r="AB158" s="6"/>
      <c r="AC158" s="6"/>
      <c r="AD158" s="6"/>
      <c r="AE158" s="6"/>
      <c r="AF158" s="6"/>
      <c r="AG158" s="6"/>
    </row>
    <row r="159" ht="30" customHeight="1" spans="1:33">
      <c r="A159" s="6" t="s">
        <v>78</v>
      </c>
      <c r="B159" s="7">
        <v>45937</v>
      </c>
      <c r="C159" s="6" t="str">
        <f t="shared" si="3"/>
        <v>2025年10月</v>
      </c>
      <c r="D159" s="40" t="s">
        <v>40</v>
      </c>
      <c r="E159" s="6" t="s">
        <v>4706</v>
      </c>
      <c r="F159" s="6" t="s">
        <v>10</v>
      </c>
      <c r="G159" s="50" t="s">
        <v>2954</v>
      </c>
      <c r="H159" s="40"/>
      <c r="I159" s="50" t="s">
        <v>82</v>
      </c>
      <c r="J159" s="50" t="s">
        <v>4176</v>
      </c>
      <c r="K159" s="8" t="s">
        <v>1273</v>
      </c>
      <c r="L159" s="6" t="s">
        <v>1275</v>
      </c>
      <c r="M159" s="61" t="s">
        <v>1005</v>
      </c>
      <c r="N159" s="6" t="s">
        <v>4707</v>
      </c>
      <c r="O159" s="6" t="s">
        <v>4705</v>
      </c>
      <c r="P159" s="61">
        <v>400</v>
      </c>
      <c r="Q159" s="6" t="s">
        <v>149</v>
      </c>
      <c r="R159" s="50" t="s">
        <v>4253</v>
      </c>
      <c r="S159" s="50" t="s">
        <v>4215</v>
      </c>
      <c r="T159" s="50" t="s">
        <v>3506</v>
      </c>
      <c r="U159" s="6" t="s">
        <v>85</v>
      </c>
      <c r="V159" s="6"/>
      <c r="W159" s="6"/>
      <c r="X159" s="6"/>
      <c r="Y159" s="6"/>
      <c r="Z159" s="6"/>
      <c r="AA159" s="6"/>
      <c r="AB159" s="6"/>
      <c r="AC159" s="6"/>
      <c r="AD159" s="6"/>
      <c r="AE159" s="6"/>
      <c r="AF159" s="6"/>
      <c r="AG159" s="6"/>
    </row>
    <row r="160" ht="30" customHeight="1" spans="1:33">
      <c r="A160" s="6" t="s">
        <v>207</v>
      </c>
      <c r="B160" s="7">
        <v>45946</v>
      </c>
      <c r="C160" s="6" t="str">
        <f t="shared" si="3"/>
        <v>2025年10月</v>
      </c>
      <c r="D160" s="40" t="s">
        <v>42</v>
      </c>
      <c r="E160" s="6" t="s">
        <v>4708</v>
      </c>
      <c r="F160" s="6" t="s">
        <v>10</v>
      </c>
      <c r="G160" s="50" t="s">
        <v>2954</v>
      </c>
      <c r="H160" s="40"/>
      <c r="I160" s="50" t="s">
        <v>1058</v>
      </c>
      <c r="J160" s="50" t="s">
        <v>4176</v>
      </c>
      <c r="K160" s="8" t="s">
        <v>4709</v>
      </c>
      <c r="L160" s="6" t="s">
        <v>4710</v>
      </c>
      <c r="M160" s="61" t="s">
        <v>4711</v>
      </c>
      <c r="N160" s="6" t="s">
        <v>4712</v>
      </c>
      <c r="O160" s="6" t="s">
        <v>4713</v>
      </c>
      <c r="P160" s="61">
        <v>7174240</v>
      </c>
      <c r="Q160" s="6" t="s">
        <v>1172</v>
      </c>
      <c r="S160" s="50" t="s">
        <v>4215</v>
      </c>
      <c r="T160" s="50" t="s">
        <v>3506</v>
      </c>
      <c r="U160" s="6" t="s">
        <v>4714</v>
      </c>
      <c r="V160" s="6" t="s">
        <v>4715</v>
      </c>
      <c r="W160" s="6"/>
      <c r="X160" s="6"/>
      <c r="Y160" s="6"/>
      <c r="Z160" s="6"/>
      <c r="AA160" s="6"/>
      <c r="AB160" s="6"/>
      <c r="AC160" s="6"/>
      <c r="AD160" s="6"/>
      <c r="AE160" s="6"/>
      <c r="AF160" s="6"/>
      <c r="AG160" s="6"/>
    </row>
    <row r="161" ht="30" customHeight="1" spans="1:33">
      <c r="A161" s="6" t="s">
        <v>207</v>
      </c>
      <c r="B161" s="7">
        <v>45950</v>
      </c>
      <c r="C161" s="6" t="str">
        <f t="shared" si="3"/>
        <v>2025年10月</v>
      </c>
      <c r="D161" s="40" t="s">
        <v>40</v>
      </c>
      <c r="E161" s="6" t="s">
        <v>4716</v>
      </c>
      <c r="F161" s="6" t="s">
        <v>10</v>
      </c>
      <c r="G161" s="50" t="s">
        <v>2954</v>
      </c>
      <c r="H161" s="40"/>
      <c r="I161" s="50" t="s">
        <v>82</v>
      </c>
      <c r="J161" s="50" t="s">
        <v>4176</v>
      </c>
      <c r="K161" s="8" t="s">
        <v>4717</v>
      </c>
      <c r="L161" s="6" t="s">
        <v>4718</v>
      </c>
      <c r="M161" s="61" t="s">
        <v>1005</v>
      </c>
      <c r="N161" s="6" t="s">
        <v>4719</v>
      </c>
      <c r="O161" s="6" t="s">
        <v>4720</v>
      </c>
      <c r="P161" s="61">
        <v>140</v>
      </c>
      <c r="Q161" s="6" t="s">
        <v>149</v>
      </c>
      <c r="R161" s="50" t="s">
        <v>4319</v>
      </c>
      <c r="S161" s="50" t="s">
        <v>4215</v>
      </c>
      <c r="T161" s="50" t="s">
        <v>3557</v>
      </c>
      <c r="U161" s="6" t="s">
        <v>833</v>
      </c>
      <c r="V161" s="6" t="s">
        <v>4721</v>
      </c>
      <c r="W161" s="6"/>
      <c r="X161" s="6"/>
      <c r="Y161" s="6"/>
      <c r="Z161" s="6"/>
      <c r="AA161" s="6"/>
      <c r="AB161" s="6"/>
      <c r="AC161" s="6"/>
      <c r="AD161" s="6"/>
      <c r="AE161" s="6"/>
      <c r="AF161" s="6"/>
      <c r="AG161" s="6"/>
    </row>
    <row r="162" ht="30" customHeight="1" spans="1:33">
      <c r="A162" s="6" t="s">
        <v>207</v>
      </c>
      <c r="B162" s="7">
        <v>45951</v>
      </c>
      <c r="C162" s="6" t="str">
        <f t="shared" si="3"/>
        <v>2025年10月</v>
      </c>
      <c r="D162" s="40" t="s">
        <v>40</v>
      </c>
      <c r="E162" s="6" t="s">
        <v>4722</v>
      </c>
      <c r="F162" s="6" t="s">
        <v>10</v>
      </c>
      <c r="G162" s="50" t="s">
        <v>4169</v>
      </c>
      <c r="H162" s="40"/>
      <c r="I162" s="50" t="s">
        <v>82</v>
      </c>
      <c r="J162" s="50" t="s">
        <v>4176</v>
      </c>
      <c r="K162" s="8" t="s">
        <v>1273</v>
      </c>
      <c r="L162" s="6" t="s">
        <v>1275</v>
      </c>
      <c r="M162" s="61" t="s">
        <v>1005</v>
      </c>
      <c r="N162" s="6" t="s">
        <v>4723</v>
      </c>
      <c r="O162" s="6" t="s">
        <v>4724</v>
      </c>
      <c r="P162" s="61">
        <v>220</v>
      </c>
      <c r="Q162" s="6" t="s">
        <v>149</v>
      </c>
      <c r="R162" s="50" t="s">
        <v>4253</v>
      </c>
      <c r="S162" s="50" t="s">
        <v>4215</v>
      </c>
      <c r="T162" s="50" t="s">
        <v>3506</v>
      </c>
      <c r="U162" s="6" t="s">
        <v>85</v>
      </c>
      <c r="V162" s="6" t="s">
        <v>4725</v>
      </c>
      <c r="W162" s="6"/>
      <c r="X162" s="6"/>
      <c r="Y162" s="6"/>
      <c r="Z162" s="6"/>
      <c r="AA162" s="6"/>
      <c r="AB162" s="6"/>
      <c r="AC162" s="6"/>
      <c r="AD162" s="6"/>
      <c r="AE162" s="6"/>
      <c r="AF162" s="6"/>
      <c r="AG162" s="6"/>
    </row>
    <row r="163" ht="30" customHeight="1" spans="1:33">
      <c r="A163" s="6" t="s">
        <v>78</v>
      </c>
      <c r="B163" s="7">
        <v>45959</v>
      </c>
      <c r="C163" s="6" t="str">
        <f t="shared" si="3"/>
        <v>2025年10月</v>
      </c>
      <c r="D163" s="40" t="s">
        <v>40</v>
      </c>
      <c r="E163" s="6" t="s">
        <v>4726</v>
      </c>
      <c r="F163" s="6" t="s">
        <v>10</v>
      </c>
      <c r="G163" s="50" t="s">
        <v>4169</v>
      </c>
      <c r="H163" s="40"/>
      <c r="I163" s="50" t="s">
        <v>82</v>
      </c>
      <c r="J163" s="50" t="s">
        <v>4190</v>
      </c>
      <c r="K163" s="8" t="s">
        <v>4727</v>
      </c>
      <c r="L163" s="6" t="s">
        <v>4728</v>
      </c>
      <c r="M163" s="61" t="s">
        <v>3749</v>
      </c>
      <c r="N163" s="6" t="s">
        <v>4729</v>
      </c>
      <c r="O163" s="6" t="s">
        <v>1016</v>
      </c>
      <c r="P163" s="61">
        <v>55</v>
      </c>
      <c r="Q163" s="6" t="s">
        <v>149</v>
      </c>
      <c r="R163" s="50" t="s">
        <v>4319</v>
      </c>
      <c r="S163" s="50" t="s">
        <v>4215</v>
      </c>
      <c r="T163" s="50" t="s">
        <v>3506</v>
      </c>
      <c r="U163" s="6" t="s">
        <v>270</v>
      </c>
      <c r="V163" s="6"/>
      <c r="W163" s="6"/>
      <c r="X163" s="6"/>
      <c r="Y163" s="6"/>
      <c r="Z163" s="6"/>
      <c r="AA163" s="6"/>
      <c r="AB163" s="6"/>
      <c r="AC163" s="6"/>
      <c r="AD163" s="6"/>
      <c r="AE163" s="6"/>
      <c r="AF163" s="6"/>
      <c r="AG163" s="6"/>
    </row>
    <row r="164" ht="30" customHeight="1" spans="1:33">
      <c r="A164" s="6" t="s">
        <v>207</v>
      </c>
      <c r="B164" s="7">
        <v>45962</v>
      </c>
      <c r="C164" s="6" t="str">
        <f t="shared" si="3"/>
        <v>2025年11月</v>
      </c>
      <c r="D164" s="40" t="s">
        <v>40</v>
      </c>
      <c r="E164" s="41" t="s">
        <v>4730</v>
      </c>
      <c r="F164" s="6" t="s">
        <v>11</v>
      </c>
      <c r="G164" s="50" t="s">
        <v>4169</v>
      </c>
      <c r="H164" s="40"/>
      <c r="I164" s="50" t="s">
        <v>82</v>
      </c>
      <c r="J164" s="50" t="s">
        <v>4176</v>
      </c>
      <c r="K164" s="8" t="s">
        <v>4731</v>
      </c>
      <c r="L164" s="6" t="s">
        <v>4732</v>
      </c>
      <c r="M164" s="61"/>
      <c r="N164" s="6" t="s">
        <v>4733</v>
      </c>
      <c r="O164" s="6" t="s">
        <v>4734</v>
      </c>
      <c r="P164" s="61">
        <v>11900</v>
      </c>
      <c r="Q164" s="6" t="s">
        <v>149</v>
      </c>
      <c r="S164" s="50" t="s">
        <v>4215</v>
      </c>
      <c r="T164" s="50" t="s">
        <v>3506</v>
      </c>
      <c r="U164" s="6" t="s">
        <v>685</v>
      </c>
      <c r="V164" s="6" t="s">
        <v>4735</v>
      </c>
      <c r="W164" s="6"/>
      <c r="X164" s="6"/>
      <c r="Y164" s="6"/>
      <c r="Z164" s="6"/>
      <c r="AA164" s="6"/>
      <c r="AB164" s="6"/>
      <c r="AC164" s="6"/>
      <c r="AD164" s="6"/>
      <c r="AE164" s="6"/>
      <c r="AF164" s="6"/>
      <c r="AG164" s="6"/>
    </row>
    <row r="165" ht="30" customHeight="1" spans="1:33">
      <c r="A165" s="6" t="s">
        <v>207</v>
      </c>
      <c r="B165" s="7">
        <v>45962</v>
      </c>
      <c r="C165" s="6" t="str">
        <f t="shared" si="3"/>
        <v>2025年11月</v>
      </c>
      <c r="D165" s="40" t="s">
        <v>40</v>
      </c>
      <c r="E165" s="6" t="s">
        <v>4736</v>
      </c>
      <c r="F165" s="6" t="s">
        <v>11</v>
      </c>
      <c r="G165" s="50" t="s">
        <v>4169</v>
      </c>
      <c r="H165" s="40"/>
      <c r="I165" s="50" t="s">
        <v>82</v>
      </c>
      <c r="J165" s="50" t="s">
        <v>4176</v>
      </c>
      <c r="K165" s="8" t="s">
        <v>4731</v>
      </c>
      <c r="L165" s="6" t="s">
        <v>4732</v>
      </c>
      <c r="M165" s="61"/>
      <c r="N165" s="6" t="s">
        <v>4737</v>
      </c>
      <c r="O165" s="6" t="s">
        <v>4738</v>
      </c>
      <c r="P165" s="61">
        <v>23400</v>
      </c>
      <c r="Q165" s="6" t="s">
        <v>149</v>
      </c>
      <c r="S165" s="50" t="s">
        <v>4215</v>
      </c>
      <c r="T165" s="50" t="s">
        <v>3506</v>
      </c>
      <c r="U165" s="6" t="s">
        <v>685</v>
      </c>
      <c r="V165" s="6" t="s">
        <v>4739</v>
      </c>
      <c r="W165" s="6"/>
      <c r="X165" s="6"/>
      <c r="Y165" s="6"/>
      <c r="Z165" s="6"/>
      <c r="AA165" s="6"/>
      <c r="AB165" s="6"/>
      <c r="AC165" s="6"/>
      <c r="AD165" s="6"/>
      <c r="AE165" s="6"/>
      <c r="AF165" s="6"/>
      <c r="AG165" s="6"/>
    </row>
    <row r="166" ht="30" customHeight="1" spans="1:33">
      <c r="A166" s="6" t="s">
        <v>207</v>
      </c>
      <c r="B166" s="7">
        <v>45971</v>
      </c>
      <c r="C166" s="6" t="str">
        <f t="shared" si="3"/>
        <v>2025年11月</v>
      </c>
      <c r="D166" s="40" t="s">
        <v>40</v>
      </c>
      <c r="E166" s="6" t="s">
        <v>4740</v>
      </c>
      <c r="F166" s="6" t="s">
        <v>10</v>
      </c>
      <c r="G166" s="50" t="s">
        <v>4169</v>
      </c>
      <c r="H166" s="40"/>
      <c r="I166" s="50" t="s">
        <v>82</v>
      </c>
      <c r="J166" s="50" t="s">
        <v>4190</v>
      </c>
      <c r="K166" s="8" t="s">
        <v>4741</v>
      </c>
      <c r="L166" s="6" t="s">
        <v>4742</v>
      </c>
      <c r="M166" s="61" t="s">
        <v>3749</v>
      </c>
      <c r="N166" s="6" t="s">
        <v>4743</v>
      </c>
      <c r="O166" s="6" t="s">
        <v>1016</v>
      </c>
      <c r="P166" s="61">
        <v>330</v>
      </c>
      <c r="Q166" s="6" t="s">
        <v>149</v>
      </c>
      <c r="R166" s="50" t="s">
        <v>4319</v>
      </c>
      <c r="S166" s="50" t="s">
        <v>4215</v>
      </c>
      <c r="T166" s="50" t="s">
        <v>3506</v>
      </c>
      <c r="U166" s="6" t="s">
        <v>194</v>
      </c>
      <c r="V166" s="6"/>
      <c r="W166" s="6"/>
      <c r="X166" s="6"/>
      <c r="Y166" s="6"/>
      <c r="Z166" s="6"/>
      <c r="AA166" s="6"/>
      <c r="AB166" s="6"/>
      <c r="AC166" s="6"/>
      <c r="AD166" s="6"/>
      <c r="AE166" s="6"/>
      <c r="AF166" s="6"/>
      <c r="AG166" s="6"/>
    </row>
    <row r="167" ht="30" customHeight="1" spans="1:33">
      <c r="A167" s="6" t="s">
        <v>207</v>
      </c>
      <c r="B167" s="7">
        <v>45971</v>
      </c>
      <c r="C167" s="6" t="str">
        <f t="shared" si="3"/>
        <v>2025年11月</v>
      </c>
      <c r="D167" s="40" t="s">
        <v>40</v>
      </c>
      <c r="E167" s="6" t="s">
        <v>4744</v>
      </c>
      <c r="F167" s="6" t="s">
        <v>10</v>
      </c>
      <c r="G167" s="50" t="s">
        <v>4169</v>
      </c>
      <c r="H167" s="40"/>
      <c r="I167" s="50" t="s">
        <v>82</v>
      </c>
      <c r="J167" s="50" t="s">
        <v>4190</v>
      </c>
      <c r="K167" s="8" t="s">
        <v>4745</v>
      </c>
      <c r="L167" s="6" t="s">
        <v>4746</v>
      </c>
      <c r="M167" s="61" t="s">
        <v>3749</v>
      </c>
      <c r="N167" s="6" t="s">
        <v>4747</v>
      </c>
      <c r="O167" s="6" t="s">
        <v>1016</v>
      </c>
      <c r="P167" s="61">
        <v>140</v>
      </c>
      <c r="Q167" s="6" t="s">
        <v>149</v>
      </c>
      <c r="R167" s="50" t="s">
        <v>4319</v>
      </c>
      <c r="S167" s="50" t="s">
        <v>4215</v>
      </c>
      <c r="T167" s="50" t="s">
        <v>3506</v>
      </c>
      <c r="U167" s="6" t="s">
        <v>546</v>
      </c>
      <c r="V167" s="6"/>
      <c r="W167" s="6"/>
      <c r="X167" s="6"/>
      <c r="Y167" s="6"/>
      <c r="Z167" s="6"/>
      <c r="AA167" s="6"/>
      <c r="AB167" s="6"/>
      <c r="AC167" s="6"/>
      <c r="AD167" s="6"/>
      <c r="AE167" s="6"/>
      <c r="AF167" s="6"/>
      <c r="AG167" s="6"/>
    </row>
    <row r="168" ht="30" customHeight="1" spans="1:33">
      <c r="A168" s="6" t="s">
        <v>142</v>
      </c>
      <c r="B168" s="7">
        <v>45972</v>
      </c>
      <c r="C168" s="6" t="str">
        <f t="shared" si="3"/>
        <v>2025年11月</v>
      </c>
      <c r="D168" s="40" t="s">
        <v>39</v>
      </c>
      <c r="E168" s="6" t="s">
        <v>2996</v>
      </c>
      <c r="F168" s="6" t="s">
        <v>11</v>
      </c>
      <c r="G168" s="50" t="s">
        <v>4169</v>
      </c>
      <c r="H168" s="40"/>
      <c r="I168" s="50" t="s">
        <v>82</v>
      </c>
      <c r="J168" s="50" t="s">
        <v>4190</v>
      </c>
      <c r="K168" s="8" t="s">
        <v>2997</v>
      </c>
      <c r="L168" s="8" t="s">
        <v>2998</v>
      </c>
      <c r="M168" s="61"/>
      <c r="N168" s="6" t="s">
        <v>4748</v>
      </c>
      <c r="O168" s="6" t="s">
        <v>4749</v>
      </c>
      <c r="P168" s="76">
        <v>4160</v>
      </c>
      <c r="Q168" s="6" t="s">
        <v>173</v>
      </c>
      <c r="R168" s="50" t="s">
        <v>4319</v>
      </c>
      <c r="S168" s="50" t="s">
        <v>4173</v>
      </c>
      <c r="T168" s="50" t="s">
        <v>3506</v>
      </c>
      <c r="U168" s="6" t="s">
        <v>800</v>
      </c>
      <c r="V168" s="6"/>
      <c r="W168" s="6"/>
      <c r="X168" s="6"/>
      <c r="Y168" s="6"/>
      <c r="Z168" s="6"/>
      <c r="AA168" s="6"/>
      <c r="AB168" s="6"/>
      <c r="AC168" s="6"/>
      <c r="AD168" s="6"/>
      <c r="AE168" s="6"/>
      <c r="AF168" s="6"/>
      <c r="AG168" s="6"/>
    </row>
    <row r="169" ht="30" customHeight="1" spans="1:33">
      <c r="A169" s="6" t="s">
        <v>207</v>
      </c>
      <c r="B169" s="7">
        <v>45972</v>
      </c>
      <c r="C169" s="6" t="str">
        <f t="shared" si="3"/>
        <v>2025年11月</v>
      </c>
      <c r="D169" s="40" t="s">
        <v>40</v>
      </c>
      <c r="E169" s="6" t="s">
        <v>4750</v>
      </c>
      <c r="F169" s="6" t="s">
        <v>10</v>
      </c>
      <c r="G169" s="50" t="s">
        <v>4169</v>
      </c>
      <c r="H169" s="40"/>
      <c r="I169" s="50" t="s">
        <v>82</v>
      </c>
      <c r="J169" s="50" t="s">
        <v>4176</v>
      </c>
      <c r="K169" s="8" t="s">
        <v>4727</v>
      </c>
      <c r="L169" s="6" t="s">
        <v>4728</v>
      </c>
      <c r="M169" s="61" t="s">
        <v>3749</v>
      </c>
      <c r="N169" s="6" t="s">
        <v>4751</v>
      </c>
      <c r="O169" s="6" t="s">
        <v>1016</v>
      </c>
      <c r="P169" s="61">
        <v>60</v>
      </c>
      <c r="Q169" s="6" t="s">
        <v>149</v>
      </c>
      <c r="R169" s="50" t="s">
        <v>4253</v>
      </c>
      <c r="S169" s="50" t="s">
        <v>4215</v>
      </c>
      <c r="T169" s="50" t="s">
        <v>3506</v>
      </c>
      <c r="U169" s="6" t="s">
        <v>270</v>
      </c>
      <c r="V169" s="6"/>
      <c r="W169" s="6"/>
      <c r="X169" s="6"/>
      <c r="Y169" s="6"/>
      <c r="Z169" s="6"/>
      <c r="AA169" s="6"/>
      <c r="AB169" s="6"/>
      <c r="AC169" s="6"/>
      <c r="AD169" s="6"/>
      <c r="AE169" s="6"/>
      <c r="AF169" s="6"/>
      <c r="AG169" s="6"/>
    </row>
    <row r="170" ht="30" customHeight="1" spans="1:33">
      <c r="A170" s="6" t="s">
        <v>207</v>
      </c>
      <c r="B170" s="7">
        <v>45972</v>
      </c>
      <c r="C170" s="6" t="str">
        <f t="shared" si="3"/>
        <v>2025年11月</v>
      </c>
      <c r="D170" s="40" t="s">
        <v>40</v>
      </c>
      <c r="E170" s="6" t="s">
        <v>4752</v>
      </c>
      <c r="F170" s="6" t="s">
        <v>10</v>
      </c>
      <c r="G170" s="50" t="s">
        <v>4169</v>
      </c>
      <c r="H170" s="40"/>
      <c r="I170" s="50" t="s">
        <v>82</v>
      </c>
      <c r="J170" s="50" t="s">
        <v>4176</v>
      </c>
      <c r="K170" s="8" t="s">
        <v>4727</v>
      </c>
      <c r="L170" s="6" t="s">
        <v>4728</v>
      </c>
      <c r="M170" s="61" t="s">
        <v>3749</v>
      </c>
      <c r="N170" s="6" t="s">
        <v>4753</v>
      </c>
      <c r="O170" s="6" t="s">
        <v>1016</v>
      </c>
      <c r="P170" s="61">
        <v>55.56</v>
      </c>
      <c r="Q170" s="6" t="s">
        <v>149</v>
      </c>
      <c r="R170" s="50" t="s">
        <v>4253</v>
      </c>
      <c r="S170" s="50" t="s">
        <v>4215</v>
      </c>
      <c r="T170" s="50" t="s">
        <v>3506</v>
      </c>
      <c r="U170" s="6" t="s">
        <v>270</v>
      </c>
      <c r="V170" s="6"/>
      <c r="W170" s="6"/>
      <c r="X170" s="6"/>
      <c r="Y170" s="6"/>
      <c r="Z170" s="6"/>
      <c r="AA170" s="6"/>
      <c r="AB170" s="6"/>
      <c r="AC170" s="6"/>
      <c r="AD170" s="6"/>
      <c r="AE170" s="6"/>
      <c r="AF170" s="6"/>
      <c r="AG170" s="6"/>
    </row>
    <row r="171" ht="30" customHeight="1" spans="1:33">
      <c r="A171" s="6" t="s">
        <v>207</v>
      </c>
      <c r="B171" s="7">
        <v>45974</v>
      </c>
      <c r="C171" s="6" t="str">
        <f t="shared" si="3"/>
        <v>2025年11月</v>
      </c>
      <c r="D171" s="40" t="s">
        <v>40</v>
      </c>
      <c r="E171" s="6" t="s">
        <v>4754</v>
      </c>
      <c r="F171" s="6" t="s">
        <v>10</v>
      </c>
      <c r="G171" s="50" t="s">
        <v>2954</v>
      </c>
      <c r="H171" s="40"/>
      <c r="I171" s="50" t="s">
        <v>82</v>
      </c>
      <c r="J171" s="50" t="s">
        <v>4176</v>
      </c>
      <c r="K171" s="8" t="s">
        <v>4755</v>
      </c>
      <c r="L171" s="6" t="s">
        <v>4756</v>
      </c>
      <c r="M171" s="61" t="s">
        <v>1005</v>
      </c>
      <c r="N171" s="6" t="s">
        <v>4757</v>
      </c>
      <c r="O171" s="6" t="s">
        <v>4758</v>
      </c>
      <c r="P171" s="61">
        <v>80</v>
      </c>
      <c r="Q171" s="6" t="s">
        <v>149</v>
      </c>
      <c r="R171" s="50" t="s">
        <v>4253</v>
      </c>
      <c r="S171" s="50" t="s">
        <v>4215</v>
      </c>
      <c r="T171" s="50" t="s">
        <v>3506</v>
      </c>
      <c r="U171" s="6" t="s">
        <v>2469</v>
      </c>
      <c r="V171" s="6"/>
      <c r="W171" s="6"/>
      <c r="X171" s="6"/>
      <c r="Y171" s="6"/>
      <c r="Z171" s="6"/>
      <c r="AA171" s="6"/>
      <c r="AB171" s="6"/>
      <c r="AC171" s="6"/>
      <c r="AD171" s="6"/>
      <c r="AE171" s="6"/>
      <c r="AF171" s="6"/>
      <c r="AG171" s="6"/>
    </row>
    <row r="172" ht="30" customHeight="1" spans="1:33">
      <c r="A172" s="6" t="s">
        <v>207</v>
      </c>
      <c r="B172" s="7">
        <v>45975</v>
      </c>
      <c r="C172" s="6" t="str">
        <f t="shared" si="3"/>
        <v>2025年11月</v>
      </c>
      <c r="D172" s="40" t="s">
        <v>39</v>
      </c>
      <c r="E172" s="6" t="s">
        <v>4759</v>
      </c>
      <c r="F172" s="6" t="s">
        <v>12</v>
      </c>
      <c r="G172" s="50" t="s">
        <v>2954</v>
      </c>
      <c r="H172" s="40"/>
      <c r="I172" s="50" t="s">
        <v>82</v>
      </c>
      <c r="J172" s="50" t="s">
        <v>4190</v>
      </c>
      <c r="K172" s="8" t="s">
        <v>4760</v>
      </c>
      <c r="L172" s="6" t="s">
        <v>4761</v>
      </c>
      <c r="M172" s="61"/>
      <c r="N172" s="6" t="s">
        <v>4762</v>
      </c>
      <c r="O172" s="6" t="s">
        <v>4763</v>
      </c>
      <c r="P172" s="61">
        <v>98760</v>
      </c>
      <c r="Q172" s="6" t="s">
        <v>173</v>
      </c>
      <c r="R172" s="50" t="s">
        <v>4319</v>
      </c>
      <c r="S172" s="50" t="s">
        <v>4215</v>
      </c>
      <c r="T172" s="50" t="s">
        <v>3506</v>
      </c>
      <c r="U172" s="6" t="s">
        <v>1914</v>
      </c>
      <c r="V172" s="6"/>
      <c r="W172" s="6"/>
      <c r="X172" s="6"/>
      <c r="Y172" s="6"/>
      <c r="Z172" s="6"/>
      <c r="AA172" s="6"/>
      <c r="AB172" s="6"/>
      <c r="AC172" s="6"/>
      <c r="AD172" s="6"/>
      <c r="AE172" s="6"/>
      <c r="AF172" s="6"/>
      <c r="AG172" s="6"/>
    </row>
    <row r="173" ht="30" customHeight="1" spans="1:33">
      <c r="A173" s="6" t="s">
        <v>207</v>
      </c>
      <c r="B173" s="7">
        <v>45975</v>
      </c>
      <c r="C173" s="6" t="str">
        <f t="shared" si="3"/>
        <v>2025年11月</v>
      </c>
      <c r="D173" s="40" t="s">
        <v>39</v>
      </c>
      <c r="E173" s="6" t="s">
        <v>4759</v>
      </c>
      <c r="F173" s="6" t="s">
        <v>12</v>
      </c>
      <c r="G173" s="50" t="s">
        <v>2954</v>
      </c>
      <c r="H173" s="40"/>
      <c r="I173" s="10"/>
      <c r="J173" s="50" t="s">
        <v>4190</v>
      </c>
      <c r="M173" s="61"/>
      <c r="N173" s="6" t="s">
        <v>4764</v>
      </c>
      <c r="P173" s="61">
        <v>51900</v>
      </c>
      <c r="Q173" s="6" t="s">
        <v>173</v>
      </c>
      <c r="R173" s="50" t="s">
        <v>4319</v>
      </c>
      <c r="S173" s="10"/>
      <c r="T173" s="10"/>
      <c r="V173" s="6"/>
      <c r="W173" s="6"/>
      <c r="X173" s="6"/>
      <c r="Y173" s="6"/>
      <c r="Z173" s="6"/>
      <c r="AA173" s="6"/>
      <c r="AB173" s="6"/>
      <c r="AC173" s="6"/>
      <c r="AD173" s="6"/>
      <c r="AE173" s="6"/>
      <c r="AF173" s="6"/>
      <c r="AG173" s="6"/>
    </row>
    <row r="174" ht="30" customHeight="1" spans="1:33">
      <c r="A174" s="6" t="s">
        <v>207</v>
      </c>
      <c r="B174" s="7">
        <v>45975</v>
      </c>
      <c r="C174" s="6" t="str">
        <f t="shared" si="3"/>
        <v>2025年11月</v>
      </c>
      <c r="D174" s="40" t="s">
        <v>39</v>
      </c>
      <c r="E174" s="6" t="s">
        <v>4759</v>
      </c>
      <c r="F174" s="6" t="s">
        <v>12</v>
      </c>
      <c r="G174" s="50" t="s">
        <v>2954</v>
      </c>
      <c r="H174" s="40"/>
      <c r="I174" s="10"/>
      <c r="J174" s="50" t="s">
        <v>4190</v>
      </c>
      <c r="M174" s="61"/>
      <c r="N174" s="6" t="s">
        <v>4765</v>
      </c>
      <c r="P174" s="61">
        <v>98580</v>
      </c>
      <c r="Q174" s="6" t="s">
        <v>173</v>
      </c>
      <c r="R174" s="50" t="s">
        <v>4319</v>
      </c>
      <c r="S174" s="10"/>
      <c r="T174" s="10"/>
      <c r="V174" s="6"/>
      <c r="W174" s="6"/>
      <c r="X174" s="6"/>
      <c r="Y174" s="6"/>
      <c r="Z174" s="6"/>
      <c r="AA174" s="6"/>
      <c r="AB174" s="6"/>
      <c r="AC174" s="6"/>
      <c r="AD174" s="6"/>
      <c r="AE174" s="6"/>
      <c r="AF174" s="6"/>
      <c r="AG174" s="6"/>
    </row>
    <row r="175" ht="30" customHeight="1" spans="1:33">
      <c r="A175" s="6" t="s">
        <v>207</v>
      </c>
      <c r="B175" s="7">
        <v>45978</v>
      </c>
      <c r="C175" s="6" t="str">
        <f t="shared" si="3"/>
        <v>2025年11月</v>
      </c>
      <c r="D175" s="40" t="s">
        <v>39</v>
      </c>
      <c r="E175" s="41" t="s">
        <v>4766</v>
      </c>
      <c r="F175" s="6" t="s">
        <v>12</v>
      </c>
      <c r="G175" s="50" t="s">
        <v>2954</v>
      </c>
      <c r="H175" s="40"/>
      <c r="I175" s="50" t="s">
        <v>82</v>
      </c>
      <c r="J175" s="50" t="s">
        <v>4190</v>
      </c>
      <c r="K175" s="8" t="s">
        <v>4760</v>
      </c>
      <c r="L175" s="6" t="s">
        <v>4761</v>
      </c>
      <c r="M175" s="61"/>
      <c r="N175" s="6" t="s">
        <v>4767</v>
      </c>
      <c r="O175" s="6" t="s">
        <v>4763</v>
      </c>
      <c r="P175" s="61">
        <v>95000</v>
      </c>
      <c r="Q175" s="6" t="s">
        <v>173</v>
      </c>
      <c r="R175" s="50" t="s">
        <v>4319</v>
      </c>
      <c r="S175" s="50" t="s">
        <v>4215</v>
      </c>
      <c r="T175" s="50" t="s">
        <v>3506</v>
      </c>
      <c r="U175" s="6" t="s">
        <v>1914</v>
      </c>
      <c r="V175" s="6"/>
      <c r="W175" s="6"/>
      <c r="X175" s="6"/>
      <c r="Y175" s="6"/>
      <c r="Z175" s="6"/>
      <c r="AA175" s="6"/>
      <c r="AB175" s="6"/>
      <c r="AC175" s="6"/>
      <c r="AD175" s="6"/>
      <c r="AE175" s="6"/>
      <c r="AF175" s="6"/>
      <c r="AG175" s="6"/>
    </row>
    <row r="176" ht="30" customHeight="1" spans="1:33">
      <c r="A176" s="6" t="s">
        <v>207</v>
      </c>
      <c r="B176" s="7">
        <v>45982</v>
      </c>
      <c r="C176" s="6" t="str">
        <f t="shared" si="3"/>
        <v>2025年11月</v>
      </c>
      <c r="D176" s="40" t="s">
        <v>39</v>
      </c>
      <c r="E176" s="41" t="s">
        <v>4768</v>
      </c>
      <c r="F176" s="6" t="s">
        <v>11</v>
      </c>
      <c r="G176" s="50" t="s">
        <v>2954</v>
      </c>
      <c r="H176" s="40"/>
      <c r="I176" s="50" t="s">
        <v>82</v>
      </c>
      <c r="J176" s="50" t="s">
        <v>4190</v>
      </c>
      <c r="K176" s="8" t="s">
        <v>2907</v>
      </c>
      <c r="L176" s="6" t="s">
        <v>2908</v>
      </c>
      <c r="M176" s="61"/>
      <c r="N176" s="6" t="s">
        <v>4769</v>
      </c>
      <c r="O176" s="6" t="s">
        <v>4770</v>
      </c>
      <c r="P176" s="76">
        <v>1382</v>
      </c>
      <c r="Q176" s="6" t="s">
        <v>173</v>
      </c>
      <c r="R176" s="50" t="s">
        <v>4319</v>
      </c>
      <c r="S176" s="50" t="s">
        <v>4173</v>
      </c>
      <c r="T176" s="50" t="s">
        <v>3506</v>
      </c>
      <c r="U176" s="6" t="s">
        <v>1509</v>
      </c>
      <c r="V176" s="6" t="s">
        <v>4681</v>
      </c>
      <c r="W176" s="6"/>
      <c r="X176" s="6"/>
      <c r="Y176" s="6"/>
      <c r="Z176" s="6"/>
      <c r="AA176" s="6"/>
      <c r="AB176" s="6"/>
      <c r="AC176" s="6"/>
      <c r="AD176" s="6"/>
      <c r="AE176" s="6"/>
      <c r="AF176" s="6"/>
      <c r="AG176" s="6"/>
    </row>
    <row r="177" ht="30" customHeight="1" spans="1:33">
      <c r="A177" s="6" t="s">
        <v>142</v>
      </c>
      <c r="B177" s="7">
        <v>45987</v>
      </c>
      <c r="C177" s="6" t="str">
        <f t="shared" si="3"/>
        <v>2025年11月</v>
      </c>
      <c r="D177" s="40" t="s">
        <v>40</v>
      </c>
      <c r="E177" s="6" t="s">
        <v>4771</v>
      </c>
      <c r="F177" s="6" t="s">
        <v>10</v>
      </c>
      <c r="G177" s="50" t="s">
        <v>4169</v>
      </c>
      <c r="H177" s="40"/>
      <c r="I177" s="50" t="s">
        <v>82</v>
      </c>
      <c r="J177" s="50" t="s">
        <v>4190</v>
      </c>
      <c r="K177" s="8" t="s">
        <v>4772</v>
      </c>
      <c r="L177" s="6" t="s">
        <v>4773</v>
      </c>
      <c r="M177" s="61" t="s">
        <v>3749</v>
      </c>
      <c r="N177" s="6" t="s">
        <v>4774</v>
      </c>
      <c r="O177" s="6" t="s">
        <v>1016</v>
      </c>
      <c r="P177" s="61">
        <v>55.99</v>
      </c>
      <c r="Q177" s="6" t="s">
        <v>149</v>
      </c>
      <c r="R177" s="50" t="s">
        <v>4319</v>
      </c>
      <c r="S177" s="50" t="s">
        <v>4215</v>
      </c>
      <c r="T177" s="50" t="s">
        <v>3506</v>
      </c>
      <c r="U177" s="6" t="s">
        <v>97</v>
      </c>
      <c r="V177" s="6"/>
      <c r="W177" s="6"/>
      <c r="X177" s="6"/>
      <c r="Y177" s="6"/>
      <c r="Z177" s="6"/>
      <c r="AA177" s="6"/>
      <c r="AB177" s="6"/>
      <c r="AC177" s="6"/>
      <c r="AD177" s="6"/>
      <c r="AE177" s="6"/>
      <c r="AF177" s="6"/>
      <c r="AG177" s="6"/>
    </row>
    <row r="178" ht="30" customHeight="1" spans="1:33">
      <c r="A178" s="6" t="s">
        <v>142</v>
      </c>
      <c r="B178" s="7">
        <v>45987</v>
      </c>
      <c r="C178" s="6" t="str">
        <f t="shared" si="3"/>
        <v>2025年11月</v>
      </c>
      <c r="D178" s="40" t="s">
        <v>40</v>
      </c>
      <c r="E178" s="6" t="s">
        <v>4775</v>
      </c>
      <c r="F178" s="6" t="s">
        <v>10</v>
      </c>
      <c r="G178" s="50" t="s">
        <v>4169</v>
      </c>
      <c r="H178" s="40"/>
      <c r="I178" s="50" t="s">
        <v>82</v>
      </c>
      <c r="J178" s="50" t="s">
        <v>4190</v>
      </c>
      <c r="K178" s="8" t="s">
        <v>4772</v>
      </c>
      <c r="L178" s="6" t="s">
        <v>4773</v>
      </c>
      <c r="M178" s="61" t="s">
        <v>3749</v>
      </c>
      <c r="N178" s="6" t="s">
        <v>4776</v>
      </c>
      <c r="O178" s="6" t="s">
        <v>1016</v>
      </c>
      <c r="P178" s="61">
        <v>59.99</v>
      </c>
      <c r="Q178" s="6" t="s">
        <v>149</v>
      </c>
      <c r="R178" s="50" t="s">
        <v>4319</v>
      </c>
      <c r="S178" s="50" t="s">
        <v>4215</v>
      </c>
      <c r="T178" s="50" t="s">
        <v>3506</v>
      </c>
      <c r="U178" s="6" t="s">
        <v>97</v>
      </c>
      <c r="V178" s="6"/>
      <c r="W178" s="6"/>
      <c r="X178" s="6"/>
      <c r="Y178" s="6"/>
      <c r="Z178" s="6"/>
      <c r="AA178" s="6"/>
      <c r="AB178" s="6"/>
      <c r="AC178" s="6"/>
      <c r="AD178" s="6"/>
      <c r="AE178" s="6"/>
      <c r="AF178" s="6"/>
      <c r="AG178" s="6"/>
    </row>
    <row r="179" ht="30" customHeight="1" spans="1:33">
      <c r="A179" s="6" t="s">
        <v>142</v>
      </c>
      <c r="B179" s="7">
        <v>45987</v>
      </c>
      <c r="C179" s="6" t="str">
        <f t="shared" si="3"/>
        <v>2025年11月</v>
      </c>
      <c r="D179" s="40" t="s">
        <v>40</v>
      </c>
      <c r="E179" s="6" t="s">
        <v>4777</v>
      </c>
      <c r="F179" s="6" t="s">
        <v>10</v>
      </c>
      <c r="G179" s="50" t="s">
        <v>4169</v>
      </c>
      <c r="H179" s="40"/>
      <c r="I179" s="50" t="s">
        <v>82</v>
      </c>
      <c r="J179" s="50" t="s">
        <v>4190</v>
      </c>
      <c r="K179" s="8" t="s">
        <v>4772</v>
      </c>
      <c r="L179" s="6" t="s">
        <v>4773</v>
      </c>
      <c r="M179" s="61" t="s">
        <v>3749</v>
      </c>
      <c r="N179" s="6" t="s">
        <v>4778</v>
      </c>
      <c r="O179" s="6" t="s">
        <v>1016</v>
      </c>
      <c r="P179" s="61">
        <v>45</v>
      </c>
      <c r="Q179" s="6" t="s">
        <v>149</v>
      </c>
      <c r="R179" s="50" t="s">
        <v>4319</v>
      </c>
      <c r="S179" s="50" t="s">
        <v>4215</v>
      </c>
      <c r="T179" s="50" t="s">
        <v>3506</v>
      </c>
      <c r="U179" s="6" t="s">
        <v>97</v>
      </c>
      <c r="V179" s="6"/>
      <c r="W179" s="6"/>
      <c r="X179" s="6"/>
      <c r="Y179" s="6"/>
      <c r="Z179" s="6"/>
      <c r="AA179" s="6"/>
      <c r="AB179" s="6"/>
      <c r="AC179" s="6"/>
      <c r="AD179" s="6"/>
      <c r="AE179" s="6"/>
      <c r="AF179" s="6"/>
      <c r="AG179" s="6"/>
    </row>
    <row r="180" ht="30" customHeight="1" spans="1:33">
      <c r="A180" s="6" t="s">
        <v>78</v>
      </c>
      <c r="B180" s="7">
        <v>45993</v>
      </c>
      <c r="C180" s="6" t="str">
        <f t="shared" si="3"/>
        <v>2025年12月</v>
      </c>
      <c r="D180" s="40" t="s">
        <v>40</v>
      </c>
      <c r="E180" s="6" t="s">
        <v>4779</v>
      </c>
      <c r="F180" s="6" t="s">
        <v>10</v>
      </c>
      <c r="G180" s="50" t="s">
        <v>2954</v>
      </c>
      <c r="H180" s="40"/>
      <c r="I180" s="50" t="s">
        <v>82</v>
      </c>
      <c r="J180" s="50" t="s">
        <v>4176</v>
      </c>
      <c r="K180" s="8" t="s">
        <v>1430</v>
      </c>
      <c r="L180" s="6" t="s">
        <v>1432</v>
      </c>
      <c r="M180" s="61" t="s">
        <v>1005</v>
      </c>
      <c r="N180" s="6" t="s">
        <v>4780</v>
      </c>
      <c r="O180" s="6" t="s">
        <v>4781</v>
      </c>
      <c r="P180" s="61">
        <v>150</v>
      </c>
      <c r="Q180" s="6" t="s">
        <v>149</v>
      </c>
      <c r="R180" s="50" t="s">
        <v>4253</v>
      </c>
      <c r="S180" s="50" t="s">
        <v>4215</v>
      </c>
      <c r="T180" s="50" t="s">
        <v>3506</v>
      </c>
      <c r="U180" s="6" t="s">
        <v>85</v>
      </c>
      <c r="V180" s="6"/>
      <c r="W180" s="6"/>
      <c r="X180" s="6"/>
      <c r="Y180" s="6"/>
      <c r="Z180" s="6"/>
      <c r="AA180" s="6"/>
      <c r="AB180" s="6"/>
      <c r="AC180" s="6"/>
      <c r="AD180" s="6"/>
      <c r="AE180" s="6"/>
      <c r="AF180" s="6"/>
      <c r="AG180" s="6"/>
    </row>
    <row r="181" ht="30" customHeight="1" spans="1:33">
      <c r="A181" s="6" t="s">
        <v>78</v>
      </c>
      <c r="B181" s="7">
        <v>45993</v>
      </c>
      <c r="C181" s="6" t="str">
        <f t="shared" si="3"/>
        <v>2025年12月</v>
      </c>
      <c r="D181" s="40" t="s">
        <v>40</v>
      </c>
      <c r="E181" s="6" t="s">
        <v>4782</v>
      </c>
      <c r="F181" s="6" t="s">
        <v>10</v>
      </c>
      <c r="G181" s="50" t="s">
        <v>4169</v>
      </c>
      <c r="H181" s="40"/>
      <c r="I181" s="50" t="s">
        <v>82</v>
      </c>
      <c r="J181" s="50" t="s">
        <v>4176</v>
      </c>
      <c r="K181" s="8" t="s">
        <v>1759</v>
      </c>
      <c r="L181" s="6" t="s">
        <v>1859</v>
      </c>
      <c r="M181" s="61" t="s">
        <v>1005</v>
      </c>
      <c r="N181" s="6" t="s">
        <v>4783</v>
      </c>
      <c r="O181" s="6" t="s">
        <v>4784</v>
      </c>
      <c r="P181" s="61">
        <v>187</v>
      </c>
      <c r="Q181" s="6" t="s">
        <v>139</v>
      </c>
      <c r="R181" s="50" t="s">
        <v>4253</v>
      </c>
      <c r="S181" s="50" t="s">
        <v>4215</v>
      </c>
      <c r="T181" s="50" t="s">
        <v>3506</v>
      </c>
      <c r="U181" s="6" t="s">
        <v>85</v>
      </c>
      <c r="V181" s="6" t="s">
        <v>4785</v>
      </c>
      <c r="W181" s="6"/>
      <c r="X181" s="6"/>
      <c r="Y181" s="6"/>
      <c r="Z181" s="6"/>
      <c r="AA181" s="6"/>
      <c r="AB181" s="6"/>
      <c r="AC181" s="6"/>
      <c r="AD181" s="6"/>
      <c r="AE181" s="6"/>
      <c r="AF181" s="6"/>
      <c r="AG181" s="6"/>
    </row>
    <row r="182" ht="30" customHeight="1" spans="1:33">
      <c r="A182" s="6" t="s">
        <v>207</v>
      </c>
      <c r="B182" s="7">
        <v>45995</v>
      </c>
      <c r="C182" s="6" t="str">
        <f t="shared" si="3"/>
        <v>2025年12月</v>
      </c>
      <c r="D182" s="40" t="s">
        <v>40</v>
      </c>
      <c r="E182" s="6" t="s">
        <v>4786</v>
      </c>
      <c r="F182" s="6" t="s">
        <v>11</v>
      </c>
      <c r="G182" s="50" t="s">
        <v>4169</v>
      </c>
      <c r="H182" s="40"/>
      <c r="I182" s="50" t="s">
        <v>82</v>
      </c>
      <c r="J182" s="50" t="s">
        <v>4190</v>
      </c>
      <c r="K182" s="8" t="s">
        <v>3026</v>
      </c>
      <c r="L182" s="6" t="s">
        <v>3027</v>
      </c>
      <c r="M182" s="61"/>
      <c r="N182" s="6" t="s">
        <v>4787</v>
      </c>
      <c r="O182" s="6" t="s">
        <v>4788</v>
      </c>
      <c r="P182" s="76">
        <v>129000</v>
      </c>
      <c r="Q182" s="6" t="s">
        <v>149</v>
      </c>
      <c r="R182" s="50" t="s">
        <v>4319</v>
      </c>
      <c r="S182" s="50" t="s">
        <v>4215</v>
      </c>
      <c r="T182" s="50" t="s">
        <v>3506</v>
      </c>
      <c r="U182" s="6" t="s">
        <v>685</v>
      </c>
      <c r="V182" s="6"/>
      <c r="W182" s="6"/>
      <c r="X182" s="6"/>
      <c r="Y182" s="6"/>
      <c r="Z182" s="6"/>
      <c r="AA182" s="6"/>
      <c r="AB182" s="6"/>
      <c r="AC182" s="6"/>
      <c r="AD182" s="6"/>
      <c r="AE182" s="6"/>
      <c r="AF182" s="6"/>
      <c r="AG182" s="6"/>
    </row>
    <row r="183" ht="30" customHeight="1" spans="1:33">
      <c r="A183" s="6" t="s">
        <v>207</v>
      </c>
      <c r="B183" s="7">
        <v>45995</v>
      </c>
      <c r="C183" s="6" t="str">
        <f t="shared" si="3"/>
        <v>2025年12月</v>
      </c>
      <c r="D183" s="40" t="s">
        <v>40</v>
      </c>
      <c r="E183" s="6" t="s">
        <v>4789</v>
      </c>
      <c r="F183" s="6" t="s">
        <v>11</v>
      </c>
      <c r="G183" s="50" t="s">
        <v>4169</v>
      </c>
      <c r="H183" s="40"/>
      <c r="I183" s="50" t="s">
        <v>82</v>
      </c>
      <c r="J183" s="50" t="s">
        <v>4190</v>
      </c>
      <c r="K183" s="8" t="s">
        <v>3026</v>
      </c>
      <c r="L183" s="6" t="s">
        <v>3027</v>
      </c>
      <c r="M183" s="61"/>
      <c r="N183" s="6" t="s">
        <v>4790</v>
      </c>
      <c r="O183" s="6" t="s">
        <v>4788</v>
      </c>
      <c r="P183" s="76">
        <v>40998</v>
      </c>
      <c r="Q183" s="6" t="s">
        <v>149</v>
      </c>
      <c r="R183" s="50" t="s">
        <v>4319</v>
      </c>
      <c r="S183" s="50" t="s">
        <v>4215</v>
      </c>
      <c r="T183" s="50" t="s">
        <v>3506</v>
      </c>
      <c r="U183" s="6" t="s">
        <v>685</v>
      </c>
      <c r="V183" s="6"/>
      <c r="W183" s="6"/>
      <c r="X183" s="6"/>
      <c r="Y183" s="6"/>
      <c r="Z183" s="6"/>
      <c r="AA183" s="6"/>
      <c r="AB183" s="6"/>
      <c r="AC183" s="6"/>
      <c r="AD183" s="6"/>
      <c r="AE183" s="6"/>
      <c r="AF183" s="6"/>
      <c r="AG183" s="6"/>
    </row>
    <row r="184" ht="30" customHeight="1" spans="1:33">
      <c r="A184" s="6" t="s">
        <v>207</v>
      </c>
      <c r="B184" s="7">
        <v>45995</v>
      </c>
      <c r="C184" s="6" t="str">
        <f t="shared" si="3"/>
        <v>2025年12月</v>
      </c>
      <c r="D184" s="40" t="s">
        <v>40</v>
      </c>
      <c r="E184" s="6" t="s">
        <v>4791</v>
      </c>
      <c r="F184" s="6" t="s">
        <v>10</v>
      </c>
      <c r="G184" s="50" t="s">
        <v>4169</v>
      </c>
      <c r="H184" s="40"/>
      <c r="I184" s="50" t="s">
        <v>82</v>
      </c>
      <c r="J184" s="50" t="s">
        <v>4176</v>
      </c>
      <c r="K184" s="8" t="s">
        <v>758</v>
      </c>
      <c r="L184" s="6" t="s">
        <v>759</v>
      </c>
      <c r="M184" s="61" t="s">
        <v>4792</v>
      </c>
      <c r="N184" s="6" t="s">
        <v>4793</v>
      </c>
      <c r="O184" s="6" t="s">
        <v>1333</v>
      </c>
      <c r="P184" s="61">
        <v>92.34</v>
      </c>
      <c r="Q184" s="6" t="s">
        <v>149</v>
      </c>
      <c r="R184" s="50" t="s">
        <v>4253</v>
      </c>
      <c r="S184" s="50" t="s">
        <v>4215</v>
      </c>
      <c r="T184" s="50" t="s">
        <v>3506</v>
      </c>
      <c r="U184" s="6" t="s">
        <v>689</v>
      </c>
      <c r="V184" s="6"/>
      <c r="W184" s="6"/>
      <c r="X184" s="6"/>
      <c r="Y184" s="6"/>
      <c r="Z184" s="6"/>
      <c r="AA184" s="6"/>
      <c r="AB184" s="6"/>
      <c r="AC184" s="6"/>
      <c r="AD184" s="6"/>
      <c r="AE184" s="6"/>
      <c r="AF184" s="6"/>
      <c r="AG184" s="6"/>
    </row>
    <row r="185" ht="30" customHeight="1" spans="1:33">
      <c r="A185" s="6" t="s">
        <v>207</v>
      </c>
      <c r="B185" s="7">
        <v>45996</v>
      </c>
      <c r="C185" s="6" t="str">
        <f t="shared" si="3"/>
        <v>2025年12月</v>
      </c>
      <c r="D185" s="40" t="s">
        <v>40</v>
      </c>
      <c r="E185" s="6" t="s">
        <v>4794</v>
      </c>
      <c r="F185" s="6" t="s">
        <v>10</v>
      </c>
      <c r="G185" s="50" t="s">
        <v>4169</v>
      </c>
      <c r="H185" s="40"/>
      <c r="I185" s="50" t="s">
        <v>82</v>
      </c>
      <c r="J185" s="50" t="s">
        <v>4176</v>
      </c>
      <c r="K185" s="8" t="s">
        <v>758</v>
      </c>
      <c r="L185" s="6" t="s">
        <v>759</v>
      </c>
      <c r="M185" s="61" t="s">
        <v>4792</v>
      </c>
      <c r="N185" s="6" t="s">
        <v>4795</v>
      </c>
      <c r="O185" s="6" t="s">
        <v>1023</v>
      </c>
      <c r="P185" s="61">
        <v>1100</v>
      </c>
      <c r="Q185" s="6" t="s">
        <v>149</v>
      </c>
      <c r="R185" s="50" t="s">
        <v>4253</v>
      </c>
      <c r="S185" s="50" t="s">
        <v>4215</v>
      </c>
      <c r="T185" s="50" t="s">
        <v>3506</v>
      </c>
      <c r="U185" s="6" t="s">
        <v>689</v>
      </c>
      <c r="V185" s="6"/>
      <c r="W185" s="6"/>
      <c r="X185" s="6"/>
      <c r="Y185" s="6"/>
      <c r="Z185" s="6"/>
      <c r="AA185" s="6"/>
      <c r="AB185" s="6"/>
      <c r="AC185" s="6"/>
      <c r="AD185" s="6"/>
      <c r="AE185" s="6"/>
      <c r="AF185" s="6"/>
      <c r="AG185" s="6"/>
    </row>
    <row r="186" ht="30" customHeight="1" spans="1:33">
      <c r="A186" s="6" t="s">
        <v>207</v>
      </c>
      <c r="B186" s="7">
        <v>45996</v>
      </c>
      <c r="C186" s="6" t="str">
        <f t="shared" si="3"/>
        <v>2025年12月</v>
      </c>
      <c r="D186" s="40" t="s">
        <v>40</v>
      </c>
      <c r="E186" s="6" t="s">
        <v>4796</v>
      </c>
      <c r="F186" s="6" t="s">
        <v>10</v>
      </c>
      <c r="G186" s="50" t="s">
        <v>2954</v>
      </c>
      <c r="H186" s="40"/>
      <c r="I186" s="50" t="s">
        <v>82</v>
      </c>
      <c r="J186" s="50" t="s">
        <v>4176</v>
      </c>
      <c r="K186" s="8" t="s">
        <v>4374</v>
      </c>
      <c r="L186" s="6" t="s">
        <v>4375</v>
      </c>
      <c r="M186" s="61" t="s">
        <v>4792</v>
      </c>
      <c r="N186" s="6" t="s">
        <v>4797</v>
      </c>
      <c r="O186" s="6" t="s">
        <v>4798</v>
      </c>
      <c r="P186" s="61">
        <v>13807.5</v>
      </c>
      <c r="Q186" s="6" t="s">
        <v>303</v>
      </c>
      <c r="R186" s="50" t="s">
        <v>4253</v>
      </c>
      <c r="S186" s="50" t="s">
        <v>4215</v>
      </c>
      <c r="T186" s="50" t="s">
        <v>3506</v>
      </c>
      <c r="U186" s="6" t="s">
        <v>678</v>
      </c>
      <c r="V186" s="6" t="s">
        <v>4799</v>
      </c>
      <c r="W186" s="6"/>
      <c r="X186" s="6"/>
      <c r="Y186" s="6"/>
      <c r="Z186" s="6"/>
      <c r="AA186" s="6"/>
      <c r="AB186" s="6"/>
      <c r="AC186" s="6"/>
      <c r="AD186" s="6"/>
      <c r="AE186" s="6"/>
      <c r="AF186" s="6"/>
      <c r="AG186" s="6"/>
    </row>
    <row r="187" ht="30" customHeight="1" spans="1:33">
      <c r="A187" s="6" t="s">
        <v>207</v>
      </c>
      <c r="B187" s="7">
        <v>45996</v>
      </c>
      <c r="C187" s="6" t="str">
        <f t="shared" si="3"/>
        <v>2025年12月</v>
      </c>
      <c r="D187" s="40" t="s">
        <v>40</v>
      </c>
      <c r="E187" s="6" t="s">
        <v>4796</v>
      </c>
      <c r="F187" s="6" t="s">
        <v>10</v>
      </c>
      <c r="G187" s="50" t="s">
        <v>2954</v>
      </c>
      <c r="H187" s="40"/>
      <c r="I187" s="10"/>
      <c r="J187" s="50" t="s">
        <v>4176</v>
      </c>
      <c r="K187" s="8" t="s">
        <v>4374</v>
      </c>
      <c r="L187" s="6" t="s">
        <v>4375</v>
      </c>
      <c r="M187" s="61" t="s">
        <v>4792</v>
      </c>
      <c r="N187" s="6" t="s">
        <v>4800</v>
      </c>
      <c r="O187" s="6" t="s">
        <v>4801</v>
      </c>
      <c r="P187" s="61">
        <v>1400</v>
      </c>
      <c r="Q187" s="6" t="s">
        <v>303</v>
      </c>
      <c r="R187" s="10"/>
      <c r="S187" s="10"/>
      <c r="T187" s="10"/>
      <c r="W187" s="6"/>
      <c r="X187" s="6"/>
      <c r="Y187" s="6"/>
      <c r="Z187" s="6"/>
      <c r="AA187" s="6"/>
      <c r="AB187" s="6"/>
      <c r="AC187" s="6"/>
      <c r="AD187" s="6"/>
      <c r="AE187" s="6"/>
      <c r="AF187" s="6"/>
      <c r="AG187" s="6"/>
    </row>
    <row r="188" ht="30" customHeight="1" spans="1:33">
      <c r="A188" s="6" t="s">
        <v>207</v>
      </c>
      <c r="B188" s="7">
        <v>45996</v>
      </c>
      <c r="C188" s="6" t="str">
        <f t="shared" si="3"/>
        <v>2025年12月</v>
      </c>
      <c r="D188" s="40" t="s">
        <v>40</v>
      </c>
      <c r="E188" s="6" t="s">
        <v>4796</v>
      </c>
      <c r="F188" s="6" t="s">
        <v>10</v>
      </c>
      <c r="G188" s="50" t="s">
        <v>2954</v>
      </c>
      <c r="H188" s="40"/>
      <c r="I188" s="10"/>
      <c r="J188" s="50" t="s">
        <v>4176</v>
      </c>
      <c r="K188" s="8" t="s">
        <v>4374</v>
      </c>
      <c r="L188" s="6" t="s">
        <v>4375</v>
      </c>
      <c r="M188" s="61" t="s">
        <v>4792</v>
      </c>
      <c r="N188" s="6" t="s">
        <v>4377</v>
      </c>
      <c r="O188" s="6" t="s">
        <v>4378</v>
      </c>
      <c r="P188" s="61">
        <v>16800</v>
      </c>
      <c r="Q188" s="6" t="s">
        <v>303</v>
      </c>
      <c r="R188" s="10"/>
      <c r="S188" s="10"/>
      <c r="T188" s="10"/>
      <c r="W188" s="6"/>
      <c r="X188" s="6"/>
      <c r="Y188" s="6"/>
      <c r="Z188" s="6"/>
      <c r="AA188" s="6"/>
      <c r="AB188" s="6"/>
      <c r="AC188" s="6"/>
      <c r="AD188" s="6"/>
      <c r="AE188" s="6"/>
      <c r="AF188" s="6"/>
      <c r="AG188" s="6"/>
    </row>
    <row r="189" ht="30" customHeight="1" spans="1:33">
      <c r="A189" s="6" t="s">
        <v>207</v>
      </c>
      <c r="B189" s="7">
        <v>45996</v>
      </c>
      <c r="C189" s="6" t="str">
        <f t="shared" si="3"/>
        <v>2025年12月</v>
      </c>
      <c r="D189" s="40" t="s">
        <v>40</v>
      </c>
      <c r="E189" s="6" t="s">
        <v>4796</v>
      </c>
      <c r="F189" s="6" t="s">
        <v>10</v>
      </c>
      <c r="G189" s="50" t="s">
        <v>2954</v>
      </c>
      <c r="H189" s="40"/>
      <c r="I189" s="10"/>
      <c r="J189" s="50" t="s">
        <v>4176</v>
      </c>
      <c r="K189" s="8" t="s">
        <v>4374</v>
      </c>
      <c r="L189" s="6" t="s">
        <v>4375</v>
      </c>
      <c r="M189" s="61" t="s">
        <v>4792</v>
      </c>
      <c r="N189" s="6" t="s">
        <v>4802</v>
      </c>
      <c r="O189" s="6" t="s">
        <v>4803</v>
      </c>
      <c r="P189" s="61">
        <v>12995</v>
      </c>
      <c r="Q189" s="6" t="s">
        <v>303</v>
      </c>
      <c r="R189" s="10"/>
      <c r="S189" s="10"/>
      <c r="T189" s="10"/>
      <c r="W189" s="6"/>
      <c r="X189" s="6"/>
      <c r="Y189" s="6"/>
      <c r="Z189" s="6"/>
      <c r="AA189" s="6"/>
      <c r="AB189" s="6"/>
      <c r="AC189" s="6"/>
      <c r="AD189" s="6"/>
      <c r="AE189" s="6"/>
      <c r="AF189" s="6"/>
      <c r="AG189" s="6"/>
    </row>
    <row r="190" ht="30" customHeight="1" spans="1:33">
      <c r="A190" s="6" t="s">
        <v>207</v>
      </c>
      <c r="B190" s="7">
        <v>45996</v>
      </c>
      <c r="C190" s="6" t="str">
        <f t="shared" si="3"/>
        <v>2025年12月</v>
      </c>
      <c r="D190" s="40" t="s">
        <v>40</v>
      </c>
      <c r="E190" s="6" t="s">
        <v>4796</v>
      </c>
      <c r="F190" s="6" t="s">
        <v>10</v>
      </c>
      <c r="G190" s="50" t="s">
        <v>2954</v>
      </c>
      <c r="H190" s="40"/>
      <c r="I190" s="10"/>
      <c r="J190" s="50" t="s">
        <v>4176</v>
      </c>
      <c r="K190" s="8" t="s">
        <v>4374</v>
      </c>
      <c r="L190" s="6" t="s">
        <v>4375</v>
      </c>
      <c r="M190" s="61" t="s">
        <v>4792</v>
      </c>
      <c r="N190" s="6" t="s">
        <v>4804</v>
      </c>
      <c r="O190" s="41" t="s">
        <v>4805</v>
      </c>
      <c r="P190" s="61">
        <v>22572</v>
      </c>
      <c r="Q190" s="6" t="s">
        <v>303</v>
      </c>
      <c r="R190" s="10"/>
      <c r="S190" s="10"/>
      <c r="T190" s="10"/>
      <c r="W190" s="6"/>
      <c r="X190" s="6"/>
      <c r="Y190" s="6"/>
      <c r="Z190" s="6"/>
      <c r="AA190" s="6"/>
      <c r="AB190" s="6"/>
      <c r="AC190" s="6"/>
      <c r="AD190" s="6"/>
      <c r="AE190" s="6"/>
      <c r="AF190" s="6"/>
      <c r="AG190" s="6"/>
    </row>
    <row r="191" ht="30" customHeight="1" spans="1:33">
      <c r="A191" s="6" t="s">
        <v>207</v>
      </c>
      <c r="B191" s="7">
        <v>45996</v>
      </c>
      <c r="C191" s="6" t="str">
        <f t="shared" si="3"/>
        <v>2025年12月</v>
      </c>
      <c r="D191" s="40" t="s">
        <v>40</v>
      </c>
      <c r="E191" s="6" t="s">
        <v>4796</v>
      </c>
      <c r="F191" s="6" t="s">
        <v>10</v>
      </c>
      <c r="G191" s="50" t="s">
        <v>2954</v>
      </c>
      <c r="H191" s="40"/>
      <c r="I191" s="10"/>
      <c r="J191" s="50" t="s">
        <v>4176</v>
      </c>
      <c r="K191" s="8" t="s">
        <v>4374</v>
      </c>
      <c r="L191" s="6" t="s">
        <v>4375</v>
      </c>
      <c r="M191" s="61" t="s">
        <v>4792</v>
      </c>
      <c r="N191" s="6" t="s">
        <v>4806</v>
      </c>
      <c r="O191" s="6" t="s">
        <v>4807</v>
      </c>
      <c r="P191" s="61">
        <v>20315</v>
      </c>
      <c r="Q191" s="6" t="s">
        <v>303</v>
      </c>
      <c r="R191" s="10"/>
      <c r="S191" s="10"/>
      <c r="T191" s="10"/>
      <c r="W191" s="6"/>
      <c r="X191" s="6"/>
      <c r="Y191" s="6"/>
      <c r="Z191" s="6"/>
      <c r="AA191" s="6"/>
      <c r="AB191" s="6"/>
      <c r="AC191" s="6"/>
      <c r="AD191" s="6"/>
      <c r="AE191" s="6"/>
      <c r="AF191" s="6"/>
      <c r="AG191" s="6"/>
    </row>
    <row r="192" ht="30" customHeight="1" spans="1:33">
      <c r="A192" s="6" t="s">
        <v>207</v>
      </c>
      <c r="B192" s="7">
        <v>45999</v>
      </c>
      <c r="C192" s="6" t="str">
        <f t="shared" si="3"/>
        <v>2025年12月</v>
      </c>
      <c r="D192" s="40" t="s">
        <v>40</v>
      </c>
      <c r="E192" s="6" t="s">
        <v>4808</v>
      </c>
      <c r="F192" s="6" t="s">
        <v>10</v>
      </c>
      <c r="G192" s="50" t="s">
        <v>2954</v>
      </c>
      <c r="H192" s="40"/>
      <c r="I192" s="50" t="s">
        <v>82</v>
      </c>
      <c r="J192" s="50" t="s">
        <v>4176</v>
      </c>
      <c r="K192" s="8" t="s">
        <v>1920</v>
      </c>
      <c r="L192" s="6" t="s">
        <v>1922</v>
      </c>
      <c r="M192" s="61" t="s">
        <v>1005</v>
      </c>
      <c r="N192" s="6" t="s">
        <v>4809</v>
      </c>
      <c r="O192" s="6" t="s">
        <v>4810</v>
      </c>
      <c r="P192" s="61">
        <v>546.31</v>
      </c>
      <c r="Q192" s="6" t="s">
        <v>149</v>
      </c>
      <c r="R192" s="50" t="s">
        <v>4253</v>
      </c>
      <c r="S192" s="50" t="s">
        <v>4215</v>
      </c>
      <c r="T192" s="50" t="s">
        <v>3506</v>
      </c>
      <c r="U192" s="6" t="s">
        <v>1923</v>
      </c>
      <c r="V192" s="6"/>
      <c r="W192" s="6"/>
      <c r="X192" s="6"/>
      <c r="Y192" s="6"/>
      <c r="Z192" s="6"/>
      <c r="AA192" s="6"/>
      <c r="AB192" s="6"/>
      <c r="AC192" s="6"/>
      <c r="AD192" s="6"/>
      <c r="AE192" s="6"/>
      <c r="AF192" s="6"/>
      <c r="AG192" s="6"/>
    </row>
    <row r="193" ht="30" customHeight="1" spans="1:33">
      <c r="A193" s="6" t="s">
        <v>207</v>
      </c>
      <c r="B193" s="7">
        <v>46000</v>
      </c>
      <c r="C193" s="6" t="str">
        <f t="shared" si="3"/>
        <v>2025年12月</v>
      </c>
      <c r="D193" s="40" t="s">
        <v>40</v>
      </c>
      <c r="E193" s="6" t="s">
        <v>4811</v>
      </c>
      <c r="F193" s="6" t="s">
        <v>11</v>
      </c>
      <c r="G193" s="50" t="s">
        <v>4169</v>
      </c>
      <c r="H193" s="40"/>
      <c r="I193" s="50" t="s">
        <v>82</v>
      </c>
      <c r="J193" s="50" t="s">
        <v>4190</v>
      </c>
      <c r="K193" s="8" t="s">
        <v>4812</v>
      </c>
      <c r="L193" s="6" t="s">
        <v>4813</v>
      </c>
      <c r="M193" s="61"/>
      <c r="N193" s="6" t="s">
        <v>4814</v>
      </c>
      <c r="O193" s="6" t="s">
        <v>4815</v>
      </c>
      <c r="P193" s="76">
        <v>79995</v>
      </c>
      <c r="Q193" s="6" t="s">
        <v>149</v>
      </c>
      <c r="R193" s="50" t="s">
        <v>4319</v>
      </c>
      <c r="S193" s="50" t="s">
        <v>4215</v>
      </c>
      <c r="T193" s="50" t="s">
        <v>3506</v>
      </c>
      <c r="U193" s="6" t="s">
        <v>685</v>
      </c>
      <c r="V193" s="6"/>
      <c r="W193" s="6"/>
      <c r="X193" s="6"/>
      <c r="Y193" s="6"/>
      <c r="Z193" s="6"/>
      <c r="AA193" s="6"/>
      <c r="AB193" s="6"/>
      <c r="AC193" s="6"/>
      <c r="AD193" s="6"/>
      <c r="AE193" s="6"/>
      <c r="AF193" s="6"/>
      <c r="AG193" s="6"/>
    </row>
    <row r="194" ht="30" customHeight="1" spans="1:33">
      <c r="A194" s="6" t="s">
        <v>142</v>
      </c>
      <c r="B194" s="7">
        <v>46001</v>
      </c>
      <c r="C194" s="6" t="str">
        <f t="shared" si="3"/>
        <v>2025年12月</v>
      </c>
      <c r="D194" s="40" t="s">
        <v>40</v>
      </c>
      <c r="E194" s="6" t="s">
        <v>4816</v>
      </c>
      <c r="F194" s="6" t="s">
        <v>11</v>
      </c>
      <c r="G194" s="50" t="s">
        <v>4169</v>
      </c>
      <c r="H194" s="40"/>
      <c r="I194" s="50" t="s">
        <v>82</v>
      </c>
      <c r="J194" s="50" t="s">
        <v>4190</v>
      </c>
      <c r="K194" s="8" t="s">
        <v>4817</v>
      </c>
      <c r="L194" s="6" t="s">
        <v>4818</v>
      </c>
      <c r="M194" s="61"/>
      <c r="N194" s="6" t="s">
        <v>4819</v>
      </c>
      <c r="O194" s="6" t="s">
        <v>4820</v>
      </c>
      <c r="P194" s="86">
        <v>47777</v>
      </c>
      <c r="Q194" s="6" t="s">
        <v>149</v>
      </c>
      <c r="R194" s="50" t="s">
        <v>4319</v>
      </c>
      <c r="S194" s="50" t="s">
        <v>4215</v>
      </c>
      <c r="T194" s="50" t="s">
        <v>3506</v>
      </c>
      <c r="U194" s="6" t="s">
        <v>685</v>
      </c>
      <c r="V194" s="6"/>
      <c r="W194" s="6"/>
      <c r="X194" s="6"/>
      <c r="Y194" s="6"/>
      <c r="Z194" s="6"/>
      <c r="AA194" s="6"/>
      <c r="AB194" s="6"/>
      <c r="AC194" s="6"/>
      <c r="AD194" s="6"/>
      <c r="AE194" s="6"/>
      <c r="AF194" s="6"/>
      <c r="AG194" s="6"/>
    </row>
    <row r="195" ht="30" customHeight="1" spans="1:33">
      <c r="A195" s="6" t="s">
        <v>207</v>
      </c>
      <c r="B195" s="7">
        <v>46001</v>
      </c>
      <c r="C195" s="6" t="str">
        <f t="shared" si="3"/>
        <v>2025年12月</v>
      </c>
      <c r="D195" s="40" t="s">
        <v>39</v>
      </c>
      <c r="E195" s="6" t="s">
        <v>4821</v>
      </c>
      <c r="F195" s="6" t="s">
        <v>10</v>
      </c>
      <c r="G195" s="50" t="s">
        <v>2954</v>
      </c>
      <c r="H195" s="40"/>
      <c r="I195" s="50" t="s">
        <v>82</v>
      </c>
      <c r="J195" s="50" t="s">
        <v>4176</v>
      </c>
      <c r="K195" s="8" t="s">
        <v>1920</v>
      </c>
      <c r="L195" s="6" t="s">
        <v>1922</v>
      </c>
      <c r="M195" s="61" t="s">
        <v>1005</v>
      </c>
      <c r="N195" s="6" t="s">
        <v>4822</v>
      </c>
      <c r="O195" s="6" t="s">
        <v>4823</v>
      </c>
      <c r="P195" s="61">
        <v>1135.1</v>
      </c>
      <c r="Q195" s="6" t="s">
        <v>173</v>
      </c>
      <c r="R195" s="50" t="s">
        <v>4253</v>
      </c>
      <c r="S195" s="50" t="s">
        <v>4215</v>
      </c>
      <c r="T195" s="50" t="s">
        <v>3506</v>
      </c>
      <c r="U195" s="6" t="s">
        <v>1923</v>
      </c>
      <c r="V195" s="6"/>
      <c r="W195" s="6"/>
      <c r="X195" s="6"/>
      <c r="Y195" s="6"/>
      <c r="Z195" s="6"/>
      <c r="AA195" s="6"/>
      <c r="AB195" s="6"/>
      <c r="AC195" s="6"/>
      <c r="AD195" s="6"/>
      <c r="AE195" s="6"/>
      <c r="AF195" s="6"/>
      <c r="AG195" s="6"/>
    </row>
    <row r="196" ht="30" customHeight="1" spans="1:33">
      <c r="A196" s="6" t="s">
        <v>142</v>
      </c>
      <c r="B196" s="7">
        <v>46005</v>
      </c>
      <c r="C196" s="6" t="str">
        <f t="shared" si="3"/>
        <v>2025年12月</v>
      </c>
      <c r="D196" s="40" t="s">
        <v>40</v>
      </c>
      <c r="E196" s="6" t="s">
        <v>4824</v>
      </c>
      <c r="F196" s="6" t="s">
        <v>11</v>
      </c>
      <c r="G196" s="50" t="s">
        <v>4169</v>
      </c>
      <c r="H196" s="40"/>
      <c r="I196" s="50" t="s">
        <v>82</v>
      </c>
      <c r="J196" s="50" t="s">
        <v>4176</v>
      </c>
      <c r="K196" s="8" t="s">
        <v>4825</v>
      </c>
      <c r="L196" s="6" t="s">
        <v>4826</v>
      </c>
      <c r="M196" s="61"/>
      <c r="N196" s="6" t="s">
        <v>4827</v>
      </c>
      <c r="O196" s="6" t="s">
        <v>4828</v>
      </c>
      <c r="P196" s="61">
        <v>99009</v>
      </c>
      <c r="Q196" s="6" t="s">
        <v>149</v>
      </c>
      <c r="R196" s="50" t="s">
        <v>4319</v>
      </c>
      <c r="S196" s="50" t="s">
        <v>4215</v>
      </c>
      <c r="T196" s="50" t="s">
        <v>3506</v>
      </c>
      <c r="U196" s="6" t="s">
        <v>685</v>
      </c>
      <c r="V196" s="6"/>
      <c r="W196" s="6"/>
      <c r="X196" s="6"/>
      <c r="Y196" s="6"/>
      <c r="Z196" s="6"/>
      <c r="AA196" s="6"/>
      <c r="AB196" s="6"/>
      <c r="AC196" s="6"/>
      <c r="AD196" s="6"/>
      <c r="AE196" s="6"/>
      <c r="AF196" s="6"/>
      <c r="AG196" s="6"/>
    </row>
    <row r="197" ht="30" customHeight="1" spans="1:33">
      <c r="A197" s="6" t="s">
        <v>142</v>
      </c>
      <c r="B197" s="7">
        <v>46005</v>
      </c>
      <c r="C197" s="6" t="str">
        <f t="shared" si="3"/>
        <v>2025年12月</v>
      </c>
      <c r="D197" s="40" t="s">
        <v>40</v>
      </c>
      <c r="E197" s="6" t="s">
        <v>4824</v>
      </c>
      <c r="F197" s="6" t="s">
        <v>11</v>
      </c>
      <c r="G197" s="50" t="s">
        <v>4169</v>
      </c>
      <c r="H197" s="40"/>
      <c r="I197" s="50" t="s">
        <v>82</v>
      </c>
      <c r="J197" s="50" t="s">
        <v>4176</v>
      </c>
      <c r="K197" s="8" t="s">
        <v>4825</v>
      </c>
      <c r="L197" s="6" t="s">
        <v>4826</v>
      </c>
      <c r="M197" s="61"/>
      <c r="N197" s="6" t="s">
        <v>4829</v>
      </c>
      <c r="O197" s="6" t="s">
        <v>4828</v>
      </c>
      <c r="P197" s="61">
        <v>97202</v>
      </c>
      <c r="Q197" s="6" t="s">
        <v>149</v>
      </c>
      <c r="R197" s="50" t="s">
        <v>4319</v>
      </c>
      <c r="S197" s="50" t="s">
        <v>4215</v>
      </c>
      <c r="T197" s="50" t="s">
        <v>3506</v>
      </c>
      <c r="U197" s="6" t="s">
        <v>685</v>
      </c>
      <c r="V197" s="6"/>
      <c r="W197" s="6"/>
      <c r="X197" s="6"/>
      <c r="Y197" s="6"/>
      <c r="Z197" s="6"/>
      <c r="AA197" s="6"/>
      <c r="AB197" s="6"/>
      <c r="AC197" s="6"/>
      <c r="AD197" s="6"/>
      <c r="AE197" s="6"/>
      <c r="AF197" s="6"/>
      <c r="AG197" s="6"/>
    </row>
    <row r="198" ht="30" customHeight="1" spans="1:33">
      <c r="A198" s="6" t="s">
        <v>142</v>
      </c>
      <c r="B198" s="7">
        <v>46005</v>
      </c>
      <c r="C198" s="6" t="str">
        <f t="shared" si="3"/>
        <v>2025年12月</v>
      </c>
      <c r="D198" s="40" t="s">
        <v>40</v>
      </c>
      <c r="E198" s="6" t="s">
        <v>4824</v>
      </c>
      <c r="F198" s="6" t="s">
        <v>11</v>
      </c>
      <c r="G198" s="50" t="s">
        <v>4169</v>
      </c>
      <c r="H198" s="40"/>
      <c r="I198" s="50" t="s">
        <v>82</v>
      </c>
      <c r="J198" s="50" t="s">
        <v>4176</v>
      </c>
      <c r="K198" s="8" t="s">
        <v>4825</v>
      </c>
      <c r="L198" s="6" t="s">
        <v>4826</v>
      </c>
      <c r="M198" s="61"/>
      <c r="N198" s="6" t="s">
        <v>4830</v>
      </c>
      <c r="O198" s="6" t="s">
        <v>4828</v>
      </c>
      <c r="P198" s="61">
        <v>98088</v>
      </c>
      <c r="Q198" s="6" t="s">
        <v>149</v>
      </c>
      <c r="R198" s="50" t="s">
        <v>4319</v>
      </c>
      <c r="S198" s="50" t="s">
        <v>4215</v>
      </c>
      <c r="T198" s="50" t="s">
        <v>3506</v>
      </c>
      <c r="U198" s="6" t="s">
        <v>685</v>
      </c>
      <c r="V198" s="6"/>
      <c r="W198" s="6"/>
      <c r="X198" s="6"/>
      <c r="Y198" s="6"/>
      <c r="Z198" s="6"/>
      <c r="AA198" s="6"/>
      <c r="AB198" s="6"/>
      <c r="AC198" s="6"/>
      <c r="AD198" s="6"/>
      <c r="AE198" s="6"/>
      <c r="AF198" s="6"/>
      <c r="AG198" s="6"/>
    </row>
    <row r="199" ht="30" customHeight="1" spans="1:33">
      <c r="A199" s="6" t="s">
        <v>142</v>
      </c>
      <c r="B199" s="7">
        <v>46005</v>
      </c>
      <c r="C199" s="6" t="str">
        <f t="shared" si="3"/>
        <v>2025年12月</v>
      </c>
      <c r="D199" s="40" t="s">
        <v>40</v>
      </c>
      <c r="E199" s="6" t="s">
        <v>4831</v>
      </c>
      <c r="F199" s="6" t="s">
        <v>11</v>
      </c>
      <c r="G199" s="50" t="s">
        <v>4169</v>
      </c>
      <c r="H199" s="40"/>
      <c r="I199" s="50" t="s">
        <v>82</v>
      </c>
      <c r="J199" s="50" t="s">
        <v>4176</v>
      </c>
      <c r="K199" s="8" t="s">
        <v>4832</v>
      </c>
      <c r="L199" s="6" t="s">
        <v>4833</v>
      </c>
      <c r="M199" s="61"/>
      <c r="N199" s="6" t="s">
        <v>4834</v>
      </c>
      <c r="O199" s="6" t="s">
        <v>4835</v>
      </c>
      <c r="P199" s="61">
        <v>98628</v>
      </c>
      <c r="Q199" s="6" t="s">
        <v>149</v>
      </c>
      <c r="R199" s="50" t="s">
        <v>4319</v>
      </c>
      <c r="S199" s="50" t="s">
        <v>4215</v>
      </c>
      <c r="T199" s="50" t="s">
        <v>3506</v>
      </c>
      <c r="U199" s="6" t="s">
        <v>685</v>
      </c>
      <c r="V199" s="6"/>
      <c r="W199" s="6"/>
      <c r="X199" s="6"/>
      <c r="Y199" s="6"/>
      <c r="Z199" s="6"/>
      <c r="AA199" s="6"/>
      <c r="AB199" s="6"/>
      <c r="AC199" s="6"/>
      <c r="AD199" s="6"/>
      <c r="AE199" s="6"/>
      <c r="AF199" s="6"/>
      <c r="AG199" s="6"/>
    </row>
    <row r="200" ht="30" customHeight="1" spans="1:33">
      <c r="A200" s="6" t="s">
        <v>142</v>
      </c>
      <c r="B200" s="7">
        <v>46005</v>
      </c>
      <c r="C200" s="6" t="str">
        <f t="shared" si="3"/>
        <v>2025年12月</v>
      </c>
      <c r="D200" s="40" t="s">
        <v>40</v>
      </c>
      <c r="E200" s="6" t="s">
        <v>4831</v>
      </c>
      <c r="F200" s="6" t="s">
        <v>11</v>
      </c>
      <c r="G200" s="50" t="s">
        <v>4169</v>
      </c>
      <c r="H200" s="40"/>
      <c r="I200" s="50" t="s">
        <v>82</v>
      </c>
      <c r="J200" s="50" t="s">
        <v>4176</v>
      </c>
      <c r="K200" s="8" t="s">
        <v>4836</v>
      </c>
      <c r="L200" s="6" t="s">
        <v>4837</v>
      </c>
      <c r="M200" s="61"/>
      <c r="N200" s="6" t="s">
        <v>4838</v>
      </c>
      <c r="O200" s="6" t="s">
        <v>4835</v>
      </c>
      <c r="P200" s="61">
        <v>99154</v>
      </c>
      <c r="Q200" s="6" t="s">
        <v>149</v>
      </c>
      <c r="R200" s="50" t="s">
        <v>4319</v>
      </c>
      <c r="S200" s="50" t="s">
        <v>4215</v>
      </c>
      <c r="T200" s="50" t="s">
        <v>3506</v>
      </c>
      <c r="U200" s="6" t="s">
        <v>685</v>
      </c>
      <c r="V200" s="6"/>
      <c r="W200" s="6"/>
      <c r="X200" s="6"/>
      <c r="Y200" s="6"/>
      <c r="Z200" s="6"/>
      <c r="AA200" s="6"/>
      <c r="AB200" s="6"/>
      <c r="AC200" s="6"/>
      <c r="AD200" s="6"/>
      <c r="AE200" s="6"/>
      <c r="AF200" s="6"/>
      <c r="AG200" s="6"/>
    </row>
    <row r="201" ht="30" customHeight="1" spans="1:33">
      <c r="A201" s="6" t="s">
        <v>142</v>
      </c>
      <c r="B201" s="7">
        <v>46005</v>
      </c>
      <c r="C201" s="6" t="str">
        <f t="shared" si="3"/>
        <v>2025年12月</v>
      </c>
      <c r="D201" s="40" t="s">
        <v>40</v>
      </c>
      <c r="E201" s="6" t="s">
        <v>4831</v>
      </c>
      <c r="F201" s="6" t="s">
        <v>11</v>
      </c>
      <c r="G201" s="50" t="s">
        <v>4169</v>
      </c>
      <c r="H201" s="40"/>
      <c r="I201" s="50" t="s">
        <v>82</v>
      </c>
      <c r="J201" s="50" t="s">
        <v>4176</v>
      </c>
      <c r="K201" s="8" t="s">
        <v>1542</v>
      </c>
      <c r="L201" s="6" t="s">
        <v>4839</v>
      </c>
      <c r="M201" s="61"/>
      <c r="N201" s="6" t="s">
        <v>4840</v>
      </c>
      <c r="O201" s="6" t="s">
        <v>4835</v>
      </c>
      <c r="P201" s="61">
        <v>99709</v>
      </c>
      <c r="Q201" s="6" t="s">
        <v>149</v>
      </c>
      <c r="R201" s="50" t="s">
        <v>4319</v>
      </c>
      <c r="S201" s="50" t="s">
        <v>4215</v>
      </c>
      <c r="T201" s="50" t="s">
        <v>3506</v>
      </c>
      <c r="U201" s="6" t="s">
        <v>685</v>
      </c>
      <c r="V201" s="6"/>
      <c r="W201" s="6"/>
      <c r="X201" s="6"/>
      <c r="Y201" s="6"/>
      <c r="Z201" s="6"/>
      <c r="AA201" s="6"/>
      <c r="AB201" s="6"/>
      <c r="AC201" s="6"/>
      <c r="AD201" s="6"/>
      <c r="AE201" s="6"/>
      <c r="AF201" s="6"/>
      <c r="AG201" s="6"/>
    </row>
    <row r="202" ht="30" customHeight="1" spans="1:33">
      <c r="A202" s="6" t="s">
        <v>142</v>
      </c>
      <c r="B202" s="7">
        <v>46005</v>
      </c>
      <c r="C202" s="6" t="str">
        <f t="shared" si="3"/>
        <v>2025年12月</v>
      </c>
      <c r="D202" s="40" t="s">
        <v>40</v>
      </c>
      <c r="E202" s="6" t="s">
        <v>4841</v>
      </c>
      <c r="F202" s="6" t="s">
        <v>11</v>
      </c>
      <c r="G202" s="50" t="s">
        <v>4169</v>
      </c>
      <c r="H202" s="40"/>
      <c r="I202" s="50" t="s">
        <v>82</v>
      </c>
      <c r="J202" s="50" t="s">
        <v>4190</v>
      </c>
      <c r="K202" s="8" t="s">
        <v>4842</v>
      </c>
      <c r="L202" s="6" t="s">
        <v>4843</v>
      </c>
      <c r="M202" s="61"/>
      <c r="N202" s="6" t="s">
        <v>4844</v>
      </c>
      <c r="O202" s="6" t="s">
        <v>4835</v>
      </c>
      <c r="P202" s="61">
        <v>99503</v>
      </c>
      <c r="Q202" s="6" t="s">
        <v>149</v>
      </c>
      <c r="R202" s="50" t="s">
        <v>4319</v>
      </c>
      <c r="S202" s="50" t="s">
        <v>4215</v>
      </c>
      <c r="T202" s="50" t="s">
        <v>3506</v>
      </c>
      <c r="U202" s="6" t="s">
        <v>685</v>
      </c>
      <c r="V202" s="6"/>
      <c r="W202" s="6"/>
      <c r="X202" s="6"/>
      <c r="Y202" s="6"/>
      <c r="Z202" s="6"/>
      <c r="AA202" s="6"/>
      <c r="AB202" s="6"/>
      <c r="AC202" s="6"/>
      <c r="AD202" s="6"/>
      <c r="AE202" s="6"/>
      <c r="AF202" s="6"/>
      <c r="AG202" s="6"/>
    </row>
    <row r="203" ht="30" customHeight="1" spans="1:33">
      <c r="A203" s="6" t="s">
        <v>78</v>
      </c>
      <c r="B203" s="7">
        <v>46009</v>
      </c>
      <c r="C203" s="6" t="str">
        <f t="shared" si="3"/>
        <v>2025年12月</v>
      </c>
      <c r="D203" s="40" t="s">
        <v>40</v>
      </c>
      <c r="E203" s="6" t="s">
        <v>4845</v>
      </c>
      <c r="F203" s="6" t="s">
        <v>10</v>
      </c>
      <c r="G203" s="50" t="s">
        <v>4169</v>
      </c>
      <c r="H203" s="40"/>
      <c r="I203" s="50" t="s">
        <v>82</v>
      </c>
      <c r="J203" s="50" t="s">
        <v>4176</v>
      </c>
      <c r="K203" s="8" t="s">
        <v>1892</v>
      </c>
      <c r="L203" s="6" t="s">
        <v>4846</v>
      </c>
      <c r="M203" s="61" t="s">
        <v>1005</v>
      </c>
      <c r="N203" s="6" t="s">
        <v>4847</v>
      </c>
      <c r="O203" s="6" t="s">
        <v>4848</v>
      </c>
      <c r="P203" s="61">
        <v>163</v>
      </c>
      <c r="Q203" s="6" t="s">
        <v>149</v>
      </c>
      <c r="R203" s="50" t="s">
        <v>4253</v>
      </c>
      <c r="S203" s="50" t="s">
        <v>4215</v>
      </c>
      <c r="T203" s="50" t="s">
        <v>3506</v>
      </c>
      <c r="U203" s="6" t="s">
        <v>161</v>
      </c>
      <c r="V203" s="6"/>
      <c r="W203" s="6"/>
      <c r="X203" s="6"/>
      <c r="Y203" s="6"/>
      <c r="Z203" s="6"/>
      <c r="AA203" s="6"/>
      <c r="AB203" s="6"/>
      <c r="AC203" s="6"/>
      <c r="AD203" s="6"/>
      <c r="AE203" s="6"/>
      <c r="AF203" s="6"/>
      <c r="AG203" s="6"/>
    </row>
    <row r="204" ht="30" customHeight="1" spans="1:33">
      <c r="A204" s="6" t="s">
        <v>584</v>
      </c>
      <c r="B204" s="7">
        <v>46013</v>
      </c>
      <c r="C204" s="6" t="str">
        <f t="shared" si="3"/>
        <v>2025年12月</v>
      </c>
      <c r="D204" s="40" t="s">
        <v>39</v>
      </c>
      <c r="E204" s="41" t="s">
        <v>4849</v>
      </c>
      <c r="F204" s="6" t="s">
        <v>10</v>
      </c>
      <c r="G204" s="50" t="s">
        <v>2954</v>
      </c>
      <c r="H204" s="40"/>
      <c r="I204" s="50" t="s">
        <v>82</v>
      </c>
      <c r="J204" s="50" t="s">
        <v>4176</v>
      </c>
      <c r="K204" s="8" t="s">
        <v>1920</v>
      </c>
      <c r="L204" s="6" t="s">
        <v>1922</v>
      </c>
      <c r="M204" s="61" t="s">
        <v>1005</v>
      </c>
      <c r="N204" s="6" t="s">
        <v>4850</v>
      </c>
      <c r="O204" s="6" t="s">
        <v>4851</v>
      </c>
      <c r="P204" s="61">
        <v>920</v>
      </c>
      <c r="Q204" s="6" t="s">
        <v>173</v>
      </c>
      <c r="R204" s="50" t="s">
        <v>4253</v>
      </c>
      <c r="S204" s="50" t="s">
        <v>4215</v>
      </c>
      <c r="T204" s="50" t="s">
        <v>3557</v>
      </c>
      <c r="U204" s="6" t="s">
        <v>1923</v>
      </c>
      <c r="V204" s="6" t="s">
        <v>4852</v>
      </c>
      <c r="W204" s="87">
        <v>46106</v>
      </c>
      <c r="X204" s="6"/>
      <c r="Y204" s="6"/>
      <c r="Z204" s="6"/>
      <c r="AA204" s="6"/>
      <c r="AB204" s="6"/>
      <c r="AC204" s="6"/>
      <c r="AD204" s="6"/>
      <c r="AE204" s="6"/>
      <c r="AF204" s="6"/>
      <c r="AG204" s="6"/>
    </row>
    <row r="205" ht="30" customHeight="1" spans="1:33">
      <c r="A205" s="6" t="s">
        <v>207</v>
      </c>
      <c r="B205" s="7">
        <v>46013</v>
      </c>
      <c r="C205" s="6" t="str">
        <f t="shared" si="3"/>
        <v>2025年12月</v>
      </c>
      <c r="D205" s="40" t="s">
        <v>40</v>
      </c>
      <c r="E205" s="6" t="s">
        <v>4853</v>
      </c>
      <c r="F205" s="6" t="s">
        <v>11</v>
      </c>
      <c r="G205" s="50" t="s">
        <v>2954</v>
      </c>
      <c r="H205" s="40"/>
      <c r="I205" s="50" t="s">
        <v>82</v>
      </c>
      <c r="J205" s="50" t="s">
        <v>4176</v>
      </c>
      <c r="K205" s="8" t="s">
        <v>3071</v>
      </c>
      <c r="L205" s="6" t="s">
        <v>3072</v>
      </c>
      <c r="M205" s="61"/>
      <c r="N205" s="6" t="s">
        <v>4854</v>
      </c>
      <c r="O205" s="6" t="s">
        <v>4855</v>
      </c>
      <c r="P205" s="76">
        <v>23317</v>
      </c>
      <c r="Q205" s="6" t="s">
        <v>149</v>
      </c>
      <c r="R205" s="50" t="s">
        <v>4319</v>
      </c>
      <c r="S205" s="50" t="s">
        <v>4215</v>
      </c>
      <c r="T205" s="50" t="s">
        <v>3506</v>
      </c>
      <c r="U205" s="6" t="s">
        <v>685</v>
      </c>
      <c r="V205" s="6"/>
      <c r="W205" s="6"/>
      <c r="X205" s="6"/>
      <c r="Y205" s="6"/>
      <c r="Z205" s="6"/>
      <c r="AA205" s="6"/>
      <c r="AB205" s="6"/>
      <c r="AC205" s="6"/>
      <c r="AD205" s="6"/>
      <c r="AE205" s="6"/>
      <c r="AF205" s="6"/>
      <c r="AG205" s="6"/>
    </row>
    <row r="206" ht="30" customHeight="1" spans="1:33">
      <c r="A206" s="6" t="s">
        <v>142</v>
      </c>
      <c r="B206" s="7">
        <v>46015</v>
      </c>
      <c r="C206" s="6" t="str">
        <f t="shared" si="3"/>
        <v>2025年12月</v>
      </c>
      <c r="D206" s="40" t="s">
        <v>40</v>
      </c>
      <c r="E206" s="6" t="s">
        <v>4856</v>
      </c>
      <c r="F206" s="6" t="s">
        <v>11</v>
      </c>
      <c r="G206" s="50" t="s">
        <v>4169</v>
      </c>
      <c r="H206" s="40"/>
      <c r="I206" s="50" t="s">
        <v>82</v>
      </c>
      <c r="J206" s="50" t="s">
        <v>4190</v>
      </c>
      <c r="K206" s="8" t="s">
        <v>3039</v>
      </c>
      <c r="L206" s="6" t="s">
        <v>3040</v>
      </c>
      <c r="M206" s="61"/>
      <c r="N206" s="6" t="s">
        <v>4857</v>
      </c>
      <c r="O206" s="6" t="s">
        <v>4858</v>
      </c>
      <c r="P206" s="61">
        <v>23350</v>
      </c>
      <c r="Q206" s="6" t="s">
        <v>149</v>
      </c>
      <c r="R206" s="50" t="s">
        <v>4319</v>
      </c>
      <c r="S206" s="50" t="s">
        <v>4215</v>
      </c>
      <c r="T206" s="50" t="s">
        <v>3506</v>
      </c>
      <c r="U206" s="6" t="s">
        <v>685</v>
      </c>
      <c r="V206" s="6"/>
      <c r="W206" s="6"/>
      <c r="X206" s="6"/>
      <c r="Y206" s="6"/>
      <c r="Z206" s="6"/>
      <c r="AA206" s="6"/>
      <c r="AB206" s="6"/>
      <c r="AC206" s="6"/>
      <c r="AD206" s="6"/>
      <c r="AE206" s="6"/>
      <c r="AF206" s="6"/>
      <c r="AG206" s="6"/>
    </row>
    <row r="207" ht="30" customHeight="1" spans="1:33">
      <c r="A207" s="6" t="s">
        <v>142</v>
      </c>
      <c r="B207" s="7">
        <v>46015</v>
      </c>
      <c r="C207" s="6" t="str">
        <f t="shared" si="3"/>
        <v>2025年12月</v>
      </c>
      <c r="D207" s="40" t="s">
        <v>40</v>
      </c>
      <c r="E207" s="6" t="s">
        <v>4859</v>
      </c>
      <c r="F207" s="6" t="s">
        <v>11</v>
      </c>
      <c r="G207" s="50" t="s">
        <v>4169</v>
      </c>
      <c r="H207" s="40"/>
      <c r="I207" s="50" t="s">
        <v>82</v>
      </c>
      <c r="J207" s="50" t="s">
        <v>4190</v>
      </c>
      <c r="K207" s="8" t="s">
        <v>3039</v>
      </c>
      <c r="L207" s="6" t="s">
        <v>3040</v>
      </c>
      <c r="M207" s="61"/>
      <c r="N207" s="6" t="s">
        <v>4860</v>
      </c>
      <c r="O207" s="6" t="s">
        <v>4858</v>
      </c>
      <c r="P207" s="61">
        <v>7106</v>
      </c>
      <c r="Q207" s="6" t="s">
        <v>149</v>
      </c>
      <c r="R207" s="50" t="s">
        <v>4253</v>
      </c>
      <c r="S207" s="50" t="s">
        <v>4215</v>
      </c>
      <c r="T207" s="50" t="s">
        <v>3506</v>
      </c>
      <c r="U207" s="6" t="s">
        <v>685</v>
      </c>
      <c r="V207" s="6"/>
      <c r="W207" s="6"/>
      <c r="X207" s="6"/>
      <c r="Y207" s="6"/>
      <c r="Z207" s="6"/>
      <c r="AA207" s="6"/>
      <c r="AB207" s="6"/>
      <c r="AC207" s="6"/>
      <c r="AD207" s="6"/>
      <c r="AE207" s="6"/>
      <c r="AF207" s="6"/>
      <c r="AG207" s="6"/>
    </row>
    <row r="208" ht="30" customHeight="1" spans="1:33">
      <c r="A208" s="6" t="s">
        <v>142</v>
      </c>
      <c r="B208" s="7">
        <v>46015</v>
      </c>
      <c r="C208" s="6" t="str">
        <f t="shared" si="3"/>
        <v>2025年12月</v>
      </c>
      <c r="D208" s="40" t="s">
        <v>40</v>
      </c>
      <c r="E208" s="6" t="s">
        <v>4861</v>
      </c>
      <c r="F208" s="6" t="s">
        <v>11</v>
      </c>
      <c r="G208" s="50" t="s">
        <v>4169</v>
      </c>
      <c r="H208" s="40"/>
      <c r="I208" s="50" t="s">
        <v>82</v>
      </c>
      <c r="J208" s="50" t="s">
        <v>4190</v>
      </c>
      <c r="K208" s="8" t="s">
        <v>3039</v>
      </c>
      <c r="L208" s="6" t="s">
        <v>3040</v>
      </c>
      <c r="M208" s="61"/>
      <c r="N208" s="6" t="s">
        <v>4862</v>
      </c>
      <c r="O208" s="6" t="s">
        <v>4858</v>
      </c>
      <c r="P208" s="61">
        <v>29860</v>
      </c>
      <c r="Q208" s="6" t="s">
        <v>149</v>
      </c>
      <c r="R208" s="50" t="s">
        <v>4253</v>
      </c>
      <c r="S208" s="50" t="s">
        <v>4215</v>
      </c>
      <c r="T208" s="50" t="s">
        <v>3506</v>
      </c>
      <c r="U208" s="6" t="s">
        <v>685</v>
      </c>
      <c r="V208" s="6"/>
      <c r="W208" s="6"/>
      <c r="X208" s="6"/>
      <c r="Y208" s="6"/>
      <c r="Z208" s="6"/>
      <c r="AA208" s="6"/>
      <c r="AB208" s="6"/>
      <c r="AC208" s="6"/>
      <c r="AD208" s="6"/>
      <c r="AE208" s="6"/>
      <c r="AF208" s="6"/>
      <c r="AG208" s="6"/>
    </row>
    <row r="209" ht="30" customHeight="1" spans="1:33">
      <c r="A209" s="6" t="s">
        <v>142</v>
      </c>
      <c r="B209" s="7">
        <v>46015</v>
      </c>
      <c r="C209" s="6" t="str">
        <f t="shared" si="3"/>
        <v>2025年12月</v>
      </c>
      <c r="D209" s="40" t="s">
        <v>40</v>
      </c>
      <c r="E209" s="6" t="s">
        <v>4863</v>
      </c>
      <c r="F209" s="6" t="s">
        <v>11</v>
      </c>
      <c r="G209" s="50" t="s">
        <v>4169</v>
      </c>
      <c r="H209" s="40"/>
      <c r="I209" s="50" t="s">
        <v>82</v>
      </c>
      <c r="J209" s="50" t="s">
        <v>4190</v>
      </c>
      <c r="K209" s="8" t="s">
        <v>3039</v>
      </c>
      <c r="L209" s="6" t="s">
        <v>3040</v>
      </c>
      <c r="M209" s="61"/>
      <c r="N209" s="6" t="s">
        <v>4864</v>
      </c>
      <c r="O209" s="6" t="s">
        <v>4858</v>
      </c>
      <c r="P209" s="61">
        <v>44680</v>
      </c>
      <c r="Q209" s="6" t="s">
        <v>149</v>
      </c>
      <c r="R209" s="50" t="s">
        <v>4253</v>
      </c>
      <c r="S209" s="50" t="s">
        <v>4215</v>
      </c>
      <c r="T209" s="50" t="s">
        <v>3506</v>
      </c>
      <c r="U209" s="6" t="s">
        <v>685</v>
      </c>
      <c r="V209" s="6"/>
      <c r="W209" s="6"/>
      <c r="X209" s="6"/>
      <c r="Y209" s="6"/>
      <c r="Z209" s="6"/>
      <c r="AA209" s="6"/>
      <c r="AB209" s="6"/>
      <c r="AC209" s="6"/>
      <c r="AD209" s="6"/>
      <c r="AE209" s="6"/>
      <c r="AF209" s="6"/>
      <c r="AG209" s="6"/>
    </row>
    <row r="210" ht="30" customHeight="1" spans="1:33">
      <c r="A210" s="6" t="s">
        <v>78</v>
      </c>
      <c r="B210" s="7">
        <v>46022</v>
      </c>
      <c r="C210" s="6" t="str">
        <f t="shared" si="3"/>
        <v>2025年12月</v>
      </c>
      <c r="D210" s="40" t="s">
        <v>40</v>
      </c>
      <c r="E210" s="6" t="s">
        <v>4865</v>
      </c>
      <c r="F210" s="6" t="s">
        <v>10</v>
      </c>
      <c r="G210" s="50" t="s">
        <v>4169</v>
      </c>
      <c r="H210" s="40"/>
      <c r="I210" s="50" t="s">
        <v>82</v>
      </c>
      <c r="J210" s="50" t="s">
        <v>4176</v>
      </c>
      <c r="K210" s="8" t="s">
        <v>1892</v>
      </c>
      <c r="L210" s="6" t="s">
        <v>4846</v>
      </c>
      <c r="M210" s="61" t="s">
        <v>1005</v>
      </c>
      <c r="N210" s="6" t="s">
        <v>4866</v>
      </c>
      <c r="O210" s="6" t="s">
        <v>4867</v>
      </c>
      <c r="P210" s="61">
        <v>145</v>
      </c>
      <c r="Q210" s="6" t="s">
        <v>139</v>
      </c>
      <c r="R210" s="50" t="s">
        <v>4319</v>
      </c>
      <c r="S210" s="50" t="s">
        <v>4215</v>
      </c>
      <c r="T210" s="50" t="s">
        <v>3506</v>
      </c>
      <c r="U210" s="6" t="s">
        <v>161</v>
      </c>
      <c r="V210" s="6"/>
      <c r="W210" s="6"/>
      <c r="X210" s="6"/>
      <c r="Y210" s="6"/>
      <c r="Z210" s="6"/>
      <c r="AA210" s="6"/>
      <c r="AB210" s="6"/>
      <c r="AC210" s="6"/>
      <c r="AD210" s="6"/>
      <c r="AE210" s="6"/>
      <c r="AF210" s="6"/>
      <c r="AG210" s="6"/>
    </row>
    <row r="211" ht="30" customHeight="1" spans="1:33">
      <c r="A211" s="6" t="s">
        <v>78</v>
      </c>
      <c r="B211" s="7">
        <v>46022</v>
      </c>
      <c r="C211" s="6" t="str">
        <f t="shared" si="3"/>
        <v>2025年12月</v>
      </c>
      <c r="D211" s="40" t="s">
        <v>40</v>
      </c>
      <c r="E211" s="6" t="s">
        <v>4868</v>
      </c>
      <c r="F211" s="6" t="s">
        <v>10</v>
      </c>
      <c r="G211" s="50" t="s">
        <v>4169</v>
      </c>
      <c r="H211" s="40"/>
      <c r="J211" s="50" t="s">
        <v>4176</v>
      </c>
      <c r="K211" s="8" t="s">
        <v>1994</v>
      </c>
      <c r="L211" s="6" t="s">
        <v>4869</v>
      </c>
      <c r="M211" s="61" t="s">
        <v>1005</v>
      </c>
      <c r="N211" s="6" t="s">
        <v>4870</v>
      </c>
      <c r="O211" s="6"/>
      <c r="P211" s="61">
        <v>90</v>
      </c>
      <c r="Q211" s="6" t="s">
        <v>139</v>
      </c>
      <c r="R211" s="50" t="s">
        <v>4253</v>
      </c>
      <c r="U211" s="6" t="s">
        <v>161</v>
      </c>
      <c r="V211" s="6" t="s">
        <v>4871</v>
      </c>
      <c r="W211" s="6"/>
      <c r="X211" s="6"/>
      <c r="Y211" s="6"/>
      <c r="Z211" s="6"/>
      <c r="AA211" s="6"/>
      <c r="AB211" s="6"/>
      <c r="AC211" s="6"/>
      <c r="AD211" s="6"/>
      <c r="AE211" s="6"/>
      <c r="AF211" s="6"/>
      <c r="AG211" s="6"/>
    </row>
    <row r="212" ht="30" customHeight="1" spans="1:33">
      <c r="A212" s="6" t="s">
        <v>78</v>
      </c>
      <c r="B212" s="7">
        <v>46022</v>
      </c>
      <c r="C212" s="6" t="str">
        <f t="shared" si="3"/>
        <v>2025年12月</v>
      </c>
      <c r="D212" s="40" t="s">
        <v>40</v>
      </c>
      <c r="E212" s="6" t="s">
        <v>4872</v>
      </c>
      <c r="F212" s="6" t="s">
        <v>10</v>
      </c>
      <c r="G212" s="50" t="s">
        <v>4169</v>
      </c>
      <c r="H212" s="40"/>
      <c r="I212" s="50" t="s">
        <v>82</v>
      </c>
      <c r="J212" s="50" t="s">
        <v>4176</v>
      </c>
      <c r="K212" s="8" t="s">
        <v>1228</v>
      </c>
      <c r="L212" s="6" t="s">
        <v>1230</v>
      </c>
      <c r="M212" s="61" t="s">
        <v>1005</v>
      </c>
      <c r="N212" s="6" t="s">
        <v>4873</v>
      </c>
      <c r="O212" s="6" t="s">
        <v>4874</v>
      </c>
      <c r="P212" s="61">
        <v>75</v>
      </c>
      <c r="Q212" s="6" t="s">
        <v>139</v>
      </c>
      <c r="R212" s="50" t="s">
        <v>4319</v>
      </c>
      <c r="S212" s="50" t="s">
        <v>4215</v>
      </c>
      <c r="T212" s="50" t="s">
        <v>3506</v>
      </c>
      <c r="U212" s="6" t="s">
        <v>85</v>
      </c>
      <c r="V212" s="6" t="s">
        <v>4875</v>
      </c>
      <c r="W212" s="6"/>
      <c r="X212" s="6"/>
      <c r="Y212" s="6"/>
      <c r="Z212" s="6"/>
      <c r="AA212" s="6"/>
      <c r="AB212" s="6"/>
      <c r="AC212" s="6"/>
      <c r="AD212" s="6"/>
      <c r="AE212" s="6"/>
      <c r="AF212" s="6"/>
      <c r="AG212" s="6"/>
    </row>
    <row r="213" ht="30" customHeight="1" spans="1:33">
      <c r="A213" s="6" t="s">
        <v>207</v>
      </c>
      <c r="B213" s="7">
        <v>46022</v>
      </c>
      <c r="C213" s="6" t="str">
        <f t="shared" si="3"/>
        <v>2025年12月</v>
      </c>
      <c r="D213" s="40" t="s">
        <v>40</v>
      </c>
      <c r="E213" s="6" t="s">
        <v>4876</v>
      </c>
      <c r="F213" s="6" t="s">
        <v>10</v>
      </c>
      <c r="G213" s="50" t="s">
        <v>4169</v>
      </c>
      <c r="H213" s="40"/>
      <c r="I213" s="50" t="s">
        <v>82</v>
      </c>
      <c r="J213" s="50" t="s">
        <v>4176</v>
      </c>
      <c r="K213" s="8" t="s">
        <v>1920</v>
      </c>
      <c r="L213" s="6" t="s">
        <v>1922</v>
      </c>
      <c r="M213" s="61" t="s">
        <v>1005</v>
      </c>
      <c r="N213" s="6" t="s">
        <v>4877</v>
      </c>
      <c r="O213" s="6" t="s">
        <v>4878</v>
      </c>
      <c r="P213" s="61">
        <v>544.34</v>
      </c>
      <c r="Q213" s="6" t="s">
        <v>139</v>
      </c>
      <c r="R213" s="50" t="s">
        <v>4253</v>
      </c>
      <c r="S213" s="50" t="s">
        <v>4215</v>
      </c>
      <c r="T213" s="50" t="s">
        <v>3506</v>
      </c>
      <c r="U213" s="6" t="s">
        <v>1923</v>
      </c>
      <c r="V213" s="6"/>
      <c r="W213" s="6"/>
      <c r="X213" s="6"/>
      <c r="Y213" s="6"/>
      <c r="Z213" s="6"/>
      <c r="AA213" s="6"/>
      <c r="AB213" s="6"/>
      <c r="AC213" s="6"/>
      <c r="AD213" s="6"/>
      <c r="AE213" s="6"/>
      <c r="AF213" s="6"/>
      <c r="AG213" s="6"/>
    </row>
    <row r="214" ht="30" customHeight="1" spans="1:33">
      <c r="A214" s="6" t="s">
        <v>207</v>
      </c>
      <c r="B214" s="7">
        <v>46022</v>
      </c>
      <c r="C214" s="6" t="str">
        <f t="shared" si="3"/>
        <v>2025年12月</v>
      </c>
      <c r="D214" s="40" t="s">
        <v>39</v>
      </c>
      <c r="E214" s="6" t="s">
        <v>4879</v>
      </c>
      <c r="F214" s="6" t="s">
        <v>10</v>
      </c>
      <c r="G214" s="50" t="s">
        <v>2954</v>
      </c>
      <c r="H214" s="40"/>
      <c r="I214" s="50" t="s">
        <v>82</v>
      </c>
      <c r="J214" s="50" t="s">
        <v>4176</v>
      </c>
      <c r="K214" s="8" t="s">
        <v>3066</v>
      </c>
      <c r="L214" s="6" t="s">
        <v>3067</v>
      </c>
      <c r="M214" s="61" t="s">
        <v>1005</v>
      </c>
      <c r="N214" s="6" t="s">
        <v>4880</v>
      </c>
      <c r="O214" s="6" t="s">
        <v>4881</v>
      </c>
      <c r="P214" s="61">
        <v>671</v>
      </c>
      <c r="Q214" s="6" t="s">
        <v>173</v>
      </c>
      <c r="R214" s="50" t="s">
        <v>4253</v>
      </c>
      <c r="S214" s="50" t="s">
        <v>4215</v>
      </c>
      <c r="T214" s="50" t="s">
        <v>3506</v>
      </c>
      <c r="U214" s="6" t="s">
        <v>1923</v>
      </c>
      <c r="V214" s="6"/>
      <c r="W214" s="6"/>
      <c r="X214" s="6"/>
      <c r="Y214" s="6"/>
      <c r="Z214" s="6"/>
      <c r="AA214" s="6"/>
      <c r="AB214" s="6"/>
      <c r="AC214" s="6"/>
      <c r="AD214" s="6"/>
      <c r="AE214" s="6"/>
      <c r="AF214" s="6"/>
      <c r="AG214" s="6"/>
    </row>
    <row r="215" ht="30" customHeight="1" spans="1:33">
      <c r="A215" s="6" t="s">
        <v>142</v>
      </c>
      <c r="B215" s="7">
        <v>46022</v>
      </c>
      <c r="C215" s="6" t="str">
        <f t="shared" si="3"/>
        <v>2025年12月</v>
      </c>
      <c r="D215" s="40" t="s">
        <v>39</v>
      </c>
      <c r="E215" s="6" t="s">
        <v>4882</v>
      </c>
      <c r="F215" s="6" t="s">
        <v>12</v>
      </c>
      <c r="G215" s="50" t="s">
        <v>2954</v>
      </c>
      <c r="H215" s="40"/>
      <c r="I215" s="50" t="s">
        <v>82</v>
      </c>
      <c r="J215" s="50" t="s">
        <v>4176</v>
      </c>
      <c r="K215" s="8" t="s">
        <v>4883</v>
      </c>
      <c r="L215" s="6" t="s">
        <v>4884</v>
      </c>
      <c r="M215" s="61"/>
      <c r="N215" s="6" t="s">
        <v>4885</v>
      </c>
      <c r="O215" s="6" t="s">
        <v>4571</v>
      </c>
      <c r="P215" s="76">
        <v>1774.66</v>
      </c>
      <c r="Q215" s="6" t="s">
        <v>173</v>
      </c>
      <c r="R215" s="50" t="s">
        <v>4253</v>
      </c>
      <c r="S215" s="50" t="s">
        <v>4215</v>
      </c>
      <c r="T215" s="50" t="s">
        <v>3506</v>
      </c>
      <c r="U215" s="6" t="s">
        <v>129</v>
      </c>
      <c r="V215" s="6"/>
      <c r="W215" s="6"/>
      <c r="X215" s="6"/>
      <c r="Y215" s="6"/>
      <c r="Z215" s="6"/>
      <c r="AA215" s="6"/>
      <c r="AB215" s="6"/>
      <c r="AC215" s="6"/>
      <c r="AD215" s="6"/>
      <c r="AE215" s="6"/>
      <c r="AF215" s="6"/>
      <c r="AG215" s="6"/>
    </row>
    <row r="216" ht="30" customHeight="1" spans="1:33">
      <c r="A216" s="6" t="s">
        <v>78</v>
      </c>
      <c r="B216" s="7">
        <v>46027</v>
      </c>
      <c r="C216" s="6" t="str">
        <f t="shared" si="3"/>
        <v>2026年1月</v>
      </c>
      <c r="D216" s="40" t="s">
        <v>40</v>
      </c>
      <c r="E216" s="6" t="s">
        <v>4886</v>
      </c>
      <c r="F216" s="6" t="s">
        <v>10</v>
      </c>
      <c r="G216" s="50" t="s">
        <v>4169</v>
      </c>
      <c r="H216" s="40"/>
      <c r="I216" s="50" t="s">
        <v>82</v>
      </c>
      <c r="J216" s="50" t="s">
        <v>4190</v>
      </c>
      <c r="K216" s="8" t="s">
        <v>4887</v>
      </c>
      <c r="L216" s="6" t="s">
        <v>4888</v>
      </c>
      <c r="M216" s="61" t="s">
        <v>3749</v>
      </c>
      <c r="N216" s="6" t="s">
        <v>4889</v>
      </c>
      <c r="O216" s="6" t="s">
        <v>1016</v>
      </c>
      <c r="P216" s="61">
        <v>62</v>
      </c>
      <c r="Q216" s="6" t="s">
        <v>149</v>
      </c>
      <c r="R216" s="50" t="s">
        <v>4319</v>
      </c>
      <c r="S216" s="50" t="s">
        <v>4215</v>
      </c>
      <c r="T216" s="50" t="s">
        <v>3506</v>
      </c>
      <c r="U216" s="6" t="s">
        <v>124</v>
      </c>
      <c r="V216" s="6"/>
      <c r="W216" s="6"/>
      <c r="X216" s="6"/>
      <c r="Y216" s="6"/>
      <c r="Z216" s="6"/>
      <c r="AA216" s="6"/>
      <c r="AB216" s="6"/>
      <c r="AC216" s="6"/>
      <c r="AD216" s="6"/>
      <c r="AE216" s="6"/>
      <c r="AF216" s="6"/>
      <c r="AG216" s="6"/>
    </row>
    <row r="217" ht="15.5" spans="1:33">
      <c r="A217" s="6" t="s">
        <v>78</v>
      </c>
      <c r="B217" s="7">
        <v>46027</v>
      </c>
      <c r="C217" s="6" t="str">
        <f t="shared" ref="C217:C280" si="4">YEAR(B217)&amp;"年"&amp;MONTH(B217)&amp;"月"</f>
        <v>2026年1月</v>
      </c>
      <c r="D217" s="40" t="s">
        <v>40</v>
      </c>
      <c r="E217" s="6" t="s">
        <v>4890</v>
      </c>
      <c r="F217" s="6" t="s">
        <v>10</v>
      </c>
      <c r="G217" s="50" t="s">
        <v>4169</v>
      </c>
      <c r="H217" s="40"/>
      <c r="I217" s="50" t="s">
        <v>82</v>
      </c>
      <c r="J217" s="50" t="s">
        <v>4176</v>
      </c>
      <c r="K217" s="8" t="s">
        <v>4891</v>
      </c>
      <c r="L217" s="6" t="s">
        <v>4892</v>
      </c>
      <c r="M217" s="61" t="s">
        <v>3749</v>
      </c>
      <c r="N217" s="6" t="s">
        <v>4893</v>
      </c>
      <c r="O217" s="6" t="s">
        <v>1016</v>
      </c>
      <c r="P217" s="61">
        <v>65</v>
      </c>
      <c r="Q217" s="6" t="s">
        <v>149</v>
      </c>
      <c r="R217" s="50" t="s">
        <v>4319</v>
      </c>
      <c r="S217" s="50" t="s">
        <v>4215</v>
      </c>
      <c r="T217" s="50" t="s">
        <v>3506</v>
      </c>
      <c r="U217" s="6" t="s">
        <v>85</v>
      </c>
      <c r="V217" s="6"/>
      <c r="W217" s="6"/>
      <c r="X217" s="6"/>
      <c r="Y217" s="6"/>
      <c r="Z217" s="6"/>
      <c r="AA217" s="6"/>
      <c r="AB217" s="6"/>
      <c r="AC217" s="6"/>
      <c r="AD217" s="6"/>
      <c r="AE217" s="6"/>
      <c r="AF217" s="6"/>
      <c r="AG217" s="6"/>
    </row>
    <row r="218" ht="15.5" spans="1:33">
      <c r="A218" s="6" t="s">
        <v>207</v>
      </c>
      <c r="B218" s="7">
        <v>46031</v>
      </c>
      <c r="C218" s="6" t="str">
        <f t="shared" si="4"/>
        <v>2026年1月</v>
      </c>
      <c r="D218" s="40" t="s">
        <v>40</v>
      </c>
      <c r="E218" s="6" t="s">
        <v>4894</v>
      </c>
      <c r="F218" s="6" t="s">
        <v>11</v>
      </c>
      <c r="G218" s="50" t="s">
        <v>2954</v>
      </c>
      <c r="H218" s="40"/>
      <c r="I218" s="50" t="s">
        <v>82</v>
      </c>
      <c r="J218" s="50" t="s">
        <v>4176</v>
      </c>
      <c r="K218" s="8" t="s">
        <v>3039</v>
      </c>
      <c r="L218" s="6" t="s">
        <v>3040</v>
      </c>
      <c r="M218" s="61"/>
      <c r="N218" s="6" t="s">
        <v>4895</v>
      </c>
      <c r="O218" s="6" t="s">
        <v>4896</v>
      </c>
      <c r="P218" s="76">
        <v>4980</v>
      </c>
      <c r="Q218" s="6" t="s">
        <v>149</v>
      </c>
      <c r="R218" s="50" t="s">
        <v>4253</v>
      </c>
      <c r="S218" s="50" t="s">
        <v>4215</v>
      </c>
      <c r="T218" s="50" t="s">
        <v>3506</v>
      </c>
      <c r="U218" s="6" t="s">
        <v>685</v>
      </c>
      <c r="V218" s="6"/>
      <c r="W218" s="6"/>
      <c r="X218" s="6"/>
      <c r="Y218" s="6"/>
      <c r="Z218" s="6"/>
      <c r="AA218" s="6"/>
      <c r="AB218" s="6"/>
      <c r="AC218" s="6"/>
      <c r="AD218" s="6"/>
      <c r="AE218" s="6"/>
      <c r="AF218" s="6"/>
      <c r="AG218" s="6"/>
    </row>
    <row r="219" ht="15.5" spans="1:33">
      <c r="A219" s="6" t="s">
        <v>207</v>
      </c>
      <c r="B219" s="7">
        <v>46031</v>
      </c>
      <c r="C219" s="6" t="str">
        <f t="shared" si="4"/>
        <v>2026年1月</v>
      </c>
      <c r="D219" s="40" t="s">
        <v>40</v>
      </c>
      <c r="E219" s="6" t="s">
        <v>4897</v>
      </c>
      <c r="F219" s="6" t="s">
        <v>11</v>
      </c>
      <c r="G219" s="50" t="s">
        <v>2954</v>
      </c>
      <c r="H219" s="40"/>
      <c r="I219" s="50" t="s">
        <v>82</v>
      </c>
      <c r="J219" s="50" t="s">
        <v>4176</v>
      </c>
      <c r="K219" s="8" t="s">
        <v>4898</v>
      </c>
      <c r="L219" s="6" t="s">
        <v>4899</v>
      </c>
      <c r="M219" s="61"/>
      <c r="N219" s="6" t="s">
        <v>4900</v>
      </c>
      <c r="O219" s="6" t="s">
        <v>4901</v>
      </c>
      <c r="P219" s="61">
        <v>15000</v>
      </c>
      <c r="Q219" s="6" t="s">
        <v>149</v>
      </c>
      <c r="R219" s="50" t="s">
        <v>4253</v>
      </c>
      <c r="S219" s="50" t="s">
        <v>4215</v>
      </c>
      <c r="T219" s="50" t="s">
        <v>3506</v>
      </c>
      <c r="U219" s="6" t="s">
        <v>685</v>
      </c>
      <c r="V219" s="6"/>
      <c r="W219" s="6"/>
      <c r="X219" s="6"/>
      <c r="Y219" s="6"/>
      <c r="Z219" s="6"/>
      <c r="AA219" s="6"/>
      <c r="AB219" s="6"/>
      <c r="AC219" s="6"/>
      <c r="AD219" s="6"/>
      <c r="AE219" s="6"/>
      <c r="AF219" s="6"/>
      <c r="AG219" s="6"/>
    </row>
    <row r="220" ht="15.5" spans="1:33">
      <c r="A220" s="6" t="s">
        <v>78</v>
      </c>
      <c r="B220" s="7">
        <v>46038</v>
      </c>
      <c r="C220" s="6" t="str">
        <f t="shared" si="4"/>
        <v>2026年1月</v>
      </c>
      <c r="D220" s="40" t="s">
        <v>40</v>
      </c>
      <c r="E220" s="6" t="s">
        <v>4902</v>
      </c>
      <c r="F220" s="6" t="s">
        <v>10</v>
      </c>
      <c r="G220" s="50" t="s">
        <v>2954</v>
      </c>
      <c r="H220" s="40" t="s">
        <v>4515</v>
      </c>
      <c r="I220" s="50" t="s">
        <v>82</v>
      </c>
      <c r="J220" s="50" t="s">
        <v>4176</v>
      </c>
      <c r="K220" s="8" t="s">
        <v>4903</v>
      </c>
      <c r="L220" s="6" t="s">
        <v>4904</v>
      </c>
      <c r="M220" s="61" t="s">
        <v>1005</v>
      </c>
      <c r="N220" s="6" t="s">
        <v>4905</v>
      </c>
      <c r="O220" s="6" t="s">
        <v>4906</v>
      </c>
      <c r="P220" s="61">
        <v>185</v>
      </c>
      <c r="Q220" s="6" t="s">
        <v>149</v>
      </c>
      <c r="R220" s="50" t="s">
        <v>4253</v>
      </c>
      <c r="S220" s="50" t="s">
        <v>4215</v>
      </c>
      <c r="T220" s="50" t="s">
        <v>3506</v>
      </c>
      <c r="U220" s="6" t="s">
        <v>1923</v>
      </c>
      <c r="V220" s="6" t="s">
        <v>4907</v>
      </c>
      <c r="W220" s="6"/>
      <c r="X220" s="6"/>
      <c r="Y220" s="6"/>
      <c r="Z220" s="6"/>
      <c r="AA220" s="6"/>
      <c r="AB220" s="6"/>
      <c r="AC220" s="6"/>
      <c r="AD220" s="6"/>
      <c r="AE220" s="6"/>
      <c r="AF220" s="6"/>
      <c r="AG220" s="6"/>
    </row>
    <row r="221" ht="15.5" spans="1:33">
      <c r="A221" s="6" t="s">
        <v>207</v>
      </c>
      <c r="B221" s="7">
        <v>46042</v>
      </c>
      <c r="C221" s="6" t="str">
        <f t="shared" si="4"/>
        <v>2026年1月</v>
      </c>
      <c r="D221" s="40" t="s">
        <v>40</v>
      </c>
      <c r="E221" s="6" t="s">
        <v>4908</v>
      </c>
      <c r="F221" s="6" t="s">
        <v>10</v>
      </c>
      <c r="G221" s="50" t="s">
        <v>4169</v>
      </c>
      <c r="H221" s="40"/>
      <c r="I221" s="50" t="s">
        <v>82</v>
      </c>
      <c r="J221" s="50" t="s">
        <v>4176</v>
      </c>
      <c r="K221" s="8" t="s">
        <v>4909</v>
      </c>
      <c r="L221" s="6" t="s">
        <v>4910</v>
      </c>
      <c r="M221" s="61" t="s">
        <v>1005</v>
      </c>
      <c r="N221" s="6" t="s">
        <v>4911</v>
      </c>
      <c r="O221" s="6" t="s">
        <v>4912</v>
      </c>
      <c r="P221" s="61">
        <v>105</v>
      </c>
      <c r="Q221" s="6" t="s">
        <v>149</v>
      </c>
      <c r="R221" s="50" t="s">
        <v>4253</v>
      </c>
      <c r="S221" s="50" t="s">
        <v>4215</v>
      </c>
      <c r="T221" s="50" t="s">
        <v>3506</v>
      </c>
      <c r="U221" s="6" t="s">
        <v>822</v>
      </c>
      <c r="V221" s="6"/>
      <c r="W221" s="6"/>
      <c r="X221" s="6"/>
      <c r="Y221" s="6"/>
      <c r="Z221" s="6"/>
      <c r="AA221" s="6"/>
      <c r="AB221" s="6"/>
      <c r="AC221" s="6"/>
      <c r="AD221" s="6"/>
      <c r="AE221" s="6"/>
      <c r="AF221" s="6"/>
      <c r="AG221" s="6"/>
    </row>
    <row r="222" ht="15.5" spans="1:33">
      <c r="A222" s="6" t="s">
        <v>142</v>
      </c>
      <c r="B222" s="7">
        <v>46043</v>
      </c>
      <c r="C222" s="6" t="str">
        <f t="shared" si="4"/>
        <v>2026年1月</v>
      </c>
      <c r="D222" s="40" t="s">
        <v>40</v>
      </c>
      <c r="E222" s="6" t="s">
        <v>4913</v>
      </c>
      <c r="F222" s="6" t="s">
        <v>11</v>
      </c>
      <c r="G222" s="50" t="s">
        <v>2954</v>
      </c>
      <c r="H222" s="40"/>
      <c r="I222" s="50" t="s">
        <v>82</v>
      </c>
      <c r="J222" s="50" t="s">
        <v>4176</v>
      </c>
      <c r="K222" s="8" t="s">
        <v>4898</v>
      </c>
      <c r="L222" s="6" t="s">
        <v>4899</v>
      </c>
      <c r="M222" s="61"/>
      <c r="N222" s="6" t="s">
        <v>4914</v>
      </c>
      <c r="O222" s="6" t="s">
        <v>4915</v>
      </c>
      <c r="P222" s="61">
        <v>35000</v>
      </c>
      <c r="Q222" s="6" t="s">
        <v>149</v>
      </c>
      <c r="R222" s="50" t="s">
        <v>4253</v>
      </c>
      <c r="S222" s="50" t="s">
        <v>4215</v>
      </c>
      <c r="T222" s="50" t="s">
        <v>3506</v>
      </c>
      <c r="U222" s="6" t="s">
        <v>685</v>
      </c>
      <c r="V222" s="6"/>
      <c r="W222" s="6"/>
      <c r="X222" s="6"/>
      <c r="Y222" s="6"/>
      <c r="Z222" s="6"/>
      <c r="AA222" s="6"/>
      <c r="AB222" s="6"/>
      <c r="AC222" s="6"/>
      <c r="AD222" s="6"/>
      <c r="AE222" s="6"/>
      <c r="AF222" s="6"/>
      <c r="AG222" s="6"/>
    </row>
    <row r="223" ht="15.5" spans="1:33">
      <c r="A223" s="6" t="s">
        <v>142</v>
      </c>
      <c r="B223" s="7">
        <v>46043</v>
      </c>
      <c r="C223" s="6" t="str">
        <f t="shared" si="4"/>
        <v>2026年1月</v>
      </c>
      <c r="D223" s="40" t="s">
        <v>40</v>
      </c>
      <c r="E223" s="6" t="s">
        <v>4916</v>
      </c>
      <c r="F223" s="6" t="s">
        <v>11</v>
      </c>
      <c r="G223" s="50" t="s">
        <v>2954</v>
      </c>
      <c r="H223" s="40"/>
      <c r="I223" s="50" t="s">
        <v>82</v>
      </c>
      <c r="J223" s="50" t="s">
        <v>4176</v>
      </c>
      <c r="K223" s="8" t="s">
        <v>3047</v>
      </c>
      <c r="L223" s="6" t="s">
        <v>3048</v>
      </c>
      <c r="M223" s="61"/>
      <c r="N223" s="6" t="s">
        <v>4917</v>
      </c>
      <c r="O223" s="6" t="s">
        <v>4915</v>
      </c>
      <c r="P223" s="61">
        <v>35680</v>
      </c>
      <c r="Q223" s="6" t="s">
        <v>149</v>
      </c>
      <c r="R223" s="50" t="s">
        <v>4253</v>
      </c>
      <c r="S223" s="50" t="s">
        <v>4215</v>
      </c>
      <c r="T223" s="50" t="s">
        <v>3506</v>
      </c>
      <c r="U223" s="6" t="s">
        <v>685</v>
      </c>
      <c r="V223" s="6"/>
      <c r="W223" s="7">
        <v>46050</v>
      </c>
      <c r="X223" s="6" t="s">
        <v>2237</v>
      </c>
      <c r="Y223" s="6"/>
      <c r="Z223" s="6"/>
      <c r="AA223" s="6"/>
      <c r="AB223" s="6"/>
      <c r="AC223" s="6"/>
      <c r="AD223" s="6"/>
      <c r="AE223" s="6"/>
      <c r="AF223" s="6"/>
      <c r="AG223" s="6"/>
    </row>
    <row r="224" ht="28" spans="1:33">
      <c r="A224" s="6" t="s">
        <v>207</v>
      </c>
      <c r="B224" s="7">
        <v>46043</v>
      </c>
      <c r="C224" s="6" t="str">
        <f t="shared" si="4"/>
        <v>2026年1月</v>
      </c>
      <c r="D224" s="40" t="s">
        <v>40</v>
      </c>
      <c r="E224" s="41" t="s">
        <v>4918</v>
      </c>
      <c r="F224" s="6" t="s">
        <v>10</v>
      </c>
      <c r="G224" s="50" t="s">
        <v>4169</v>
      </c>
      <c r="H224" s="40"/>
      <c r="I224" s="50" t="s">
        <v>82</v>
      </c>
      <c r="J224" s="50" t="s">
        <v>4176</v>
      </c>
      <c r="K224" s="8" t="s">
        <v>2109</v>
      </c>
      <c r="L224" s="6" t="s">
        <v>3122</v>
      </c>
      <c r="M224" s="61" t="s">
        <v>1005</v>
      </c>
      <c r="N224" s="6" t="s">
        <v>4919</v>
      </c>
      <c r="O224" s="6" t="s">
        <v>4920</v>
      </c>
      <c r="P224" s="61">
        <v>2000</v>
      </c>
      <c r="Q224" s="6" t="s">
        <v>149</v>
      </c>
      <c r="R224" s="50" t="s">
        <v>4253</v>
      </c>
      <c r="S224" s="50" t="s">
        <v>4215</v>
      </c>
      <c r="T224" s="50" t="s">
        <v>3506</v>
      </c>
      <c r="U224" s="6" t="s">
        <v>774</v>
      </c>
      <c r="V224" s="6"/>
      <c r="W224" s="6"/>
      <c r="X224" s="6"/>
      <c r="Y224" s="6"/>
      <c r="Z224" s="6"/>
      <c r="AA224" s="6"/>
      <c r="AB224" s="6"/>
      <c r="AC224" s="6"/>
      <c r="AD224" s="6"/>
      <c r="AE224" s="6"/>
      <c r="AF224" s="6"/>
      <c r="AG224" s="6"/>
    </row>
    <row r="225" ht="15.5" spans="1:33">
      <c r="A225" s="6" t="s">
        <v>78</v>
      </c>
      <c r="B225" s="7">
        <v>46044</v>
      </c>
      <c r="C225" s="6" t="str">
        <f t="shared" si="4"/>
        <v>2026年1月</v>
      </c>
      <c r="D225" s="40" t="s">
        <v>40</v>
      </c>
      <c r="E225" s="6" t="s">
        <v>4921</v>
      </c>
      <c r="F225" s="6" t="s">
        <v>10</v>
      </c>
      <c r="G225" s="50" t="s">
        <v>2954</v>
      </c>
      <c r="H225" s="40"/>
      <c r="I225" s="50" t="s">
        <v>82</v>
      </c>
      <c r="J225" s="50" t="s">
        <v>4176</v>
      </c>
      <c r="K225" s="8" t="s">
        <v>2109</v>
      </c>
      <c r="L225" s="6" t="s">
        <v>3122</v>
      </c>
      <c r="M225" s="61" t="s">
        <v>1005</v>
      </c>
      <c r="N225" s="6" t="s">
        <v>4922</v>
      </c>
      <c r="O225" s="6" t="s">
        <v>4923</v>
      </c>
      <c r="P225" s="61">
        <v>4000</v>
      </c>
      <c r="Q225" s="6" t="s">
        <v>149</v>
      </c>
      <c r="R225" s="50" t="s">
        <v>4253</v>
      </c>
      <c r="S225" s="50" t="s">
        <v>4215</v>
      </c>
      <c r="T225" s="50" t="s">
        <v>3506</v>
      </c>
      <c r="U225" s="6" t="s">
        <v>774</v>
      </c>
      <c r="V225" s="6"/>
      <c r="W225" s="6"/>
      <c r="X225" s="6"/>
      <c r="Y225" s="6"/>
      <c r="Z225" s="6"/>
      <c r="AA225" s="6"/>
      <c r="AB225" s="6"/>
      <c r="AC225" s="6"/>
      <c r="AD225" s="6"/>
      <c r="AE225" s="6"/>
      <c r="AF225" s="6"/>
      <c r="AG225" s="6"/>
    </row>
    <row r="226" ht="15.5" spans="1:33">
      <c r="A226" s="6" t="s">
        <v>207</v>
      </c>
      <c r="B226" s="7">
        <v>46048</v>
      </c>
      <c r="C226" s="6" t="str">
        <f t="shared" si="4"/>
        <v>2026年1月</v>
      </c>
      <c r="D226" s="40" t="s">
        <v>40</v>
      </c>
      <c r="E226" s="6" t="s">
        <v>4924</v>
      </c>
      <c r="F226" s="6" t="s">
        <v>10</v>
      </c>
      <c r="G226" s="50" t="s">
        <v>4169</v>
      </c>
      <c r="H226" s="40"/>
      <c r="I226" s="50" t="s">
        <v>82</v>
      </c>
      <c r="J226" s="50" t="s">
        <v>4176</v>
      </c>
      <c r="K226" s="8" t="s">
        <v>4925</v>
      </c>
      <c r="L226" s="6" t="s">
        <v>4926</v>
      </c>
      <c r="M226" s="61" t="s">
        <v>3749</v>
      </c>
      <c r="N226" s="6" t="s">
        <v>4927</v>
      </c>
      <c r="O226" s="6" t="s">
        <v>1016</v>
      </c>
      <c r="P226" s="61">
        <v>38</v>
      </c>
      <c r="Q226" s="6" t="s">
        <v>149</v>
      </c>
      <c r="R226" s="50" t="s">
        <v>4253</v>
      </c>
      <c r="S226" s="50" t="s">
        <v>4215</v>
      </c>
      <c r="T226" s="50" t="s">
        <v>3506</v>
      </c>
      <c r="U226" s="6" t="s">
        <v>4928</v>
      </c>
      <c r="V226" s="6"/>
      <c r="W226" s="6"/>
      <c r="X226" s="6"/>
      <c r="Y226" s="6"/>
      <c r="Z226" s="6"/>
      <c r="AA226" s="6"/>
      <c r="AB226" s="6"/>
      <c r="AC226" s="6"/>
      <c r="AD226" s="6"/>
      <c r="AE226" s="6"/>
      <c r="AF226" s="6"/>
      <c r="AG226" s="6"/>
    </row>
    <row r="227" ht="15.5" spans="1:33">
      <c r="A227" s="6" t="s">
        <v>207</v>
      </c>
      <c r="B227" s="7">
        <v>46048</v>
      </c>
      <c r="C227" s="6" t="str">
        <f t="shared" si="4"/>
        <v>2026年1月</v>
      </c>
      <c r="D227" s="40" t="s">
        <v>40</v>
      </c>
      <c r="E227" s="6" t="s">
        <v>4929</v>
      </c>
      <c r="F227" s="6" t="s">
        <v>10</v>
      </c>
      <c r="G227" s="50" t="s">
        <v>4169</v>
      </c>
      <c r="H227" s="40"/>
      <c r="I227" s="50" t="s">
        <v>82</v>
      </c>
      <c r="J227" s="50" t="s">
        <v>4176</v>
      </c>
      <c r="K227" s="8" t="s">
        <v>4925</v>
      </c>
      <c r="L227" s="6" t="s">
        <v>4926</v>
      </c>
      <c r="M227" s="61" t="s">
        <v>3749</v>
      </c>
      <c r="N227" s="6" t="s">
        <v>4930</v>
      </c>
      <c r="O227" s="6" t="s">
        <v>1016</v>
      </c>
      <c r="P227" s="61">
        <v>68</v>
      </c>
      <c r="Q227" s="6" t="s">
        <v>149</v>
      </c>
      <c r="R227" s="50" t="s">
        <v>4253</v>
      </c>
      <c r="S227" s="50" t="s">
        <v>4215</v>
      </c>
      <c r="T227" s="50" t="s">
        <v>3506</v>
      </c>
      <c r="U227" s="6" t="s">
        <v>4928</v>
      </c>
      <c r="V227" s="6"/>
      <c r="W227" s="6"/>
      <c r="X227" s="6"/>
      <c r="Y227" s="6"/>
      <c r="Z227" s="6"/>
      <c r="AA227" s="6"/>
      <c r="AB227" s="6"/>
      <c r="AC227" s="6"/>
      <c r="AD227" s="6"/>
      <c r="AE227" s="6"/>
      <c r="AF227" s="6"/>
      <c r="AG227" s="6"/>
    </row>
    <row r="228" ht="15.5" spans="1:33">
      <c r="A228" s="6" t="s">
        <v>207</v>
      </c>
      <c r="B228" s="7">
        <v>46048</v>
      </c>
      <c r="C228" s="6" t="str">
        <f t="shared" si="4"/>
        <v>2026年1月</v>
      </c>
      <c r="D228" s="40" t="s">
        <v>40</v>
      </c>
      <c r="E228" s="6" t="s">
        <v>4931</v>
      </c>
      <c r="F228" s="6" t="s">
        <v>10</v>
      </c>
      <c r="G228" s="50" t="s">
        <v>4169</v>
      </c>
      <c r="H228" s="40"/>
      <c r="I228" s="50" t="s">
        <v>82</v>
      </c>
      <c r="J228" s="50" t="s">
        <v>4176</v>
      </c>
      <c r="K228" s="8" t="s">
        <v>4925</v>
      </c>
      <c r="L228" s="6" t="s">
        <v>4926</v>
      </c>
      <c r="M228" s="61" t="s">
        <v>3749</v>
      </c>
      <c r="N228" s="6" t="s">
        <v>4932</v>
      </c>
      <c r="O228" s="6" t="s">
        <v>1016</v>
      </c>
      <c r="P228" s="61">
        <v>30</v>
      </c>
      <c r="Q228" s="6" t="s">
        <v>149</v>
      </c>
      <c r="R228" s="50" t="s">
        <v>4253</v>
      </c>
      <c r="S228" s="50" t="s">
        <v>4215</v>
      </c>
      <c r="T228" s="50" t="s">
        <v>3506</v>
      </c>
      <c r="U228" s="6" t="s">
        <v>4928</v>
      </c>
      <c r="V228" s="6"/>
      <c r="W228" s="6"/>
      <c r="X228" s="6"/>
      <c r="Y228" s="6"/>
      <c r="Z228" s="6"/>
      <c r="AA228" s="6"/>
      <c r="AB228" s="6"/>
      <c r="AC228" s="6"/>
      <c r="AD228" s="6"/>
      <c r="AE228" s="6"/>
      <c r="AF228" s="6"/>
      <c r="AG228" s="6"/>
    </row>
    <row r="229" ht="15.5" spans="1:33">
      <c r="A229" s="6" t="s">
        <v>207</v>
      </c>
      <c r="B229" s="7">
        <v>46048</v>
      </c>
      <c r="C229" s="6" t="str">
        <f t="shared" si="4"/>
        <v>2026年1月</v>
      </c>
      <c r="D229" s="40" t="s">
        <v>40</v>
      </c>
      <c r="E229" s="6" t="s">
        <v>4933</v>
      </c>
      <c r="F229" s="6" t="s">
        <v>10</v>
      </c>
      <c r="G229" s="50" t="s">
        <v>4169</v>
      </c>
      <c r="H229" s="40"/>
      <c r="I229" s="50" t="s">
        <v>82</v>
      </c>
      <c r="J229" s="50" t="s">
        <v>4176</v>
      </c>
      <c r="K229" s="8" t="s">
        <v>4925</v>
      </c>
      <c r="L229" s="6" t="s">
        <v>4926</v>
      </c>
      <c r="M229" s="61" t="s">
        <v>3749</v>
      </c>
      <c r="N229" s="6" t="s">
        <v>4934</v>
      </c>
      <c r="O229" s="6" t="s">
        <v>1016</v>
      </c>
      <c r="P229" s="61">
        <v>163</v>
      </c>
      <c r="Q229" s="6" t="s">
        <v>149</v>
      </c>
      <c r="R229" s="50" t="s">
        <v>4253</v>
      </c>
      <c r="S229" s="50" t="s">
        <v>4215</v>
      </c>
      <c r="T229" s="50" t="s">
        <v>3506</v>
      </c>
      <c r="U229" s="6" t="s">
        <v>4928</v>
      </c>
      <c r="V229" s="6"/>
      <c r="W229" s="6"/>
      <c r="X229" s="6"/>
      <c r="Y229" s="6"/>
      <c r="Z229" s="6"/>
      <c r="AA229" s="6"/>
      <c r="AB229" s="6"/>
      <c r="AC229" s="6"/>
      <c r="AD229" s="6"/>
      <c r="AE229" s="6"/>
      <c r="AF229" s="6"/>
      <c r="AG229" s="6"/>
    </row>
    <row r="230" ht="15.5" spans="1:33">
      <c r="A230" s="6" t="s">
        <v>207</v>
      </c>
      <c r="B230" s="7">
        <v>46048</v>
      </c>
      <c r="C230" s="6" t="str">
        <f t="shared" si="4"/>
        <v>2026年1月</v>
      </c>
      <c r="D230" s="40" t="s">
        <v>40</v>
      </c>
      <c r="E230" s="6" t="s">
        <v>4935</v>
      </c>
      <c r="F230" s="6" t="s">
        <v>10</v>
      </c>
      <c r="G230" s="50" t="s">
        <v>4169</v>
      </c>
      <c r="H230" s="40"/>
      <c r="I230" s="50" t="s">
        <v>82</v>
      </c>
      <c r="J230" s="50" t="s">
        <v>4176</v>
      </c>
      <c r="K230" s="8" t="s">
        <v>4925</v>
      </c>
      <c r="L230" s="6" t="s">
        <v>4926</v>
      </c>
      <c r="M230" s="61" t="s">
        <v>3749</v>
      </c>
      <c r="N230" s="6" t="s">
        <v>4936</v>
      </c>
      <c r="O230" s="6" t="s">
        <v>1016</v>
      </c>
      <c r="P230" s="61">
        <v>155</v>
      </c>
      <c r="Q230" s="6" t="s">
        <v>149</v>
      </c>
      <c r="R230" s="50" t="s">
        <v>4253</v>
      </c>
      <c r="S230" s="50" t="s">
        <v>4215</v>
      </c>
      <c r="T230" s="50" t="s">
        <v>3506</v>
      </c>
      <c r="U230" s="6" t="s">
        <v>4928</v>
      </c>
      <c r="V230" s="6"/>
      <c r="W230" s="6"/>
      <c r="X230" s="6"/>
      <c r="Y230" s="6"/>
      <c r="Z230" s="6"/>
      <c r="AA230" s="6"/>
      <c r="AB230" s="6"/>
      <c r="AC230" s="6"/>
      <c r="AD230" s="6"/>
      <c r="AE230" s="6"/>
      <c r="AF230" s="6"/>
      <c r="AG230" s="6"/>
    </row>
    <row r="231" ht="15.5" spans="1:33">
      <c r="A231" s="6" t="s">
        <v>207</v>
      </c>
      <c r="B231" s="7">
        <v>46048</v>
      </c>
      <c r="C231" s="6" t="str">
        <f t="shared" si="4"/>
        <v>2026年1月</v>
      </c>
      <c r="D231" s="40" t="s">
        <v>40</v>
      </c>
      <c r="E231" s="6" t="s">
        <v>4937</v>
      </c>
      <c r="F231" s="6" t="s">
        <v>10</v>
      </c>
      <c r="G231" s="50" t="s">
        <v>4169</v>
      </c>
      <c r="H231" s="40"/>
      <c r="I231" s="50" t="s">
        <v>82</v>
      </c>
      <c r="J231" s="50" t="s">
        <v>4176</v>
      </c>
      <c r="K231" s="8" t="s">
        <v>4925</v>
      </c>
      <c r="L231" s="6" t="s">
        <v>4926</v>
      </c>
      <c r="M231" s="61" t="s">
        <v>3749</v>
      </c>
      <c r="N231" s="6" t="s">
        <v>4938</v>
      </c>
      <c r="O231" s="6" t="s">
        <v>1016</v>
      </c>
      <c r="P231" s="61">
        <v>97</v>
      </c>
      <c r="Q231" s="6" t="s">
        <v>149</v>
      </c>
      <c r="R231" s="50" t="s">
        <v>4253</v>
      </c>
      <c r="S231" s="50" t="s">
        <v>4215</v>
      </c>
      <c r="T231" s="50" t="s">
        <v>3506</v>
      </c>
      <c r="U231" s="6" t="s">
        <v>4928</v>
      </c>
      <c r="V231" s="6"/>
      <c r="W231" s="6"/>
      <c r="X231" s="6"/>
      <c r="Y231" s="6"/>
      <c r="Z231" s="6"/>
      <c r="AA231" s="6"/>
      <c r="AB231" s="6"/>
      <c r="AC231" s="6"/>
      <c r="AD231" s="6"/>
      <c r="AE231" s="6"/>
      <c r="AF231" s="6"/>
      <c r="AG231" s="6"/>
    </row>
    <row r="232" ht="15.5" spans="1:33">
      <c r="A232" s="6" t="s">
        <v>207</v>
      </c>
      <c r="B232" s="7">
        <v>46048</v>
      </c>
      <c r="C232" s="6" t="str">
        <f t="shared" si="4"/>
        <v>2026年1月</v>
      </c>
      <c r="D232" s="40" t="s">
        <v>40</v>
      </c>
      <c r="E232" s="6" t="s">
        <v>4939</v>
      </c>
      <c r="F232" s="6" t="s">
        <v>10</v>
      </c>
      <c r="G232" s="50" t="s">
        <v>4169</v>
      </c>
      <c r="H232" s="40"/>
      <c r="I232" s="50" t="s">
        <v>82</v>
      </c>
      <c r="J232" s="50" t="s">
        <v>4176</v>
      </c>
      <c r="K232" s="8" t="s">
        <v>4925</v>
      </c>
      <c r="L232" s="6" t="s">
        <v>4926</v>
      </c>
      <c r="M232" s="61" t="s">
        <v>3749</v>
      </c>
      <c r="N232" s="6" t="s">
        <v>4940</v>
      </c>
      <c r="O232" s="6" t="s">
        <v>1016</v>
      </c>
      <c r="P232" s="61">
        <v>55</v>
      </c>
      <c r="Q232" s="6" t="s">
        <v>149</v>
      </c>
      <c r="R232" s="50" t="s">
        <v>4253</v>
      </c>
      <c r="S232" s="50" t="s">
        <v>4215</v>
      </c>
      <c r="T232" s="50" t="s">
        <v>3506</v>
      </c>
      <c r="U232" s="6" t="s">
        <v>4928</v>
      </c>
      <c r="V232" s="6"/>
      <c r="W232" s="6"/>
      <c r="X232" s="6"/>
      <c r="Y232" s="6"/>
      <c r="Z232" s="6"/>
      <c r="AA232" s="6"/>
      <c r="AB232" s="6"/>
      <c r="AC232" s="6"/>
      <c r="AD232" s="6"/>
      <c r="AE232" s="6"/>
      <c r="AF232" s="6"/>
      <c r="AG232" s="6"/>
    </row>
    <row r="233" ht="15.5" spans="1:33">
      <c r="A233" s="6" t="s">
        <v>207</v>
      </c>
      <c r="B233" s="7">
        <v>46048</v>
      </c>
      <c r="C233" s="6" t="str">
        <f t="shared" si="4"/>
        <v>2026年1月</v>
      </c>
      <c r="D233" s="40" t="s">
        <v>40</v>
      </c>
      <c r="E233" s="6" t="s">
        <v>4941</v>
      </c>
      <c r="F233" s="6" t="s">
        <v>10</v>
      </c>
      <c r="G233" s="50" t="s">
        <v>4169</v>
      </c>
      <c r="H233" s="40"/>
      <c r="I233" s="50" t="s">
        <v>82</v>
      </c>
      <c r="J233" s="50" t="s">
        <v>4176</v>
      </c>
      <c r="K233" s="8" t="s">
        <v>4925</v>
      </c>
      <c r="L233" s="6" t="s">
        <v>4926</v>
      </c>
      <c r="M233" s="61" t="s">
        <v>3749</v>
      </c>
      <c r="N233" s="6" t="s">
        <v>4942</v>
      </c>
      <c r="O233" s="6" t="s">
        <v>1016</v>
      </c>
      <c r="P233" s="61">
        <v>63</v>
      </c>
      <c r="Q233" s="6" t="s">
        <v>149</v>
      </c>
      <c r="R233" s="50" t="s">
        <v>4253</v>
      </c>
      <c r="S233" s="50" t="s">
        <v>4215</v>
      </c>
      <c r="T233" s="50" t="s">
        <v>3506</v>
      </c>
      <c r="U233" s="6" t="s">
        <v>4928</v>
      </c>
      <c r="V233" s="6"/>
      <c r="W233" s="6"/>
      <c r="X233" s="6"/>
      <c r="Y233" s="6"/>
      <c r="Z233" s="6"/>
      <c r="AA233" s="6"/>
      <c r="AB233" s="6"/>
      <c r="AC233" s="6"/>
      <c r="AD233" s="6"/>
      <c r="AE233" s="6"/>
      <c r="AF233" s="6"/>
      <c r="AG233" s="6"/>
    </row>
    <row r="234" ht="15.5" spans="1:33">
      <c r="A234" s="6" t="s">
        <v>207</v>
      </c>
      <c r="B234" s="7">
        <v>46048</v>
      </c>
      <c r="C234" s="6" t="str">
        <f t="shared" si="4"/>
        <v>2026年1月</v>
      </c>
      <c r="D234" s="40" t="s">
        <v>40</v>
      </c>
      <c r="E234" s="6" t="s">
        <v>4943</v>
      </c>
      <c r="F234" s="6" t="s">
        <v>10</v>
      </c>
      <c r="G234" s="50" t="s">
        <v>4169</v>
      </c>
      <c r="H234" s="40"/>
      <c r="I234" s="50" t="s">
        <v>82</v>
      </c>
      <c r="J234" s="50" t="s">
        <v>4176</v>
      </c>
      <c r="K234" s="8" t="s">
        <v>4925</v>
      </c>
      <c r="L234" s="6" t="s">
        <v>4926</v>
      </c>
      <c r="M234" s="61" t="s">
        <v>3749</v>
      </c>
      <c r="N234" s="6" t="s">
        <v>4944</v>
      </c>
      <c r="O234" s="6" t="s">
        <v>1016</v>
      </c>
      <c r="P234" s="61">
        <v>85</v>
      </c>
      <c r="Q234" s="6" t="s">
        <v>149</v>
      </c>
      <c r="R234" s="50" t="s">
        <v>4253</v>
      </c>
      <c r="S234" s="50" t="s">
        <v>4215</v>
      </c>
      <c r="T234" s="50" t="s">
        <v>3506</v>
      </c>
      <c r="U234" s="6" t="s">
        <v>4928</v>
      </c>
      <c r="V234" s="6"/>
      <c r="W234" s="6"/>
      <c r="X234" s="6"/>
      <c r="Y234" s="6"/>
      <c r="Z234" s="6"/>
      <c r="AA234" s="6"/>
      <c r="AB234" s="6"/>
      <c r="AC234" s="6"/>
      <c r="AD234" s="6"/>
      <c r="AE234" s="6"/>
      <c r="AF234" s="6"/>
      <c r="AG234" s="6"/>
    </row>
    <row r="235" ht="15.5" spans="1:33">
      <c r="A235" s="6" t="s">
        <v>207</v>
      </c>
      <c r="B235" s="7">
        <v>46048</v>
      </c>
      <c r="C235" s="6" t="str">
        <f t="shared" si="4"/>
        <v>2026年1月</v>
      </c>
      <c r="D235" s="40" t="s">
        <v>40</v>
      </c>
      <c r="E235" s="6" t="s">
        <v>4945</v>
      </c>
      <c r="F235" s="6" t="s">
        <v>10</v>
      </c>
      <c r="G235" s="50" t="s">
        <v>4169</v>
      </c>
      <c r="H235" s="40"/>
      <c r="I235" s="50" t="s">
        <v>82</v>
      </c>
      <c r="J235" s="50" t="s">
        <v>4176</v>
      </c>
      <c r="K235" s="8" t="s">
        <v>4925</v>
      </c>
      <c r="L235" s="6" t="s">
        <v>4926</v>
      </c>
      <c r="M235" s="61" t="s">
        <v>3749</v>
      </c>
      <c r="N235" s="6" t="s">
        <v>4946</v>
      </c>
      <c r="O235" s="6" t="s">
        <v>1016</v>
      </c>
      <c r="P235" s="61">
        <v>153</v>
      </c>
      <c r="Q235" s="6" t="s">
        <v>149</v>
      </c>
      <c r="R235" s="50" t="s">
        <v>4253</v>
      </c>
      <c r="S235" s="50" t="s">
        <v>4215</v>
      </c>
      <c r="T235" s="50" t="s">
        <v>3506</v>
      </c>
      <c r="U235" s="6" t="s">
        <v>4928</v>
      </c>
      <c r="V235" s="6"/>
      <c r="W235" s="6"/>
      <c r="X235" s="6"/>
      <c r="Y235" s="6"/>
      <c r="Z235" s="6"/>
      <c r="AA235" s="6"/>
      <c r="AB235" s="6"/>
      <c r="AC235" s="6"/>
      <c r="AD235" s="6"/>
      <c r="AE235" s="6"/>
      <c r="AF235" s="6"/>
      <c r="AG235" s="6"/>
    </row>
    <row r="236" ht="15.5" spans="1:33">
      <c r="A236" s="6" t="s">
        <v>207</v>
      </c>
      <c r="B236" s="7">
        <v>46048</v>
      </c>
      <c r="C236" s="6" t="str">
        <f t="shared" si="4"/>
        <v>2026年1月</v>
      </c>
      <c r="D236" s="40" t="s">
        <v>40</v>
      </c>
      <c r="E236" s="6" t="s">
        <v>4947</v>
      </c>
      <c r="F236" s="6" t="s">
        <v>10</v>
      </c>
      <c r="G236" s="50" t="s">
        <v>4169</v>
      </c>
      <c r="H236" s="40"/>
      <c r="I236" s="50" t="s">
        <v>82</v>
      </c>
      <c r="J236" s="50" t="s">
        <v>4176</v>
      </c>
      <c r="K236" s="8" t="s">
        <v>4925</v>
      </c>
      <c r="L236" s="6" t="s">
        <v>4926</v>
      </c>
      <c r="M236" s="61" t="s">
        <v>3749</v>
      </c>
      <c r="N236" s="6" t="s">
        <v>4948</v>
      </c>
      <c r="O236" s="6" t="s">
        <v>1016</v>
      </c>
      <c r="P236" s="61">
        <v>45</v>
      </c>
      <c r="Q236" s="6" t="s">
        <v>149</v>
      </c>
      <c r="R236" s="50" t="s">
        <v>4253</v>
      </c>
      <c r="S236" s="50" t="s">
        <v>4215</v>
      </c>
      <c r="T236" s="50" t="s">
        <v>3506</v>
      </c>
      <c r="U236" s="6" t="s">
        <v>4928</v>
      </c>
      <c r="V236" s="6"/>
      <c r="W236" s="6"/>
      <c r="X236" s="6"/>
      <c r="Y236" s="6"/>
      <c r="Z236" s="6"/>
      <c r="AA236" s="6"/>
      <c r="AB236" s="6"/>
      <c r="AC236" s="6"/>
      <c r="AD236" s="6"/>
      <c r="AE236" s="6"/>
      <c r="AF236" s="6"/>
      <c r="AG236" s="6"/>
    </row>
    <row r="237" ht="15.5" spans="1:33">
      <c r="A237" s="6" t="s">
        <v>207</v>
      </c>
      <c r="B237" s="7">
        <v>46048</v>
      </c>
      <c r="C237" s="6" t="str">
        <f t="shared" si="4"/>
        <v>2026年1月</v>
      </c>
      <c r="D237" s="40" t="s">
        <v>40</v>
      </c>
      <c r="E237" s="6" t="s">
        <v>4949</v>
      </c>
      <c r="F237" s="6" t="s">
        <v>10</v>
      </c>
      <c r="G237" s="50" t="s">
        <v>4169</v>
      </c>
      <c r="H237" s="40"/>
      <c r="I237" s="50" t="s">
        <v>82</v>
      </c>
      <c r="J237" s="50" t="s">
        <v>4176</v>
      </c>
      <c r="K237" s="8" t="s">
        <v>4925</v>
      </c>
      <c r="L237" s="6" t="s">
        <v>4926</v>
      </c>
      <c r="M237" s="61" t="s">
        <v>3749</v>
      </c>
      <c r="N237" s="6" t="s">
        <v>4950</v>
      </c>
      <c r="O237" s="6" t="s">
        <v>1016</v>
      </c>
      <c r="P237" s="61">
        <v>105</v>
      </c>
      <c r="Q237" s="6" t="s">
        <v>149</v>
      </c>
      <c r="R237" s="50" t="s">
        <v>4253</v>
      </c>
      <c r="S237" s="50" t="s">
        <v>4215</v>
      </c>
      <c r="T237" s="50" t="s">
        <v>3506</v>
      </c>
      <c r="U237" s="6" t="s">
        <v>4928</v>
      </c>
      <c r="V237" s="6"/>
      <c r="W237" s="6"/>
      <c r="X237" s="6"/>
      <c r="Y237" s="6"/>
      <c r="Z237" s="6"/>
      <c r="AA237" s="6"/>
      <c r="AB237" s="6"/>
      <c r="AC237" s="6"/>
      <c r="AD237" s="6"/>
      <c r="AE237" s="6"/>
      <c r="AF237" s="6"/>
      <c r="AG237" s="6"/>
    </row>
    <row r="238" ht="15.5" spans="1:33">
      <c r="A238" s="6" t="s">
        <v>207</v>
      </c>
      <c r="B238" s="7">
        <v>46048</v>
      </c>
      <c r="C238" s="6" t="str">
        <f t="shared" si="4"/>
        <v>2026年1月</v>
      </c>
      <c r="D238" s="40" t="s">
        <v>40</v>
      </c>
      <c r="E238" s="6" t="s">
        <v>4951</v>
      </c>
      <c r="F238" s="6" t="s">
        <v>10</v>
      </c>
      <c r="G238" s="50" t="s">
        <v>4169</v>
      </c>
      <c r="H238" s="40"/>
      <c r="I238" s="50" t="s">
        <v>82</v>
      </c>
      <c r="J238" s="50" t="s">
        <v>4176</v>
      </c>
      <c r="K238" s="8" t="s">
        <v>4925</v>
      </c>
      <c r="L238" s="6" t="s">
        <v>4926</v>
      </c>
      <c r="M238" s="61" t="s">
        <v>3749</v>
      </c>
      <c r="N238" s="6" t="s">
        <v>4952</v>
      </c>
      <c r="O238" s="6" t="s">
        <v>1016</v>
      </c>
      <c r="P238" s="61">
        <v>35</v>
      </c>
      <c r="Q238" s="6" t="s">
        <v>149</v>
      </c>
      <c r="R238" s="50" t="s">
        <v>4253</v>
      </c>
      <c r="S238" s="50" t="s">
        <v>4215</v>
      </c>
      <c r="T238" s="50" t="s">
        <v>3506</v>
      </c>
      <c r="U238" s="6" t="s">
        <v>4928</v>
      </c>
      <c r="V238" s="6"/>
      <c r="W238" s="6"/>
      <c r="X238" s="6"/>
      <c r="Y238" s="6"/>
      <c r="Z238" s="6"/>
      <c r="AA238" s="6"/>
      <c r="AB238" s="6"/>
      <c r="AC238" s="6"/>
      <c r="AD238" s="6"/>
      <c r="AE238" s="6"/>
      <c r="AF238" s="6"/>
      <c r="AG238" s="6"/>
    </row>
    <row r="239" ht="15.5" spans="1:33">
      <c r="A239" s="6" t="s">
        <v>207</v>
      </c>
      <c r="B239" s="7">
        <v>46048</v>
      </c>
      <c r="C239" s="6" t="str">
        <f t="shared" si="4"/>
        <v>2026年1月</v>
      </c>
      <c r="D239" s="40" t="s">
        <v>40</v>
      </c>
      <c r="E239" s="6" t="s">
        <v>4953</v>
      </c>
      <c r="F239" s="6" t="s">
        <v>10</v>
      </c>
      <c r="G239" s="50" t="s">
        <v>4169</v>
      </c>
      <c r="H239" s="40"/>
      <c r="I239" s="50" t="s">
        <v>82</v>
      </c>
      <c r="J239" s="50" t="s">
        <v>4176</v>
      </c>
      <c r="K239" s="8" t="s">
        <v>4925</v>
      </c>
      <c r="L239" s="6" t="s">
        <v>4926</v>
      </c>
      <c r="M239" s="61" t="s">
        <v>3749</v>
      </c>
      <c r="N239" s="6" t="s">
        <v>4954</v>
      </c>
      <c r="O239" s="6" t="s">
        <v>1016</v>
      </c>
      <c r="P239" s="61">
        <v>57</v>
      </c>
      <c r="Q239" s="6" t="s">
        <v>149</v>
      </c>
      <c r="R239" s="50" t="s">
        <v>4253</v>
      </c>
      <c r="S239" s="50" t="s">
        <v>4215</v>
      </c>
      <c r="T239" s="50" t="s">
        <v>3506</v>
      </c>
      <c r="U239" s="6" t="s">
        <v>4928</v>
      </c>
      <c r="V239" s="6"/>
      <c r="W239" s="6"/>
      <c r="X239" s="6"/>
      <c r="Y239" s="6"/>
      <c r="Z239" s="6"/>
      <c r="AA239" s="6"/>
      <c r="AB239" s="6"/>
      <c r="AC239" s="6"/>
      <c r="AD239" s="6"/>
      <c r="AE239" s="6"/>
      <c r="AF239" s="6"/>
      <c r="AG239" s="6"/>
    </row>
    <row r="240" ht="15.5" spans="1:33">
      <c r="A240" s="6" t="s">
        <v>207</v>
      </c>
      <c r="B240" s="7">
        <v>46048</v>
      </c>
      <c r="C240" s="6" t="str">
        <f t="shared" si="4"/>
        <v>2026年1月</v>
      </c>
      <c r="D240" s="40" t="s">
        <v>40</v>
      </c>
      <c r="E240" s="6" t="s">
        <v>4955</v>
      </c>
      <c r="F240" s="6" t="s">
        <v>10</v>
      </c>
      <c r="G240" s="50" t="s">
        <v>4169</v>
      </c>
      <c r="H240" s="40"/>
      <c r="I240" s="50" t="s">
        <v>82</v>
      </c>
      <c r="J240" s="50" t="s">
        <v>4176</v>
      </c>
      <c r="K240" s="8" t="s">
        <v>4925</v>
      </c>
      <c r="L240" s="6" t="s">
        <v>4926</v>
      </c>
      <c r="M240" s="61" t="s">
        <v>3749</v>
      </c>
      <c r="N240" s="6" t="s">
        <v>4956</v>
      </c>
      <c r="O240" s="6" t="s">
        <v>1016</v>
      </c>
      <c r="P240" s="61">
        <v>60</v>
      </c>
      <c r="Q240" s="6" t="s">
        <v>149</v>
      </c>
      <c r="R240" s="50" t="s">
        <v>4253</v>
      </c>
      <c r="S240" s="50" t="s">
        <v>4215</v>
      </c>
      <c r="T240" s="50" t="s">
        <v>3506</v>
      </c>
      <c r="U240" s="6" t="s">
        <v>4928</v>
      </c>
      <c r="V240" s="6"/>
      <c r="W240" s="6"/>
      <c r="X240" s="6"/>
      <c r="Y240" s="6"/>
      <c r="Z240" s="6"/>
      <c r="AA240" s="6"/>
      <c r="AB240" s="6"/>
      <c r="AC240" s="6"/>
      <c r="AD240" s="6"/>
      <c r="AE240" s="6"/>
      <c r="AF240" s="6"/>
      <c r="AG240" s="6"/>
    </row>
    <row r="241" ht="15.5" spans="1:33">
      <c r="A241" s="6" t="s">
        <v>207</v>
      </c>
      <c r="B241" s="7">
        <v>46048</v>
      </c>
      <c r="C241" s="6" t="str">
        <f t="shared" si="4"/>
        <v>2026年1月</v>
      </c>
      <c r="D241" s="40" t="s">
        <v>40</v>
      </c>
      <c r="E241" s="6" t="s">
        <v>4957</v>
      </c>
      <c r="F241" s="6" t="s">
        <v>10</v>
      </c>
      <c r="G241" s="50" t="s">
        <v>4169</v>
      </c>
      <c r="H241" s="40"/>
      <c r="I241" s="50" t="s">
        <v>82</v>
      </c>
      <c r="J241" s="50" t="s">
        <v>4176</v>
      </c>
      <c r="K241" s="8" t="s">
        <v>4925</v>
      </c>
      <c r="L241" s="6" t="s">
        <v>4926</v>
      </c>
      <c r="M241" s="61" t="s">
        <v>3749</v>
      </c>
      <c r="N241" s="6" t="s">
        <v>4958</v>
      </c>
      <c r="O241" s="6" t="s">
        <v>1016</v>
      </c>
      <c r="P241" s="61">
        <v>30</v>
      </c>
      <c r="Q241" s="6" t="s">
        <v>149</v>
      </c>
      <c r="R241" s="50" t="s">
        <v>4253</v>
      </c>
      <c r="S241" s="50" t="s">
        <v>4215</v>
      </c>
      <c r="T241" s="50" t="s">
        <v>3506</v>
      </c>
      <c r="U241" s="6" t="s">
        <v>4928</v>
      </c>
      <c r="V241" s="6"/>
      <c r="W241" s="6"/>
      <c r="X241" s="6"/>
      <c r="Y241" s="6"/>
      <c r="Z241" s="6"/>
      <c r="AA241" s="6"/>
      <c r="AB241" s="6"/>
      <c r="AC241" s="6"/>
      <c r="AD241" s="6"/>
      <c r="AE241" s="6"/>
      <c r="AF241" s="6"/>
      <c r="AG241" s="6"/>
    </row>
    <row r="242" ht="15.5" spans="1:33">
      <c r="A242" s="6" t="s">
        <v>207</v>
      </c>
      <c r="B242" s="7">
        <v>46048</v>
      </c>
      <c r="C242" s="6" t="str">
        <f t="shared" si="4"/>
        <v>2026年1月</v>
      </c>
      <c r="D242" s="40" t="s">
        <v>40</v>
      </c>
      <c r="E242" s="6" t="s">
        <v>4959</v>
      </c>
      <c r="F242" s="6" t="s">
        <v>10</v>
      </c>
      <c r="G242" s="50" t="s">
        <v>4169</v>
      </c>
      <c r="H242" s="40"/>
      <c r="I242" s="50" t="s">
        <v>82</v>
      </c>
      <c r="J242" s="50" t="s">
        <v>4176</v>
      </c>
      <c r="K242" s="8" t="s">
        <v>4925</v>
      </c>
      <c r="L242" s="6" t="s">
        <v>4926</v>
      </c>
      <c r="M242" s="61" t="s">
        <v>3749</v>
      </c>
      <c r="N242" s="6" t="s">
        <v>4960</v>
      </c>
      <c r="O242" s="6" t="s">
        <v>1016</v>
      </c>
      <c r="P242" s="61">
        <v>40</v>
      </c>
      <c r="Q242" s="6" t="s">
        <v>149</v>
      </c>
      <c r="R242" s="50" t="s">
        <v>4253</v>
      </c>
      <c r="S242" s="50" t="s">
        <v>4215</v>
      </c>
      <c r="T242" s="50" t="s">
        <v>3506</v>
      </c>
      <c r="U242" s="6" t="s">
        <v>4928</v>
      </c>
      <c r="V242" s="6"/>
      <c r="W242" s="6"/>
      <c r="X242" s="6"/>
      <c r="Y242" s="6"/>
      <c r="Z242" s="6"/>
      <c r="AA242" s="6"/>
      <c r="AB242" s="6"/>
      <c r="AC242" s="6"/>
      <c r="AD242" s="6"/>
      <c r="AE242" s="6"/>
      <c r="AF242" s="6"/>
      <c r="AG242" s="6"/>
    </row>
    <row r="243" ht="15.5" spans="1:33">
      <c r="A243" s="6" t="s">
        <v>207</v>
      </c>
      <c r="B243" s="7">
        <v>46048</v>
      </c>
      <c r="C243" s="6" t="str">
        <f t="shared" si="4"/>
        <v>2026年1月</v>
      </c>
      <c r="D243" s="40" t="s">
        <v>40</v>
      </c>
      <c r="E243" s="6" t="s">
        <v>4961</v>
      </c>
      <c r="F243" s="6" t="s">
        <v>10</v>
      </c>
      <c r="G243" s="50" t="s">
        <v>4169</v>
      </c>
      <c r="H243" s="40"/>
      <c r="I243" s="50" t="s">
        <v>82</v>
      </c>
      <c r="J243" s="50" t="s">
        <v>4176</v>
      </c>
      <c r="K243" s="8" t="s">
        <v>4925</v>
      </c>
      <c r="L243" s="6" t="s">
        <v>4926</v>
      </c>
      <c r="M243" s="61" t="s">
        <v>3749</v>
      </c>
      <c r="N243" s="6" t="s">
        <v>4962</v>
      </c>
      <c r="O243" s="6" t="s">
        <v>1016</v>
      </c>
      <c r="P243" s="61">
        <v>110</v>
      </c>
      <c r="Q243" s="6" t="s">
        <v>149</v>
      </c>
      <c r="R243" s="50" t="s">
        <v>4253</v>
      </c>
      <c r="S243" s="50" t="s">
        <v>4215</v>
      </c>
      <c r="T243" s="50" t="s">
        <v>3506</v>
      </c>
      <c r="U243" s="6" t="s">
        <v>4928</v>
      </c>
      <c r="V243" s="6"/>
      <c r="W243" s="6"/>
      <c r="X243" s="6"/>
      <c r="Y243" s="6"/>
      <c r="Z243" s="6"/>
      <c r="AA243" s="6"/>
      <c r="AB243" s="6"/>
      <c r="AC243" s="6"/>
      <c r="AD243" s="6"/>
      <c r="AE243" s="6"/>
      <c r="AF243" s="6"/>
      <c r="AG243" s="6"/>
    </row>
    <row r="244" ht="15.5" spans="1:33">
      <c r="A244" s="6" t="s">
        <v>207</v>
      </c>
      <c r="B244" s="7">
        <v>46048</v>
      </c>
      <c r="C244" s="6" t="str">
        <f t="shared" si="4"/>
        <v>2026年1月</v>
      </c>
      <c r="D244" s="40" t="s">
        <v>40</v>
      </c>
      <c r="E244" s="6" t="s">
        <v>4963</v>
      </c>
      <c r="F244" s="6" t="s">
        <v>10</v>
      </c>
      <c r="G244" s="50" t="s">
        <v>4169</v>
      </c>
      <c r="H244" s="40"/>
      <c r="I244" s="50" t="s">
        <v>82</v>
      </c>
      <c r="J244" s="50" t="s">
        <v>4176</v>
      </c>
      <c r="K244" s="8" t="s">
        <v>4925</v>
      </c>
      <c r="L244" s="6" t="s">
        <v>4926</v>
      </c>
      <c r="M244" s="61" t="s">
        <v>3749</v>
      </c>
      <c r="N244" s="6" t="s">
        <v>4964</v>
      </c>
      <c r="O244" s="6" t="s">
        <v>1016</v>
      </c>
      <c r="P244" s="61">
        <v>60</v>
      </c>
      <c r="Q244" s="6" t="s">
        <v>149</v>
      </c>
      <c r="R244" s="50" t="s">
        <v>4253</v>
      </c>
      <c r="S244" s="50" t="s">
        <v>4215</v>
      </c>
      <c r="T244" s="50" t="s">
        <v>3506</v>
      </c>
      <c r="U244" s="6" t="s">
        <v>4928</v>
      </c>
      <c r="V244" s="6"/>
      <c r="W244" s="6"/>
      <c r="X244" s="6"/>
      <c r="Y244" s="6"/>
      <c r="Z244" s="6"/>
      <c r="AA244" s="6"/>
      <c r="AB244" s="6"/>
      <c r="AC244" s="6"/>
      <c r="AD244" s="6"/>
      <c r="AE244" s="6"/>
      <c r="AF244" s="6"/>
      <c r="AG244" s="6"/>
    </row>
    <row r="245" ht="15.5" spans="1:33">
      <c r="A245" s="6" t="s">
        <v>207</v>
      </c>
      <c r="B245" s="7">
        <v>46048</v>
      </c>
      <c r="C245" s="6" t="str">
        <f t="shared" si="4"/>
        <v>2026年1月</v>
      </c>
      <c r="D245" s="40" t="s">
        <v>40</v>
      </c>
      <c r="E245" s="6" t="s">
        <v>4965</v>
      </c>
      <c r="F245" s="6" t="s">
        <v>10</v>
      </c>
      <c r="G245" s="50" t="s">
        <v>4169</v>
      </c>
      <c r="H245" s="40"/>
      <c r="I245" s="50" t="s">
        <v>82</v>
      </c>
      <c r="J245" s="50" t="s">
        <v>4176</v>
      </c>
      <c r="K245" s="8" t="s">
        <v>4925</v>
      </c>
      <c r="L245" s="6" t="s">
        <v>4926</v>
      </c>
      <c r="M245" s="61" t="s">
        <v>3749</v>
      </c>
      <c r="N245" s="6" t="s">
        <v>4966</v>
      </c>
      <c r="O245" s="6" t="s">
        <v>1016</v>
      </c>
      <c r="P245" s="61">
        <v>68</v>
      </c>
      <c r="Q245" s="6" t="s">
        <v>149</v>
      </c>
      <c r="R245" s="50" t="s">
        <v>4253</v>
      </c>
      <c r="S245" s="50" t="s">
        <v>4215</v>
      </c>
      <c r="T245" s="50" t="s">
        <v>3506</v>
      </c>
      <c r="U245" s="6" t="s">
        <v>4928</v>
      </c>
      <c r="V245" s="6"/>
      <c r="W245" s="6"/>
      <c r="X245" s="6"/>
      <c r="Y245" s="6"/>
      <c r="Z245" s="6"/>
      <c r="AA245" s="6"/>
      <c r="AB245" s="6"/>
      <c r="AC245" s="6"/>
      <c r="AD245" s="6"/>
      <c r="AE245" s="6"/>
      <c r="AF245" s="6"/>
      <c r="AG245" s="6"/>
    </row>
    <row r="246" ht="15.5" spans="1:33">
      <c r="A246" s="6" t="s">
        <v>207</v>
      </c>
      <c r="B246" s="7">
        <v>46048</v>
      </c>
      <c r="C246" s="6" t="str">
        <f t="shared" si="4"/>
        <v>2026年1月</v>
      </c>
      <c r="D246" s="40" t="s">
        <v>40</v>
      </c>
      <c r="E246" s="6" t="s">
        <v>4967</v>
      </c>
      <c r="F246" s="6" t="s">
        <v>10</v>
      </c>
      <c r="G246" s="50" t="s">
        <v>4169</v>
      </c>
      <c r="H246" s="40"/>
      <c r="I246" s="50" t="s">
        <v>82</v>
      </c>
      <c r="J246" s="50" t="s">
        <v>4176</v>
      </c>
      <c r="K246" s="8" t="s">
        <v>4925</v>
      </c>
      <c r="L246" s="6" t="s">
        <v>4926</v>
      </c>
      <c r="M246" s="61" t="s">
        <v>3749</v>
      </c>
      <c r="N246" s="6" t="s">
        <v>4968</v>
      </c>
      <c r="O246" s="6" t="s">
        <v>1016</v>
      </c>
      <c r="P246" s="61">
        <v>107</v>
      </c>
      <c r="Q246" s="6" t="s">
        <v>149</v>
      </c>
      <c r="R246" s="50" t="s">
        <v>4253</v>
      </c>
      <c r="S246" s="50" t="s">
        <v>4215</v>
      </c>
      <c r="T246" s="50" t="s">
        <v>3506</v>
      </c>
      <c r="U246" s="6" t="s">
        <v>4928</v>
      </c>
      <c r="V246" s="6"/>
      <c r="W246" s="6"/>
      <c r="X246" s="6"/>
      <c r="Y246" s="6"/>
      <c r="Z246" s="6"/>
      <c r="AA246" s="6"/>
      <c r="AB246" s="6"/>
      <c r="AC246" s="6"/>
      <c r="AD246" s="6"/>
      <c r="AE246" s="6"/>
      <c r="AF246" s="6"/>
      <c r="AG246" s="6"/>
    </row>
    <row r="247" ht="15.5" spans="1:33">
      <c r="A247" s="6" t="s">
        <v>78</v>
      </c>
      <c r="B247" s="7">
        <v>46048</v>
      </c>
      <c r="C247" s="6" t="str">
        <f t="shared" si="4"/>
        <v>2026年1月</v>
      </c>
      <c r="D247" s="40" t="s">
        <v>40</v>
      </c>
      <c r="E247" s="6" t="s">
        <v>4969</v>
      </c>
      <c r="F247" s="6" t="s">
        <v>10</v>
      </c>
      <c r="G247" s="50" t="s">
        <v>4169</v>
      </c>
      <c r="H247" s="40"/>
      <c r="I247" s="50" t="s">
        <v>82</v>
      </c>
      <c r="J247" s="50" t="s">
        <v>4176</v>
      </c>
      <c r="K247" s="8" t="s">
        <v>4903</v>
      </c>
      <c r="L247" s="6" t="s">
        <v>4904</v>
      </c>
      <c r="M247" s="61" t="s">
        <v>1005</v>
      </c>
      <c r="N247" s="6" t="s">
        <v>4970</v>
      </c>
      <c r="O247" s="41" t="s">
        <v>4971</v>
      </c>
      <c r="P247" s="61">
        <v>50</v>
      </c>
      <c r="Q247" s="6" t="s">
        <v>149</v>
      </c>
      <c r="R247" s="50" t="s">
        <v>4319</v>
      </c>
      <c r="S247" s="50" t="s">
        <v>4215</v>
      </c>
      <c r="T247" s="50" t="s">
        <v>3506</v>
      </c>
      <c r="U247" s="6" t="s">
        <v>346</v>
      </c>
      <c r="V247" s="6" t="s">
        <v>4972</v>
      </c>
      <c r="W247" s="6"/>
      <c r="X247" s="6"/>
      <c r="Y247" s="6"/>
      <c r="Z247" s="6"/>
      <c r="AA247" s="6"/>
      <c r="AB247" s="6"/>
      <c r="AC247" s="6"/>
      <c r="AD247" s="6"/>
      <c r="AE247" s="6"/>
      <c r="AF247" s="6"/>
      <c r="AG247" s="6"/>
    </row>
    <row r="248" ht="15.5" spans="1:33">
      <c r="A248" s="6" t="s">
        <v>78</v>
      </c>
      <c r="B248" s="7">
        <v>46049</v>
      </c>
      <c r="C248" s="6" t="str">
        <f t="shared" si="4"/>
        <v>2026年1月</v>
      </c>
      <c r="D248" s="40" t="s">
        <v>40</v>
      </c>
      <c r="E248" s="6" t="s">
        <v>4973</v>
      </c>
      <c r="F248" s="6" t="s">
        <v>10</v>
      </c>
      <c r="G248" s="50" t="s">
        <v>4169</v>
      </c>
      <c r="H248" s="40"/>
      <c r="I248" s="50" t="s">
        <v>82</v>
      </c>
      <c r="J248" s="50" t="s">
        <v>4190</v>
      </c>
      <c r="K248" s="8" t="s">
        <v>2109</v>
      </c>
      <c r="L248" s="6" t="s">
        <v>3122</v>
      </c>
      <c r="M248" s="61" t="s">
        <v>1005</v>
      </c>
      <c r="N248" s="6" t="s">
        <v>4974</v>
      </c>
      <c r="O248" s="6" t="s">
        <v>4975</v>
      </c>
      <c r="P248" s="61">
        <v>40000</v>
      </c>
      <c r="Q248" s="6" t="s">
        <v>149</v>
      </c>
      <c r="R248" s="50" t="s">
        <v>4319</v>
      </c>
      <c r="S248" s="50" t="s">
        <v>4215</v>
      </c>
      <c r="T248" s="50" t="s">
        <v>3506</v>
      </c>
      <c r="U248" s="6" t="s">
        <v>168</v>
      </c>
      <c r="V248" s="6" t="s">
        <v>4976</v>
      </c>
      <c r="W248" s="6"/>
      <c r="X248" s="6"/>
      <c r="Y248" s="6"/>
      <c r="Z248" s="6"/>
      <c r="AA248" s="6"/>
      <c r="AB248" s="6"/>
      <c r="AC248" s="6"/>
      <c r="AD248" s="6"/>
      <c r="AE248" s="6"/>
      <c r="AF248" s="6"/>
      <c r="AG248" s="6"/>
    </row>
    <row r="249" ht="15.5" spans="1:33">
      <c r="A249" s="6" t="s">
        <v>207</v>
      </c>
      <c r="B249" s="7">
        <v>46050</v>
      </c>
      <c r="C249" s="6" t="str">
        <f t="shared" si="4"/>
        <v>2026年1月</v>
      </c>
      <c r="D249" s="40" t="s">
        <v>40</v>
      </c>
      <c r="E249" s="6" t="s">
        <v>4977</v>
      </c>
      <c r="F249" s="6" t="s">
        <v>11</v>
      </c>
      <c r="G249" s="50" t="s">
        <v>2954</v>
      </c>
      <c r="H249" s="40"/>
      <c r="I249" s="50" t="s">
        <v>82</v>
      </c>
      <c r="J249" s="50" t="s">
        <v>4176</v>
      </c>
      <c r="K249" s="8" t="s">
        <v>4978</v>
      </c>
      <c r="L249" s="6" t="s">
        <v>4979</v>
      </c>
      <c r="M249" s="61"/>
      <c r="N249" s="6" t="s">
        <v>4980</v>
      </c>
      <c r="O249" s="6" t="s">
        <v>4981</v>
      </c>
      <c r="P249" s="61">
        <v>49560</v>
      </c>
      <c r="Q249" s="6" t="s">
        <v>149</v>
      </c>
      <c r="R249" s="50" t="s">
        <v>4253</v>
      </c>
      <c r="S249" s="50" t="s">
        <v>4215</v>
      </c>
      <c r="T249" s="50" t="s">
        <v>3506</v>
      </c>
      <c r="U249" s="6" t="s">
        <v>685</v>
      </c>
      <c r="V249" s="6"/>
      <c r="W249" s="6"/>
      <c r="X249" s="6"/>
      <c r="Y249" s="6"/>
      <c r="Z249" s="6"/>
      <c r="AA249" s="6"/>
      <c r="AB249" s="6"/>
      <c r="AC249" s="6"/>
      <c r="AD249" s="6"/>
      <c r="AE249" s="6"/>
      <c r="AF249" s="6"/>
      <c r="AG249" s="6"/>
    </row>
    <row r="250" ht="15.5" spans="1:33">
      <c r="A250" s="6" t="s">
        <v>207</v>
      </c>
      <c r="B250" s="7">
        <v>46050</v>
      </c>
      <c r="C250" s="6" t="str">
        <f t="shared" si="4"/>
        <v>2026年1月</v>
      </c>
      <c r="D250" s="40" t="s">
        <v>40</v>
      </c>
      <c r="E250" s="6" t="s">
        <v>4982</v>
      </c>
      <c r="F250" s="6" t="s">
        <v>11</v>
      </c>
      <c r="G250" s="50" t="s">
        <v>2954</v>
      </c>
      <c r="H250" s="40"/>
      <c r="I250" s="50" t="s">
        <v>82</v>
      </c>
      <c r="J250" s="50" t="s">
        <v>4176</v>
      </c>
      <c r="K250" s="8" t="s">
        <v>4978</v>
      </c>
      <c r="L250" s="6" t="s">
        <v>4979</v>
      </c>
      <c r="M250" s="61"/>
      <c r="N250" s="6" t="s">
        <v>4983</v>
      </c>
      <c r="O250" s="6" t="s">
        <v>4981</v>
      </c>
      <c r="P250" s="61">
        <v>49800</v>
      </c>
      <c r="Q250" s="6" t="s">
        <v>149</v>
      </c>
      <c r="R250" s="50" t="s">
        <v>4253</v>
      </c>
      <c r="S250" s="50" t="s">
        <v>4215</v>
      </c>
      <c r="T250" s="50" t="s">
        <v>3506</v>
      </c>
      <c r="U250" s="6" t="s">
        <v>685</v>
      </c>
      <c r="V250" s="6"/>
      <c r="W250" s="6"/>
      <c r="X250" s="6"/>
      <c r="Y250" s="6"/>
      <c r="Z250" s="6"/>
      <c r="AA250" s="6"/>
      <c r="AB250" s="6"/>
      <c r="AC250" s="6"/>
      <c r="AD250" s="6"/>
      <c r="AE250" s="6"/>
      <c r="AF250" s="6"/>
      <c r="AG250" s="6"/>
    </row>
    <row r="251" ht="15.5" spans="1:33">
      <c r="A251" s="6" t="s">
        <v>207</v>
      </c>
      <c r="B251" s="7">
        <v>46050</v>
      </c>
      <c r="C251" s="6" t="str">
        <f t="shared" si="4"/>
        <v>2026年1月</v>
      </c>
      <c r="D251" s="40" t="s">
        <v>40</v>
      </c>
      <c r="E251" s="6" t="s">
        <v>4984</v>
      </c>
      <c r="F251" s="6" t="s">
        <v>11</v>
      </c>
      <c r="G251" s="50" t="s">
        <v>2954</v>
      </c>
      <c r="H251" s="40"/>
      <c r="I251" s="50" t="s">
        <v>82</v>
      </c>
      <c r="J251" s="50" t="s">
        <v>4176</v>
      </c>
      <c r="K251" s="8" t="s">
        <v>4898</v>
      </c>
      <c r="L251" s="6" t="s">
        <v>4899</v>
      </c>
      <c r="M251" s="61"/>
      <c r="N251" s="6" t="s">
        <v>4985</v>
      </c>
      <c r="O251" s="6" t="s">
        <v>4915</v>
      </c>
      <c r="P251" s="76">
        <v>38000</v>
      </c>
      <c r="Q251" s="6" t="s">
        <v>149</v>
      </c>
      <c r="R251" s="50" t="s">
        <v>4253</v>
      </c>
      <c r="S251" s="50" t="s">
        <v>4215</v>
      </c>
      <c r="T251" s="50" t="s">
        <v>3506</v>
      </c>
      <c r="U251" s="6" t="s">
        <v>685</v>
      </c>
      <c r="V251" s="6"/>
      <c r="W251" s="6"/>
      <c r="X251" s="6"/>
      <c r="Y251" s="6"/>
      <c r="Z251" s="6"/>
      <c r="AA251" s="6"/>
      <c r="AB251" s="6"/>
      <c r="AC251" s="6"/>
      <c r="AD251" s="6"/>
      <c r="AE251" s="6"/>
      <c r="AF251" s="6"/>
      <c r="AG251" s="6"/>
    </row>
    <row r="252" ht="15.5" spans="1:33">
      <c r="A252" s="6" t="s">
        <v>78</v>
      </c>
      <c r="B252" s="7">
        <v>46052</v>
      </c>
      <c r="C252" s="6" t="str">
        <f t="shared" si="4"/>
        <v>2026年1月</v>
      </c>
      <c r="D252" s="40" t="s">
        <v>40</v>
      </c>
      <c r="E252" s="6" t="s">
        <v>4986</v>
      </c>
      <c r="F252" s="6" t="s">
        <v>10</v>
      </c>
      <c r="G252" s="50" t="s">
        <v>2954</v>
      </c>
      <c r="H252" s="40"/>
      <c r="I252" s="50" t="s">
        <v>82</v>
      </c>
      <c r="J252" s="50" t="s">
        <v>4176</v>
      </c>
      <c r="K252" s="8" t="s">
        <v>2109</v>
      </c>
      <c r="L252" s="6" t="s">
        <v>3122</v>
      </c>
      <c r="M252" s="61" t="s">
        <v>1005</v>
      </c>
      <c r="N252" s="6" t="s">
        <v>4987</v>
      </c>
      <c r="O252" s="6" t="s">
        <v>4988</v>
      </c>
      <c r="P252" s="61">
        <v>150000</v>
      </c>
      <c r="Q252" s="6" t="s">
        <v>149</v>
      </c>
      <c r="R252" s="50" t="s">
        <v>4319</v>
      </c>
      <c r="S252" s="50" t="s">
        <v>4215</v>
      </c>
      <c r="T252" s="50" t="s">
        <v>3506</v>
      </c>
      <c r="U252" s="6" t="s">
        <v>168</v>
      </c>
      <c r="V252" s="6" t="s">
        <v>4989</v>
      </c>
      <c r="W252" s="6"/>
      <c r="X252" s="6"/>
      <c r="Y252" s="6"/>
      <c r="Z252" s="6"/>
      <c r="AA252" s="6"/>
      <c r="AB252" s="6"/>
      <c r="AC252" s="6"/>
      <c r="AD252" s="6"/>
      <c r="AE252" s="6"/>
      <c r="AF252" s="6"/>
      <c r="AG252" s="6"/>
    </row>
    <row r="253" ht="15.5" spans="1:33">
      <c r="A253" s="6" t="s">
        <v>207</v>
      </c>
      <c r="B253" s="7">
        <v>46052</v>
      </c>
      <c r="C253" s="6" t="str">
        <f t="shared" si="4"/>
        <v>2026年1月</v>
      </c>
      <c r="D253" s="40" t="s">
        <v>40</v>
      </c>
      <c r="E253" s="6" t="s">
        <v>4990</v>
      </c>
      <c r="F253" s="6" t="s">
        <v>11</v>
      </c>
      <c r="G253" s="50" t="s">
        <v>2954</v>
      </c>
      <c r="H253" s="40"/>
      <c r="I253" s="88" t="s">
        <v>290</v>
      </c>
      <c r="J253" s="50" t="s">
        <v>4190</v>
      </c>
      <c r="K253" s="8" t="s">
        <v>4898</v>
      </c>
      <c r="L253" s="6" t="s">
        <v>4899</v>
      </c>
      <c r="M253" s="61"/>
      <c r="N253" s="6" t="s">
        <v>4991</v>
      </c>
      <c r="O253" s="6" t="s">
        <v>4992</v>
      </c>
      <c r="P253" s="76">
        <v>32067.5</v>
      </c>
      <c r="Q253" s="6" t="s">
        <v>149</v>
      </c>
      <c r="S253" s="50" t="s">
        <v>4215</v>
      </c>
      <c r="T253" s="50" t="s">
        <v>3506</v>
      </c>
      <c r="U253" s="6" t="s">
        <v>685</v>
      </c>
      <c r="V253" s="6" t="s">
        <v>3520</v>
      </c>
      <c r="W253" s="6"/>
      <c r="X253" s="6"/>
      <c r="Y253" s="6"/>
      <c r="Z253" s="6"/>
      <c r="AA253" s="6"/>
      <c r="AB253" s="6"/>
      <c r="AC253" s="6"/>
      <c r="AD253" s="6"/>
      <c r="AE253" s="6"/>
      <c r="AF253" s="6"/>
      <c r="AG253" s="6"/>
    </row>
    <row r="254" ht="15.5" spans="1:33">
      <c r="A254" s="6" t="s">
        <v>142</v>
      </c>
      <c r="B254" s="7">
        <v>46055</v>
      </c>
      <c r="C254" s="6" t="str">
        <f t="shared" si="4"/>
        <v>2026年2月</v>
      </c>
      <c r="D254" s="40" t="s">
        <v>40</v>
      </c>
      <c r="E254" s="6" t="s">
        <v>4993</v>
      </c>
      <c r="F254" s="6" t="s">
        <v>11</v>
      </c>
      <c r="G254" s="50" t="s">
        <v>2954</v>
      </c>
      <c r="H254" s="40"/>
      <c r="I254" s="89" t="s">
        <v>290</v>
      </c>
      <c r="J254" s="50" t="s">
        <v>4190</v>
      </c>
      <c r="K254" s="8" t="s">
        <v>3047</v>
      </c>
      <c r="L254" s="6" t="s">
        <v>3048</v>
      </c>
      <c r="M254" s="61"/>
      <c r="N254" s="6" t="s">
        <v>4994</v>
      </c>
      <c r="O254" s="6" t="s">
        <v>4995</v>
      </c>
      <c r="P254" s="61">
        <v>26807.4</v>
      </c>
      <c r="Q254" s="6" t="s">
        <v>149</v>
      </c>
      <c r="R254" s="50" t="s">
        <v>4319</v>
      </c>
      <c r="S254" s="50" t="s">
        <v>4215</v>
      </c>
      <c r="T254" s="50" t="s">
        <v>3506</v>
      </c>
      <c r="U254" s="6" t="s">
        <v>685</v>
      </c>
      <c r="V254" s="6" t="s">
        <v>4996</v>
      </c>
      <c r="W254" s="6"/>
      <c r="X254" s="6"/>
      <c r="Y254" s="6"/>
      <c r="Z254" s="6"/>
      <c r="AA254" s="6"/>
      <c r="AB254" s="6"/>
      <c r="AC254" s="6"/>
      <c r="AD254" s="6"/>
      <c r="AE254" s="6"/>
      <c r="AF254" s="6"/>
      <c r="AG254" s="6"/>
    </row>
    <row r="255" ht="15.5" spans="1:33">
      <c r="A255" s="6" t="s">
        <v>142</v>
      </c>
      <c r="B255" s="7">
        <v>46055</v>
      </c>
      <c r="C255" s="6" t="str">
        <f t="shared" si="4"/>
        <v>2026年2月</v>
      </c>
      <c r="D255" s="40" t="s">
        <v>40</v>
      </c>
      <c r="E255" s="6" t="s">
        <v>4997</v>
      </c>
      <c r="F255" s="6" t="s">
        <v>11</v>
      </c>
      <c r="G255" s="50" t="s">
        <v>2954</v>
      </c>
      <c r="H255" s="40"/>
      <c r="I255" s="89" t="s">
        <v>290</v>
      </c>
      <c r="J255" s="50" t="s">
        <v>4190</v>
      </c>
      <c r="K255" s="8" t="s">
        <v>3047</v>
      </c>
      <c r="L255" s="6" t="s">
        <v>3048</v>
      </c>
      <c r="M255" s="61"/>
      <c r="N255" s="6" t="s">
        <v>4998</v>
      </c>
      <c r="O255" s="6" t="s">
        <v>4995</v>
      </c>
      <c r="P255" s="61">
        <v>33755.9</v>
      </c>
      <c r="Q255" s="6" t="s">
        <v>149</v>
      </c>
      <c r="R255" s="50" t="s">
        <v>4319</v>
      </c>
      <c r="S255" s="50" t="s">
        <v>4215</v>
      </c>
      <c r="T255" s="50" t="s">
        <v>3506</v>
      </c>
      <c r="U255" s="6" t="s">
        <v>685</v>
      </c>
      <c r="V255" s="6" t="s">
        <v>4996</v>
      </c>
      <c r="W255" s="6"/>
      <c r="X255" s="6"/>
      <c r="Y255" s="6"/>
      <c r="Z255" s="6"/>
      <c r="AA255" s="6"/>
      <c r="AB255" s="6"/>
      <c r="AC255" s="6"/>
      <c r="AD255" s="6"/>
      <c r="AE255" s="6"/>
      <c r="AF255" s="6"/>
      <c r="AG255" s="6"/>
    </row>
    <row r="256" ht="15.5" spans="1:33">
      <c r="A256" s="6" t="s">
        <v>207</v>
      </c>
      <c r="B256" s="7">
        <v>46055</v>
      </c>
      <c r="C256" s="6" t="str">
        <f t="shared" si="4"/>
        <v>2026年2月</v>
      </c>
      <c r="D256" s="40" t="s">
        <v>40</v>
      </c>
      <c r="E256" s="6" t="s">
        <v>4999</v>
      </c>
      <c r="F256" s="6" t="s">
        <v>11</v>
      </c>
      <c r="G256" s="50" t="s">
        <v>2954</v>
      </c>
      <c r="H256" s="40"/>
      <c r="I256" s="50" t="s">
        <v>82</v>
      </c>
      <c r="J256" s="50" t="s">
        <v>4176</v>
      </c>
      <c r="K256" s="8" t="s">
        <v>5000</v>
      </c>
      <c r="L256" s="6" t="s">
        <v>5001</v>
      </c>
      <c r="M256" s="61"/>
      <c r="N256" s="6" t="s">
        <v>5002</v>
      </c>
      <c r="O256" s="6" t="s">
        <v>5003</v>
      </c>
      <c r="P256" s="76">
        <v>28660.5</v>
      </c>
      <c r="Q256" s="6" t="s">
        <v>149</v>
      </c>
      <c r="R256" s="50" t="s">
        <v>4253</v>
      </c>
      <c r="S256" s="50" t="s">
        <v>4215</v>
      </c>
      <c r="T256" s="50" t="s">
        <v>3506</v>
      </c>
      <c r="U256" s="6" t="s">
        <v>685</v>
      </c>
      <c r="V256" s="6"/>
      <c r="W256" s="6"/>
      <c r="X256" s="6"/>
      <c r="Y256" s="6"/>
      <c r="Z256" s="6"/>
      <c r="AA256" s="6"/>
      <c r="AB256" s="6"/>
      <c r="AC256" s="6"/>
      <c r="AD256" s="6"/>
      <c r="AE256" s="6"/>
      <c r="AF256" s="6"/>
      <c r="AG256" s="6"/>
    </row>
    <row r="257" ht="15.5" spans="1:33">
      <c r="A257" s="6" t="s">
        <v>78</v>
      </c>
      <c r="B257" s="7">
        <v>46055</v>
      </c>
      <c r="C257" s="6" t="str">
        <f t="shared" si="4"/>
        <v>2026年2月</v>
      </c>
      <c r="D257" s="40" t="s">
        <v>40</v>
      </c>
      <c r="E257" s="6" t="s">
        <v>5004</v>
      </c>
      <c r="F257" s="6" t="s">
        <v>10</v>
      </c>
      <c r="G257" s="50" t="s">
        <v>4169</v>
      </c>
      <c r="H257" s="40"/>
      <c r="I257" s="50" t="s">
        <v>82</v>
      </c>
      <c r="J257" s="50" t="s">
        <v>4176</v>
      </c>
      <c r="K257" s="8" t="s">
        <v>5005</v>
      </c>
      <c r="L257" s="6" t="s">
        <v>5006</v>
      </c>
      <c r="M257" s="61" t="s">
        <v>3749</v>
      </c>
      <c r="N257" s="6" t="s">
        <v>5007</v>
      </c>
      <c r="O257" s="6" t="s">
        <v>1016</v>
      </c>
      <c r="P257" s="61">
        <v>38</v>
      </c>
      <c r="Q257" s="6" t="s">
        <v>149</v>
      </c>
      <c r="R257" s="50" t="s">
        <v>4319</v>
      </c>
      <c r="S257" s="50" t="s">
        <v>4215</v>
      </c>
      <c r="T257" s="50" t="s">
        <v>3506</v>
      </c>
      <c r="U257" s="6" t="s">
        <v>4928</v>
      </c>
      <c r="V257" s="6"/>
      <c r="W257" s="6"/>
      <c r="X257" s="6"/>
      <c r="Y257" s="6"/>
      <c r="Z257" s="6"/>
      <c r="AA257" s="6"/>
      <c r="AB257" s="6"/>
      <c r="AC257" s="6"/>
      <c r="AD257" s="6"/>
      <c r="AE257" s="6"/>
      <c r="AF257" s="6"/>
      <c r="AG257" s="6"/>
    </row>
    <row r="258" ht="15.5" spans="1:33">
      <c r="A258" s="6" t="s">
        <v>78</v>
      </c>
      <c r="B258" s="7">
        <v>46055</v>
      </c>
      <c r="C258" s="6" t="str">
        <f t="shared" si="4"/>
        <v>2026年2月</v>
      </c>
      <c r="D258" s="40" t="s">
        <v>40</v>
      </c>
      <c r="E258" s="6" t="s">
        <v>5008</v>
      </c>
      <c r="F258" s="6" t="s">
        <v>10</v>
      </c>
      <c r="G258" s="50" t="s">
        <v>4169</v>
      </c>
      <c r="H258" s="40"/>
      <c r="I258" s="50" t="s">
        <v>82</v>
      </c>
      <c r="J258" s="50" t="s">
        <v>4176</v>
      </c>
      <c r="K258" s="8" t="s">
        <v>4909</v>
      </c>
      <c r="L258" s="6" t="s">
        <v>4910</v>
      </c>
      <c r="M258" s="61" t="s">
        <v>1005</v>
      </c>
      <c r="N258" s="6" t="s">
        <v>5009</v>
      </c>
      <c r="O258" s="6" t="s">
        <v>5010</v>
      </c>
      <c r="P258" s="61">
        <v>120</v>
      </c>
      <c r="Q258" s="6" t="s">
        <v>149</v>
      </c>
      <c r="R258" s="50" t="s">
        <v>4319</v>
      </c>
      <c r="S258" s="50" t="s">
        <v>4215</v>
      </c>
      <c r="T258" s="50" t="s">
        <v>3506</v>
      </c>
      <c r="U258" s="6" t="s">
        <v>822</v>
      </c>
      <c r="V258" s="6"/>
      <c r="W258" s="6"/>
      <c r="X258" s="6"/>
      <c r="Y258" s="6"/>
      <c r="Z258" s="6"/>
      <c r="AA258" s="6"/>
      <c r="AB258" s="6"/>
      <c r="AC258" s="6"/>
      <c r="AD258" s="6"/>
      <c r="AE258" s="6"/>
      <c r="AF258" s="6"/>
      <c r="AG258" s="6"/>
    </row>
    <row r="259" ht="15.5" spans="1:33">
      <c r="A259" s="6" t="s">
        <v>78</v>
      </c>
      <c r="B259" s="7">
        <v>46055</v>
      </c>
      <c r="C259" s="6" t="str">
        <f t="shared" si="4"/>
        <v>2026年2月</v>
      </c>
      <c r="D259" s="40" t="s">
        <v>40</v>
      </c>
      <c r="E259" s="6" t="s">
        <v>5011</v>
      </c>
      <c r="F259" s="6" t="s">
        <v>10</v>
      </c>
      <c r="G259" s="50" t="s">
        <v>4169</v>
      </c>
      <c r="H259" s="40"/>
      <c r="I259" s="50" t="s">
        <v>82</v>
      </c>
      <c r="J259" s="50" t="s">
        <v>4176</v>
      </c>
      <c r="K259" s="8" t="s">
        <v>4909</v>
      </c>
      <c r="L259" s="6" t="s">
        <v>4910</v>
      </c>
      <c r="M259" s="61" t="s">
        <v>1005</v>
      </c>
      <c r="N259" s="6" t="s">
        <v>5012</v>
      </c>
      <c r="O259" s="6" t="s">
        <v>5010</v>
      </c>
      <c r="P259" s="61">
        <v>10</v>
      </c>
      <c r="Q259" s="6" t="s">
        <v>149</v>
      </c>
      <c r="R259" s="50" t="s">
        <v>4319</v>
      </c>
      <c r="S259" s="50" t="s">
        <v>4215</v>
      </c>
      <c r="T259" s="50" t="s">
        <v>3506</v>
      </c>
      <c r="U259" s="6" t="s">
        <v>822</v>
      </c>
      <c r="V259" s="6"/>
      <c r="W259" s="6"/>
      <c r="X259" s="6"/>
      <c r="Y259" s="6"/>
      <c r="Z259" s="6"/>
      <c r="AA259" s="6"/>
      <c r="AB259" s="6"/>
      <c r="AC259" s="6"/>
      <c r="AD259" s="6"/>
      <c r="AE259" s="6"/>
      <c r="AF259" s="6"/>
      <c r="AG259" s="6"/>
    </row>
    <row r="260" ht="15.5" spans="1:33">
      <c r="A260" s="6" t="s">
        <v>78</v>
      </c>
      <c r="B260" s="7">
        <v>46055</v>
      </c>
      <c r="C260" s="6" t="str">
        <f t="shared" si="4"/>
        <v>2026年2月</v>
      </c>
      <c r="D260" s="40" t="s">
        <v>40</v>
      </c>
      <c r="E260" s="6" t="s">
        <v>5013</v>
      </c>
      <c r="F260" s="6" t="s">
        <v>10</v>
      </c>
      <c r="G260" s="50" t="s">
        <v>4169</v>
      </c>
      <c r="H260" s="40"/>
      <c r="I260" s="50" t="s">
        <v>82</v>
      </c>
      <c r="J260" s="50" t="s">
        <v>4176</v>
      </c>
      <c r="K260" s="8" t="s">
        <v>1526</v>
      </c>
      <c r="L260" s="6" t="s">
        <v>1528</v>
      </c>
      <c r="M260" s="61" t="s">
        <v>1005</v>
      </c>
      <c r="N260" s="6" t="s">
        <v>5014</v>
      </c>
      <c r="O260" s="6" t="s">
        <v>5015</v>
      </c>
      <c r="P260" s="61">
        <v>300</v>
      </c>
      <c r="Q260" s="6" t="s">
        <v>149</v>
      </c>
      <c r="R260" s="50" t="s">
        <v>4319</v>
      </c>
      <c r="S260" s="50" t="s">
        <v>4215</v>
      </c>
      <c r="T260" s="50" t="s">
        <v>3506</v>
      </c>
      <c r="U260" s="6" t="s">
        <v>85</v>
      </c>
      <c r="V260" s="6"/>
      <c r="W260" s="6"/>
      <c r="X260" s="6"/>
      <c r="Y260" s="6"/>
      <c r="Z260" s="6"/>
      <c r="AA260" s="6"/>
      <c r="AB260" s="6"/>
      <c r="AC260" s="6"/>
      <c r="AD260" s="6"/>
      <c r="AE260" s="6"/>
      <c r="AF260" s="6"/>
      <c r="AG260" s="6"/>
    </row>
    <row r="261" ht="15.5" spans="1:33">
      <c r="A261" s="6" t="s">
        <v>142</v>
      </c>
      <c r="B261" s="7">
        <v>46057</v>
      </c>
      <c r="C261" s="6" t="str">
        <f t="shared" si="4"/>
        <v>2026年2月</v>
      </c>
      <c r="D261" s="40" t="s">
        <v>40</v>
      </c>
      <c r="E261" s="6" t="s">
        <v>5016</v>
      </c>
      <c r="F261" s="6" t="s">
        <v>11</v>
      </c>
      <c r="G261" s="50" t="s">
        <v>4169</v>
      </c>
      <c r="H261" s="40"/>
      <c r="I261" s="50" t="s">
        <v>82</v>
      </c>
      <c r="J261" s="50" t="s">
        <v>4190</v>
      </c>
      <c r="K261" s="8" t="s">
        <v>2262</v>
      </c>
      <c r="L261" s="6" t="s">
        <v>3059</v>
      </c>
      <c r="M261" s="61"/>
      <c r="N261" s="6" t="s">
        <v>5017</v>
      </c>
      <c r="O261" s="6" t="s">
        <v>5018</v>
      </c>
      <c r="P261" s="61">
        <v>29765.45</v>
      </c>
      <c r="Q261" s="6" t="s">
        <v>149</v>
      </c>
      <c r="R261" s="50" t="s">
        <v>4319</v>
      </c>
      <c r="S261" s="50" t="s">
        <v>4215</v>
      </c>
      <c r="T261" s="50" t="s">
        <v>3506</v>
      </c>
      <c r="U261" s="6" t="s">
        <v>685</v>
      </c>
      <c r="V261" s="6"/>
      <c r="W261" s="6"/>
      <c r="X261" s="6"/>
      <c r="Y261" s="6"/>
      <c r="Z261" s="6"/>
      <c r="AA261" s="6"/>
      <c r="AB261" s="6"/>
      <c r="AC261" s="6"/>
      <c r="AD261" s="6"/>
      <c r="AE261" s="6"/>
      <c r="AF261" s="6"/>
      <c r="AG261" s="6"/>
    </row>
    <row r="262" ht="15.5" spans="1:33">
      <c r="A262" s="6" t="s">
        <v>142</v>
      </c>
      <c r="B262" s="7">
        <v>46057</v>
      </c>
      <c r="C262" s="6" t="str">
        <f t="shared" si="4"/>
        <v>2026年2月</v>
      </c>
      <c r="D262" s="40" t="s">
        <v>40</v>
      </c>
      <c r="E262" s="6" t="s">
        <v>5019</v>
      </c>
      <c r="F262" s="6" t="s">
        <v>11</v>
      </c>
      <c r="G262" s="50" t="s">
        <v>4169</v>
      </c>
      <c r="H262" s="40"/>
      <c r="I262" s="50" t="s">
        <v>82</v>
      </c>
      <c r="J262" s="50" t="s">
        <v>4190</v>
      </c>
      <c r="K262" s="8" t="s">
        <v>2262</v>
      </c>
      <c r="L262" s="6" t="s">
        <v>3059</v>
      </c>
      <c r="M262" s="61"/>
      <c r="N262" s="6" t="s">
        <v>5020</v>
      </c>
      <c r="O262" s="6" t="s">
        <v>5018</v>
      </c>
      <c r="P262" s="61">
        <v>29589.96</v>
      </c>
      <c r="Q262" s="6" t="s">
        <v>149</v>
      </c>
      <c r="R262" s="50" t="s">
        <v>4319</v>
      </c>
      <c r="S262" s="50" t="s">
        <v>4215</v>
      </c>
      <c r="T262" s="50" t="s">
        <v>3506</v>
      </c>
      <c r="U262" s="6" t="s">
        <v>685</v>
      </c>
      <c r="V262" s="6"/>
      <c r="W262" s="6"/>
      <c r="X262" s="6"/>
      <c r="Y262" s="6"/>
      <c r="Z262" s="6"/>
      <c r="AA262" s="6"/>
      <c r="AB262" s="6"/>
      <c r="AC262" s="6"/>
      <c r="AD262" s="6"/>
      <c r="AE262" s="6"/>
      <c r="AF262" s="6"/>
      <c r="AG262" s="6"/>
    </row>
    <row r="263" ht="15.5" spans="1:33">
      <c r="A263" s="6" t="s">
        <v>142</v>
      </c>
      <c r="B263" s="7">
        <v>46057</v>
      </c>
      <c r="C263" s="6" t="str">
        <f t="shared" si="4"/>
        <v>2026年2月</v>
      </c>
      <c r="D263" s="40" t="s">
        <v>40</v>
      </c>
      <c r="E263" s="6" t="s">
        <v>5021</v>
      </c>
      <c r="F263" s="6" t="s">
        <v>11</v>
      </c>
      <c r="G263" s="50" t="s">
        <v>4169</v>
      </c>
      <c r="H263" s="40"/>
      <c r="I263" s="50" t="s">
        <v>82</v>
      </c>
      <c r="J263" s="50" t="s">
        <v>4190</v>
      </c>
      <c r="K263" s="8" t="s">
        <v>2262</v>
      </c>
      <c r="L263" s="6" t="s">
        <v>3059</v>
      </c>
      <c r="M263" s="61"/>
      <c r="N263" s="6" t="s">
        <v>5022</v>
      </c>
      <c r="O263" s="6" t="s">
        <v>5018</v>
      </c>
      <c r="P263" s="61">
        <v>29485.38</v>
      </c>
      <c r="Q263" s="6" t="s">
        <v>149</v>
      </c>
      <c r="R263" s="50" t="s">
        <v>4319</v>
      </c>
      <c r="S263" s="50" t="s">
        <v>4215</v>
      </c>
      <c r="T263" s="50" t="s">
        <v>3506</v>
      </c>
      <c r="U263" s="6" t="s">
        <v>685</v>
      </c>
      <c r="V263" s="6"/>
      <c r="W263" s="6"/>
      <c r="X263" s="6"/>
      <c r="Y263" s="6"/>
      <c r="Z263" s="6"/>
      <c r="AA263" s="6"/>
      <c r="AB263" s="6"/>
      <c r="AC263" s="6"/>
      <c r="AD263" s="6"/>
      <c r="AE263" s="6"/>
      <c r="AF263" s="6"/>
      <c r="AG263" s="6"/>
    </row>
    <row r="264" ht="15.5" spans="1:33">
      <c r="A264" s="6" t="s">
        <v>142</v>
      </c>
      <c r="B264" s="7">
        <v>46057</v>
      </c>
      <c r="C264" s="6" t="str">
        <f t="shared" si="4"/>
        <v>2026年2月</v>
      </c>
      <c r="D264" s="40" t="s">
        <v>40</v>
      </c>
      <c r="E264" s="6" t="s">
        <v>5023</v>
      </c>
      <c r="F264" s="6" t="s">
        <v>11</v>
      </c>
      <c r="G264" s="50" t="s">
        <v>4169</v>
      </c>
      <c r="H264" s="40"/>
      <c r="I264" s="50" t="s">
        <v>82</v>
      </c>
      <c r="J264" s="50" t="s">
        <v>4190</v>
      </c>
      <c r="K264" s="8" t="s">
        <v>2262</v>
      </c>
      <c r="L264" s="6" t="s">
        <v>3059</v>
      </c>
      <c r="M264" s="61"/>
      <c r="N264" s="6" t="s">
        <v>5024</v>
      </c>
      <c r="O264" s="6" t="s">
        <v>5018</v>
      </c>
      <c r="P264" s="61">
        <v>29865.45</v>
      </c>
      <c r="Q264" s="6" t="s">
        <v>149</v>
      </c>
      <c r="R264" s="50" t="s">
        <v>4319</v>
      </c>
      <c r="S264" s="50" t="s">
        <v>4215</v>
      </c>
      <c r="T264" s="50" t="s">
        <v>3506</v>
      </c>
      <c r="U264" s="6" t="s">
        <v>685</v>
      </c>
      <c r="V264" s="6"/>
      <c r="W264" s="6"/>
      <c r="X264" s="6"/>
      <c r="Y264" s="6"/>
      <c r="Z264" s="6"/>
      <c r="AA264" s="6"/>
      <c r="AB264" s="6"/>
      <c r="AC264" s="6"/>
      <c r="AD264" s="6"/>
      <c r="AE264" s="6"/>
      <c r="AF264" s="6"/>
      <c r="AG264" s="6"/>
    </row>
    <row r="265" ht="15.5" spans="1:33">
      <c r="A265" s="6" t="s">
        <v>207</v>
      </c>
      <c r="B265" s="7">
        <v>46057</v>
      </c>
      <c r="C265" s="6" t="str">
        <f t="shared" si="4"/>
        <v>2026年2月</v>
      </c>
      <c r="D265" s="40" t="s">
        <v>40</v>
      </c>
      <c r="E265" s="6" t="s">
        <v>5025</v>
      </c>
      <c r="F265" s="6" t="s">
        <v>11</v>
      </c>
      <c r="G265" s="50" t="s">
        <v>4169</v>
      </c>
      <c r="H265" s="40"/>
      <c r="I265" s="50" t="s">
        <v>290</v>
      </c>
      <c r="J265" s="50" t="s">
        <v>4190</v>
      </c>
      <c r="K265" s="8" t="s">
        <v>5026</v>
      </c>
      <c r="L265" s="6" t="s">
        <v>5027</v>
      </c>
      <c r="M265" s="61"/>
      <c r="N265" s="6" t="s">
        <v>5028</v>
      </c>
      <c r="O265" s="6" t="s">
        <v>5018</v>
      </c>
      <c r="P265" s="76">
        <v>29987.65</v>
      </c>
      <c r="Q265" s="6" t="s">
        <v>149</v>
      </c>
      <c r="S265" s="50" t="s">
        <v>4215</v>
      </c>
      <c r="T265" s="50" t="s">
        <v>3506</v>
      </c>
      <c r="U265" s="6" t="s">
        <v>685</v>
      </c>
      <c r="V265" s="6" t="s">
        <v>3520</v>
      </c>
      <c r="W265" s="6"/>
      <c r="X265" s="6"/>
      <c r="Y265" s="6"/>
      <c r="Z265" s="6"/>
      <c r="AA265" s="6"/>
      <c r="AB265" s="6"/>
      <c r="AC265" s="6"/>
      <c r="AD265" s="6"/>
      <c r="AE265" s="6"/>
      <c r="AF265" s="6"/>
      <c r="AG265" s="6"/>
    </row>
    <row r="266" ht="15.5" spans="1:33">
      <c r="A266" s="6" t="s">
        <v>142</v>
      </c>
      <c r="B266" s="7">
        <v>46057</v>
      </c>
      <c r="C266" s="6" t="str">
        <f t="shared" si="4"/>
        <v>2026年2月</v>
      </c>
      <c r="D266" s="40" t="s">
        <v>40</v>
      </c>
      <c r="E266" s="6" t="s">
        <v>5029</v>
      </c>
      <c r="F266" s="6" t="s">
        <v>11</v>
      </c>
      <c r="G266" s="50" t="s">
        <v>4169</v>
      </c>
      <c r="H266" s="40"/>
      <c r="I266" s="50" t="s">
        <v>82</v>
      </c>
      <c r="J266" s="50" t="s">
        <v>4190</v>
      </c>
      <c r="K266" s="8" t="s">
        <v>2262</v>
      </c>
      <c r="L266" s="6" t="s">
        <v>3059</v>
      </c>
      <c r="M266" s="61"/>
      <c r="N266" s="6" t="s">
        <v>5030</v>
      </c>
      <c r="O266" s="6" t="s">
        <v>5018</v>
      </c>
      <c r="P266" s="61">
        <v>29485.36</v>
      </c>
      <c r="Q266" s="6" t="s">
        <v>149</v>
      </c>
      <c r="R266" s="50" t="s">
        <v>4319</v>
      </c>
      <c r="S266" s="50" t="s">
        <v>4215</v>
      </c>
      <c r="T266" s="50" t="s">
        <v>3506</v>
      </c>
      <c r="U266" s="6" t="s">
        <v>685</v>
      </c>
      <c r="V266" s="6"/>
      <c r="W266" s="6"/>
      <c r="X266" s="6"/>
      <c r="Y266" s="6"/>
      <c r="Z266" s="6"/>
      <c r="AA266" s="6"/>
      <c r="AB266" s="6"/>
      <c r="AC266" s="6"/>
      <c r="AD266" s="6"/>
      <c r="AE266" s="6"/>
      <c r="AF266" s="6"/>
      <c r="AG266" s="6"/>
    </row>
    <row r="267" ht="15.5" spans="1:33">
      <c r="A267" s="6" t="s">
        <v>142</v>
      </c>
      <c r="B267" s="7">
        <v>46057</v>
      </c>
      <c r="C267" s="6" t="str">
        <f t="shared" si="4"/>
        <v>2026年2月</v>
      </c>
      <c r="D267" s="40" t="s">
        <v>40</v>
      </c>
      <c r="E267" s="6" t="s">
        <v>5031</v>
      </c>
      <c r="F267" s="6" t="s">
        <v>11</v>
      </c>
      <c r="G267" s="50" t="s">
        <v>4169</v>
      </c>
      <c r="H267" s="40"/>
      <c r="I267" s="50" t="s">
        <v>82</v>
      </c>
      <c r="J267" s="50" t="s">
        <v>4190</v>
      </c>
      <c r="K267" s="8" t="s">
        <v>2262</v>
      </c>
      <c r="L267" s="6" t="s">
        <v>3059</v>
      </c>
      <c r="M267" s="61"/>
      <c r="N267" s="6" t="s">
        <v>5032</v>
      </c>
      <c r="O267" s="6" t="s">
        <v>5018</v>
      </c>
      <c r="P267" s="61">
        <v>29398.85</v>
      </c>
      <c r="Q267" s="6" t="s">
        <v>149</v>
      </c>
      <c r="R267" s="50" t="s">
        <v>4319</v>
      </c>
      <c r="S267" s="50" t="s">
        <v>4215</v>
      </c>
      <c r="T267" s="50" t="s">
        <v>3506</v>
      </c>
      <c r="U267" s="6" t="s">
        <v>685</v>
      </c>
      <c r="V267" s="6"/>
      <c r="W267" s="6"/>
      <c r="X267" s="6"/>
      <c r="Y267" s="6"/>
      <c r="Z267" s="6"/>
      <c r="AA267" s="6"/>
      <c r="AB267" s="6"/>
      <c r="AC267" s="6"/>
      <c r="AD267" s="6"/>
      <c r="AE267" s="6"/>
      <c r="AF267" s="6"/>
      <c r="AG267" s="6"/>
    </row>
    <row r="268" ht="15.5" spans="1:33">
      <c r="A268" s="6" t="s">
        <v>207</v>
      </c>
      <c r="B268" s="7">
        <v>46057</v>
      </c>
      <c r="C268" s="6" t="str">
        <f t="shared" si="4"/>
        <v>2026年2月</v>
      </c>
      <c r="D268" s="40" t="s">
        <v>40</v>
      </c>
      <c r="E268" s="6" t="s">
        <v>5033</v>
      </c>
      <c r="F268" s="6" t="s">
        <v>11</v>
      </c>
      <c r="G268" s="50" t="s">
        <v>2954</v>
      </c>
      <c r="H268" s="40"/>
      <c r="I268" s="50" t="s">
        <v>5034</v>
      </c>
      <c r="J268" s="50" t="s">
        <v>4176</v>
      </c>
      <c r="K268" s="8" t="s">
        <v>3388</v>
      </c>
      <c r="L268" s="6" t="s">
        <v>3389</v>
      </c>
      <c r="M268" s="61"/>
      <c r="N268" s="6" t="s">
        <v>5035</v>
      </c>
      <c r="O268" s="6" t="s">
        <v>5036</v>
      </c>
      <c r="P268" s="76">
        <v>19830</v>
      </c>
      <c r="Q268" s="6" t="s">
        <v>149</v>
      </c>
      <c r="R268" s="50" t="s">
        <v>5034</v>
      </c>
      <c r="S268" s="50" t="s">
        <v>4215</v>
      </c>
      <c r="T268" s="50" t="s">
        <v>3506</v>
      </c>
      <c r="U268" s="6" t="s">
        <v>685</v>
      </c>
      <c r="V268" s="6"/>
      <c r="W268" s="6"/>
      <c r="X268" s="6"/>
      <c r="Y268" s="6"/>
      <c r="Z268" s="6"/>
      <c r="AA268" s="6"/>
      <c r="AB268" s="6"/>
      <c r="AC268" s="6"/>
      <c r="AD268" s="6"/>
      <c r="AE268" s="6"/>
      <c r="AF268" s="6"/>
      <c r="AG268" s="6"/>
    </row>
    <row r="269" ht="15.5" spans="1:33">
      <c r="A269" s="6" t="s">
        <v>207</v>
      </c>
      <c r="B269" s="7">
        <v>46059</v>
      </c>
      <c r="C269" s="6" t="str">
        <f t="shared" si="4"/>
        <v>2026年2月</v>
      </c>
      <c r="D269" s="40" t="s">
        <v>40</v>
      </c>
      <c r="E269" s="6" t="s">
        <v>5037</v>
      </c>
      <c r="F269" s="6" t="s">
        <v>11</v>
      </c>
      <c r="G269" s="50" t="s">
        <v>2954</v>
      </c>
      <c r="H269" s="40"/>
      <c r="I269" s="50" t="s">
        <v>290</v>
      </c>
      <c r="J269" s="50" t="s">
        <v>4190</v>
      </c>
      <c r="K269" s="8" t="s">
        <v>3039</v>
      </c>
      <c r="L269" s="6" t="s">
        <v>3040</v>
      </c>
      <c r="M269" s="61"/>
      <c r="N269" s="6" t="s">
        <v>5038</v>
      </c>
      <c r="O269" s="6" t="s">
        <v>5039</v>
      </c>
      <c r="P269" s="76">
        <v>23600</v>
      </c>
      <c r="Q269" s="6" t="s">
        <v>149</v>
      </c>
      <c r="S269" s="50" t="s">
        <v>4215</v>
      </c>
      <c r="T269" s="50" t="s">
        <v>3506</v>
      </c>
      <c r="U269" s="6" t="s">
        <v>685</v>
      </c>
      <c r="V269" s="6" t="s">
        <v>3520</v>
      </c>
      <c r="W269" s="6"/>
      <c r="X269" s="6"/>
      <c r="Y269" s="6"/>
      <c r="Z269" s="6"/>
      <c r="AA269" s="6"/>
      <c r="AB269" s="6"/>
      <c r="AC269" s="6"/>
      <c r="AD269" s="6"/>
      <c r="AE269" s="6"/>
      <c r="AF269" s="6"/>
      <c r="AG269" s="6"/>
    </row>
    <row r="270" ht="15.5" spans="1:33">
      <c r="A270" s="6" t="s">
        <v>207</v>
      </c>
      <c r="B270" s="7">
        <v>46059</v>
      </c>
      <c r="C270" s="6" t="str">
        <f t="shared" si="4"/>
        <v>2026年2月</v>
      </c>
      <c r="D270" s="40" t="s">
        <v>40</v>
      </c>
      <c r="E270" s="6" t="s">
        <v>5040</v>
      </c>
      <c r="F270" s="6" t="s">
        <v>10</v>
      </c>
      <c r="G270" s="50" t="s">
        <v>2954</v>
      </c>
      <c r="H270" s="40"/>
      <c r="I270" s="50" t="s">
        <v>290</v>
      </c>
      <c r="J270" s="50" t="s">
        <v>4190</v>
      </c>
      <c r="K270" s="8" t="s">
        <v>1806</v>
      </c>
      <c r="L270" s="6" t="s">
        <v>1807</v>
      </c>
      <c r="M270" s="61" t="s">
        <v>3595</v>
      </c>
      <c r="N270" s="6" t="s">
        <v>5041</v>
      </c>
      <c r="O270" s="6" t="s">
        <v>5042</v>
      </c>
      <c r="P270" s="61">
        <v>9368.75</v>
      </c>
      <c r="Q270" s="6" t="s">
        <v>303</v>
      </c>
      <c r="S270" s="50" t="s">
        <v>4215</v>
      </c>
      <c r="T270" s="50" t="s">
        <v>3506</v>
      </c>
      <c r="U270" s="6" t="s">
        <v>1500</v>
      </c>
      <c r="V270" s="6"/>
      <c r="W270" s="6"/>
      <c r="X270" s="6"/>
      <c r="Y270" s="6"/>
      <c r="Z270" s="6"/>
      <c r="AA270" s="6"/>
      <c r="AB270" s="6"/>
      <c r="AC270" s="6"/>
      <c r="AD270" s="6"/>
      <c r="AE270" s="6"/>
      <c r="AF270" s="6"/>
      <c r="AG270" s="6"/>
    </row>
    <row r="271" ht="15.5" spans="1:33">
      <c r="A271" s="6" t="s">
        <v>78</v>
      </c>
      <c r="B271" s="7">
        <v>46062</v>
      </c>
      <c r="C271" s="6" t="str">
        <f t="shared" si="4"/>
        <v>2026年2月</v>
      </c>
      <c r="D271" s="40" t="s">
        <v>40</v>
      </c>
      <c r="E271" s="6" t="s">
        <v>5043</v>
      </c>
      <c r="F271" s="6" t="s">
        <v>10</v>
      </c>
      <c r="G271" s="50" t="s">
        <v>4169</v>
      </c>
      <c r="H271" s="40"/>
      <c r="I271" s="50" t="s">
        <v>82</v>
      </c>
      <c r="J271" s="50" t="s">
        <v>4176</v>
      </c>
      <c r="K271" s="8" t="s">
        <v>5044</v>
      </c>
      <c r="L271" s="6" t="s">
        <v>5045</v>
      </c>
      <c r="M271" s="61" t="s">
        <v>3749</v>
      </c>
      <c r="N271" s="6" t="s">
        <v>5046</v>
      </c>
      <c r="O271" s="6" t="s">
        <v>1016</v>
      </c>
      <c r="P271" s="61">
        <v>105.38</v>
      </c>
      <c r="Q271" s="6" t="s">
        <v>149</v>
      </c>
      <c r="R271" s="50" t="s">
        <v>4253</v>
      </c>
      <c r="S271" s="50" t="s">
        <v>4215</v>
      </c>
      <c r="T271" s="50" t="s">
        <v>3506</v>
      </c>
      <c r="U271" s="6" t="s">
        <v>4928</v>
      </c>
      <c r="V271" s="6"/>
      <c r="W271" s="6"/>
      <c r="X271" s="6"/>
      <c r="Y271" s="6"/>
      <c r="Z271" s="6"/>
      <c r="AA271" s="6"/>
      <c r="AB271" s="6"/>
      <c r="AC271" s="6"/>
      <c r="AD271" s="6"/>
      <c r="AE271" s="6"/>
      <c r="AF271" s="6"/>
      <c r="AG271" s="6"/>
    </row>
    <row r="272" ht="15.5" spans="1:33">
      <c r="A272" s="6" t="s">
        <v>78</v>
      </c>
      <c r="B272" s="7">
        <v>46062</v>
      </c>
      <c r="C272" s="6" t="str">
        <f t="shared" si="4"/>
        <v>2026年2月</v>
      </c>
      <c r="D272" s="40" t="s">
        <v>40</v>
      </c>
      <c r="E272" s="6" t="s">
        <v>5047</v>
      </c>
      <c r="F272" s="6" t="s">
        <v>10</v>
      </c>
      <c r="G272" s="50" t="s">
        <v>4169</v>
      </c>
      <c r="H272" s="40"/>
      <c r="I272" s="50" t="s">
        <v>82</v>
      </c>
      <c r="J272" s="50" t="s">
        <v>4176</v>
      </c>
      <c r="K272" s="8" t="s">
        <v>5044</v>
      </c>
      <c r="L272" s="6" t="s">
        <v>5045</v>
      </c>
      <c r="M272" s="61" t="s">
        <v>3749</v>
      </c>
      <c r="N272" s="6" t="s">
        <v>5048</v>
      </c>
      <c r="O272" s="6" t="s">
        <v>1016</v>
      </c>
      <c r="P272" s="61">
        <v>169.96</v>
      </c>
      <c r="Q272" s="6" t="s">
        <v>149</v>
      </c>
      <c r="R272" s="50" t="s">
        <v>4253</v>
      </c>
      <c r="S272" s="50" t="s">
        <v>4215</v>
      </c>
      <c r="T272" s="50" t="s">
        <v>3506</v>
      </c>
      <c r="U272" s="6" t="s">
        <v>4928</v>
      </c>
      <c r="V272" s="6"/>
      <c r="W272" s="6"/>
      <c r="X272" s="6"/>
      <c r="Y272" s="6"/>
      <c r="Z272" s="6"/>
      <c r="AA272" s="6"/>
      <c r="AB272" s="6"/>
      <c r="AC272" s="6"/>
      <c r="AD272" s="6"/>
      <c r="AE272" s="6"/>
      <c r="AF272" s="6"/>
      <c r="AG272" s="6"/>
    </row>
    <row r="273" ht="15.5" spans="1:33">
      <c r="A273" s="6" t="s">
        <v>78</v>
      </c>
      <c r="B273" s="7">
        <v>46062</v>
      </c>
      <c r="C273" s="6" t="str">
        <f t="shared" si="4"/>
        <v>2026年2月</v>
      </c>
      <c r="D273" s="40" t="s">
        <v>40</v>
      </c>
      <c r="E273" s="6" t="s">
        <v>5049</v>
      </c>
      <c r="F273" s="6" t="s">
        <v>10</v>
      </c>
      <c r="G273" s="50" t="s">
        <v>4169</v>
      </c>
      <c r="H273" s="40"/>
      <c r="I273" s="50" t="s">
        <v>82</v>
      </c>
      <c r="J273" s="50" t="s">
        <v>4176</v>
      </c>
      <c r="K273" s="8" t="s">
        <v>5044</v>
      </c>
      <c r="L273" s="6" t="s">
        <v>5045</v>
      </c>
      <c r="M273" s="61" t="s">
        <v>3749</v>
      </c>
      <c r="N273" s="6" t="s">
        <v>5050</v>
      </c>
      <c r="O273" s="6" t="s">
        <v>1016</v>
      </c>
      <c r="P273" s="61">
        <v>157.03</v>
      </c>
      <c r="Q273" s="6" t="s">
        <v>149</v>
      </c>
      <c r="R273" s="50" t="s">
        <v>4253</v>
      </c>
      <c r="S273" s="50" t="s">
        <v>4215</v>
      </c>
      <c r="T273" s="50" t="s">
        <v>3506</v>
      </c>
      <c r="U273" s="6" t="s">
        <v>4928</v>
      </c>
      <c r="V273" s="6" t="s">
        <v>5051</v>
      </c>
      <c r="W273" s="6"/>
      <c r="X273" s="6"/>
      <c r="Y273" s="6"/>
      <c r="Z273" s="6"/>
      <c r="AA273" s="6"/>
      <c r="AB273" s="6"/>
      <c r="AC273" s="6"/>
      <c r="AD273" s="6"/>
      <c r="AE273" s="6"/>
      <c r="AF273" s="6"/>
      <c r="AG273" s="6"/>
    </row>
    <row r="274" ht="15.5" spans="1:33">
      <c r="A274" s="6" t="s">
        <v>78</v>
      </c>
      <c r="B274" s="7">
        <v>46062</v>
      </c>
      <c r="C274" s="6" t="str">
        <f t="shared" si="4"/>
        <v>2026年2月</v>
      </c>
      <c r="D274" s="40" t="s">
        <v>40</v>
      </c>
      <c r="E274" s="6" t="s">
        <v>5052</v>
      </c>
      <c r="F274" s="6" t="s">
        <v>10</v>
      </c>
      <c r="G274" s="50" t="s">
        <v>4169</v>
      </c>
      <c r="H274" s="40"/>
      <c r="I274" s="50" t="s">
        <v>82</v>
      </c>
      <c r="J274" s="50" t="s">
        <v>4176</v>
      </c>
      <c r="K274" s="8" t="s">
        <v>5044</v>
      </c>
      <c r="L274" s="6" t="s">
        <v>5045</v>
      </c>
      <c r="M274" s="61" t="s">
        <v>3749</v>
      </c>
      <c r="N274" s="6" t="s">
        <v>5053</v>
      </c>
      <c r="O274" s="6" t="s">
        <v>1016</v>
      </c>
      <c r="P274" s="61">
        <v>154.46</v>
      </c>
      <c r="Q274" s="6" t="s">
        <v>149</v>
      </c>
      <c r="R274" s="50" t="s">
        <v>4253</v>
      </c>
      <c r="S274" s="50" t="s">
        <v>4215</v>
      </c>
      <c r="T274" s="50" t="s">
        <v>3506</v>
      </c>
      <c r="U274" s="6" t="s">
        <v>4928</v>
      </c>
      <c r="V274" s="6" t="s">
        <v>5051</v>
      </c>
      <c r="W274" s="6"/>
      <c r="X274" s="6"/>
      <c r="Y274" s="6"/>
      <c r="Z274" s="6"/>
      <c r="AA274" s="6"/>
      <c r="AB274" s="6"/>
      <c r="AC274" s="6"/>
      <c r="AD274" s="6"/>
      <c r="AE274" s="6"/>
      <c r="AF274" s="6"/>
      <c r="AG274" s="6"/>
    </row>
    <row r="275" ht="15.5" spans="1:33">
      <c r="A275" s="6" t="s">
        <v>78</v>
      </c>
      <c r="B275" s="7">
        <v>46062</v>
      </c>
      <c r="C275" s="6" t="str">
        <f t="shared" si="4"/>
        <v>2026年2月</v>
      </c>
      <c r="D275" s="40" t="s">
        <v>40</v>
      </c>
      <c r="E275" s="6" t="s">
        <v>5054</v>
      </c>
      <c r="F275" s="6" t="s">
        <v>10</v>
      </c>
      <c r="G275" s="50" t="s">
        <v>4169</v>
      </c>
      <c r="H275" s="40"/>
      <c r="I275" s="50" t="s">
        <v>82</v>
      </c>
      <c r="J275" s="50" t="s">
        <v>4176</v>
      </c>
      <c r="K275" s="8" t="s">
        <v>5044</v>
      </c>
      <c r="L275" s="6" t="s">
        <v>5045</v>
      </c>
      <c r="M275" s="61" t="s">
        <v>3749</v>
      </c>
      <c r="N275" s="6" t="s">
        <v>5055</v>
      </c>
      <c r="O275" s="6" t="s">
        <v>1016</v>
      </c>
      <c r="P275" s="61">
        <v>147.99</v>
      </c>
      <c r="Q275" s="6" t="s">
        <v>149</v>
      </c>
      <c r="R275" s="50" t="s">
        <v>4253</v>
      </c>
      <c r="S275" s="50" t="s">
        <v>4215</v>
      </c>
      <c r="T275" s="50" t="s">
        <v>3506</v>
      </c>
      <c r="U275" s="6" t="s">
        <v>4928</v>
      </c>
      <c r="V275" s="6" t="s">
        <v>5051</v>
      </c>
      <c r="W275" s="6"/>
      <c r="X275" s="6"/>
      <c r="Y275" s="6"/>
      <c r="Z275" s="6"/>
      <c r="AA275" s="6"/>
      <c r="AB275" s="6"/>
      <c r="AC275" s="6"/>
      <c r="AD275" s="6"/>
      <c r="AE275" s="6"/>
      <c r="AF275" s="6"/>
      <c r="AG275" s="6"/>
    </row>
    <row r="276" ht="15.5" spans="1:33">
      <c r="A276" s="6" t="s">
        <v>78</v>
      </c>
      <c r="B276" s="7">
        <v>46062</v>
      </c>
      <c r="C276" s="6" t="str">
        <f t="shared" si="4"/>
        <v>2026年2月</v>
      </c>
      <c r="D276" s="40" t="s">
        <v>40</v>
      </c>
      <c r="E276" s="6" t="s">
        <v>5056</v>
      </c>
      <c r="F276" s="6" t="s">
        <v>10</v>
      </c>
      <c r="G276" s="50" t="s">
        <v>4169</v>
      </c>
      <c r="H276" s="40"/>
      <c r="I276" s="50" t="s">
        <v>82</v>
      </c>
      <c r="J276" s="50" t="s">
        <v>4176</v>
      </c>
      <c r="K276" s="8" t="s">
        <v>5044</v>
      </c>
      <c r="L276" s="6" t="s">
        <v>5045</v>
      </c>
      <c r="M276" s="61" t="s">
        <v>3749</v>
      </c>
      <c r="N276" s="6" t="s">
        <v>5057</v>
      </c>
      <c r="O276" s="6" t="s">
        <v>1016</v>
      </c>
      <c r="P276" s="61">
        <v>146.99</v>
      </c>
      <c r="Q276" s="6" t="s">
        <v>149</v>
      </c>
      <c r="R276" s="50" t="s">
        <v>4253</v>
      </c>
      <c r="S276" s="50" t="s">
        <v>4215</v>
      </c>
      <c r="T276" s="50" t="s">
        <v>3506</v>
      </c>
      <c r="U276" s="6" t="s">
        <v>4928</v>
      </c>
      <c r="V276" s="6"/>
      <c r="W276" s="6"/>
      <c r="X276" s="6"/>
      <c r="Y276" s="6"/>
      <c r="Z276" s="6"/>
      <c r="AA276" s="6"/>
      <c r="AB276" s="6"/>
      <c r="AC276" s="6"/>
      <c r="AD276" s="6"/>
      <c r="AE276" s="6"/>
      <c r="AF276" s="6"/>
      <c r="AG276" s="6"/>
    </row>
    <row r="277" ht="15.5" spans="1:33">
      <c r="A277" s="6" t="s">
        <v>78</v>
      </c>
      <c r="B277" s="7">
        <v>46062</v>
      </c>
      <c r="C277" s="6" t="str">
        <f t="shared" si="4"/>
        <v>2026年2月</v>
      </c>
      <c r="D277" s="40" t="s">
        <v>40</v>
      </c>
      <c r="E277" s="6" t="s">
        <v>5058</v>
      </c>
      <c r="F277" s="6" t="s">
        <v>10</v>
      </c>
      <c r="G277" s="50" t="s">
        <v>4169</v>
      </c>
      <c r="H277" s="40"/>
      <c r="I277" s="50" t="s">
        <v>82</v>
      </c>
      <c r="J277" s="50" t="s">
        <v>4176</v>
      </c>
      <c r="K277" s="8" t="s">
        <v>5044</v>
      </c>
      <c r="L277" s="6" t="s">
        <v>5045</v>
      </c>
      <c r="M277" s="61" t="s">
        <v>3749</v>
      </c>
      <c r="N277" s="6" t="s">
        <v>5059</v>
      </c>
      <c r="O277" s="6" t="s">
        <v>1016</v>
      </c>
      <c r="P277" s="61">
        <v>153.09</v>
      </c>
      <c r="Q277" s="6" t="s">
        <v>149</v>
      </c>
      <c r="R277" s="50" t="s">
        <v>4253</v>
      </c>
      <c r="S277" s="50" t="s">
        <v>4215</v>
      </c>
      <c r="T277" s="50" t="s">
        <v>3506</v>
      </c>
      <c r="U277" s="6" t="s">
        <v>4928</v>
      </c>
      <c r="V277" s="6" t="s">
        <v>5051</v>
      </c>
      <c r="W277" s="6"/>
      <c r="X277" s="6"/>
      <c r="Y277" s="6"/>
      <c r="Z277" s="6"/>
      <c r="AA277" s="6"/>
      <c r="AB277" s="6"/>
      <c r="AC277" s="6"/>
      <c r="AD277" s="6"/>
      <c r="AE277" s="6"/>
      <c r="AF277" s="6"/>
      <c r="AG277" s="6"/>
    </row>
    <row r="278" ht="15.5" spans="1:33">
      <c r="A278" s="6" t="s">
        <v>207</v>
      </c>
      <c r="B278" s="7">
        <v>46063</v>
      </c>
      <c r="C278" s="6" t="str">
        <f t="shared" si="4"/>
        <v>2026年2月</v>
      </c>
      <c r="D278" s="40" t="s">
        <v>40</v>
      </c>
      <c r="E278" s="6" t="s">
        <v>5060</v>
      </c>
      <c r="F278" s="6" t="s">
        <v>11</v>
      </c>
      <c r="G278" s="50" t="s">
        <v>2954</v>
      </c>
      <c r="H278" s="40"/>
      <c r="I278" s="50" t="s">
        <v>82</v>
      </c>
      <c r="J278" s="50" t="s">
        <v>4176</v>
      </c>
      <c r="K278" s="8" t="s">
        <v>491</v>
      </c>
      <c r="L278" s="6" t="s">
        <v>492</v>
      </c>
      <c r="M278" s="61"/>
      <c r="N278" s="6" t="s">
        <v>5061</v>
      </c>
      <c r="O278" s="6" t="s">
        <v>5062</v>
      </c>
      <c r="P278" s="76">
        <v>49800.83</v>
      </c>
      <c r="Q278" s="6" t="s">
        <v>149</v>
      </c>
      <c r="R278" s="50" t="s">
        <v>4253</v>
      </c>
      <c r="S278" s="50" t="s">
        <v>4215</v>
      </c>
      <c r="T278" s="50" t="s">
        <v>3506</v>
      </c>
      <c r="U278" s="6" t="s">
        <v>685</v>
      </c>
      <c r="V278" s="6"/>
      <c r="W278" s="6"/>
      <c r="X278" s="6"/>
      <c r="Y278" s="6"/>
      <c r="Z278" s="6"/>
      <c r="AA278" s="6"/>
      <c r="AB278" s="6"/>
      <c r="AC278" s="6"/>
      <c r="AD278" s="6"/>
      <c r="AE278" s="6"/>
      <c r="AF278" s="6"/>
      <c r="AG278" s="6"/>
    </row>
    <row r="279" ht="15.5" spans="1:33">
      <c r="A279" s="6" t="s">
        <v>207</v>
      </c>
      <c r="B279" s="7">
        <v>46063</v>
      </c>
      <c r="C279" s="6" t="str">
        <f t="shared" si="4"/>
        <v>2026年2月</v>
      </c>
      <c r="D279" s="40" t="s">
        <v>40</v>
      </c>
      <c r="E279" s="6" t="s">
        <v>5063</v>
      </c>
      <c r="F279" s="6" t="s">
        <v>11</v>
      </c>
      <c r="G279" s="50" t="s">
        <v>2954</v>
      </c>
      <c r="H279" s="40"/>
      <c r="I279" s="50" t="s">
        <v>82</v>
      </c>
      <c r="J279" s="50" t="s">
        <v>4176</v>
      </c>
      <c r="K279" s="8" t="s">
        <v>491</v>
      </c>
      <c r="L279" s="6" t="s">
        <v>492</v>
      </c>
      <c r="M279" s="61"/>
      <c r="N279" s="6" t="s">
        <v>5064</v>
      </c>
      <c r="O279" s="6" t="s">
        <v>5062</v>
      </c>
      <c r="P279" s="76">
        <v>30000</v>
      </c>
      <c r="Q279" s="6" t="s">
        <v>149</v>
      </c>
      <c r="R279" s="50" t="s">
        <v>4319</v>
      </c>
      <c r="S279" s="50" t="s">
        <v>4215</v>
      </c>
      <c r="T279" s="50" t="s">
        <v>3506</v>
      </c>
      <c r="U279" s="6" t="s">
        <v>685</v>
      </c>
      <c r="V279" s="6"/>
      <c r="W279" s="6"/>
      <c r="X279" s="6"/>
      <c r="Y279" s="6"/>
      <c r="Z279" s="6"/>
      <c r="AA279" s="6"/>
      <c r="AB279" s="6"/>
      <c r="AC279" s="6"/>
      <c r="AD279" s="6"/>
      <c r="AE279" s="6"/>
      <c r="AF279" s="6"/>
      <c r="AG279" s="6"/>
    </row>
    <row r="280" ht="15.5" spans="1:33">
      <c r="A280" s="6" t="s">
        <v>207</v>
      </c>
      <c r="B280" s="7">
        <v>46063</v>
      </c>
      <c r="C280" s="6" t="str">
        <f t="shared" si="4"/>
        <v>2026年2月</v>
      </c>
      <c r="D280" s="40" t="s">
        <v>40</v>
      </c>
      <c r="E280" s="6" t="s">
        <v>5065</v>
      </c>
      <c r="F280" s="6" t="s">
        <v>11</v>
      </c>
      <c r="G280" s="50" t="s">
        <v>2954</v>
      </c>
      <c r="H280" s="40"/>
      <c r="I280" s="50" t="s">
        <v>82</v>
      </c>
      <c r="J280" s="50" t="s">
        <v>4176</v>
      </c>
      <c r="K280" s="8" t="s">
        <v>491</v>
      </c>
      <c r="L280" s="6" t="s">
        <v>492</v>
      </c>
      <c r="M280" s="61"/>
      <c r="N280" s="6" t="s">
        <v>5066</v>
      </c>
      <c r="O280" s="6" t="s">
        <v>5062</v>
      </c>
      <c r="P280" s="76">
        <v>45000</v>
      </c>
      <c r="Q280" s="6" t="s">
        <v>149</v>
      </c>
      <c r="R280" s="50" t="s">
        <v>4319</v>
      </c>
      <c r="S280" s="50" t="s">
        <v>4215</v>
      </c>
      <c r="T280" s="50" t="s">
        <v>3506</v>
      </c>
      <c r="U280" s="6" t="s">
        <v>685</v>
      </c>
      <c r="V280" s="6"/>
      <c r="W280" s="6"/>
      <c r="X280" s="6"/>
      <c r="Y280" s="6"/>
      <c r="Z280" s="6"/>
      <c r="AA280" s="6"/>
      <c r="AB280" s="6"/>
      <c r="AC280" s="6"/>
      <c r="AD280" s="6"/>
      <c r="AE280" s="6"/>
      <c r="AF280" s="6"/>
      <c r="AG280" s="6"/>
    </row>
    <row r="281" ht="15.5" spans="1:33">
      <c r="A281" s="6" t="s">
        <v>207</v>
      </c>
      <c r="B281" s="7">
        <v>46063</v>
      </c>
      <c r="C281" s="6" t="str">
        <f t="shared" ref="C281:C344" si="5">YEAR(B281)&amp;"年"&amp;MONTH(B281)&amp;"月"</f>
        <v>2026年2月</v>
      </c>
      <c r="D281" s="40" t="s">
        <v>40</v>
      </c>
      <c r="E281" s="6" t="s">
        <v>5067</v>
      </c>
      <c r="F281" s="6" t="s">
        <v>11</v>
      </c>
      <c r="G281" s="50" t="s">
        <v>2954</v>
      </c>
      <c r="H281" s="40"/>
      <c r="I281" s="50" t="s">
        <v>82</v>
      </c>
      <c r="J281" s="50" t="s">
        <v>4176</v>
      </c>
      <c r="K281" s="8" t="s">
        <v>491</v>
      </c>
      <c r="L281" s="6" t="s">
        <v>492</v>
      </c>
      <c r="M281" s="61"/>
      <c r="N281" s="6" t="s">
        <v>5068</v>
      </c>
      <c r="O281" s="6" t="s">
        <v>5062</v>
      </c>
      <c r="P281" s="76">
        <v>49250</v>
      </c>
      <c r="Q281" s="6" t="s">
        <v>149</v>
      </c>
      <c r="R281" s="50" t="s">
        <v>4253</v>
      </c>
      <c r="S281" s="50" t="s">
        <v>4215</v>
      </c>
      <c r="T281" s="50" t="s">
        <v>3506</v>
      </c>
      <c r="U281" s="6" t="s">
        <v>685</v>
      </c>
      <c r="V281" s="6"/>
      <c r="W281" s="6"/>
      <c r="X281" s="6"/>
      <c r="Y281" s="6"/>
      <c r="Z281" s="6"/>
      <c r="AA281" s="6"/>
      <c r="AB281" s="6"/>
      <c r="AC281" s="6"/>
      <c r="AD281" s="6"/>
      <c r="AE281" s="6"/>
      <c r="AF281" s="6"/>
      <c r="AG281" s="6"/>
    </row>
    <row r="282" ht="15.5" spans="1:33">
      <c r="A282" s="6" t="s">
        <v>207</v>
      </c>
      <c r="B282" s="7">
        <v>46063</v>
      </c>
      <c r="C282" s="6" t="str">
        <f t="shared" si="5"/>
        <v>2026年2月</v>
      </c>
      <c r="D282" s="40" t="s">
        <v>40</v>
      </c>
      <c r="E282" s="6" t="s">
        <v>5069</v>
      </c>
      <c r="F282" s="6" t="s">
        <v>11</v>
      </c>
      <c r="G282" s="50" t="s">
        <v>2954</v>
      </c>
      <c r="H282" s="40"/>
      <c r="I282" s="50" t="s">
        <v>82</v>
      </c>
      <c r="J282" s="50" t="s">
        <v>4176</v>
      </c>
      <c r="K282" s="8" t="s">
        <v>491</v>
      </c>
      <c r="L282" s="6" t="s">
        <v>492</v>
      </c>
      <c r="M282" s="61"/>
      <c r="N282" s="6" t="s">
        <v>5070</v>
      </c>
      <c r="O282" s="6" t="s">
        <v>5062</v>
      </c>
      <c r="P282" s="76">
        <v>43500</v>
      </c>
      <c r="Q282" s="6" t="s">
        <v>149</v>
      </c>
      <c r="R282" s="50" t="s">
        <v>4319</v>
      </c>
      <c r="S282" s="50" t="s">
        <v>4215</v>
      </c>
      <c r="T282" s="50" t="s">
        <v>3506</v>
      </c>
      <c r="U282" s="6" t="s">
        <v>685</v>
      </c>
      <c r="V282" s="6"/>
      <c r="W282" s="6"/>
      <c r="X282" s="6"/>
      <c r="Y282" s="6"/>
      <c r="Z282" s="6"/>
      <c r="AA282" s="6"/>
      <c r="AB282" s="6"/>
      <c r="AC282" s="6"/>
      <c r="AD282" s="6"/>
      <c r="AE282" s="6"/>
      <c r="AF282" s="6"/>
      <c r="AG282" s="6"/>
    </row>
    <row r="283" ht="15.5" spans="1:33">
      <c r="A283" s="6" t="s">
        <v>207</v>
      </c>
      <c r="B283" s="7">
        <v>46063</v>
      </c>
      <c r="C283" s="6" t="str">
        <f t="shared" si="5"/>
        <v>2026年2月</v>
      </c>
      <c r="D283" s="40" t="s">
        <v>40</v>
      </c>
      <c r="E283" s="6" t="s">
        <v>5071</v>
      </c>
      <c r="F283" s="6" t="s">
        <v>11</v>
      </c>
      <c r="G283" s="50" t="s">
        <v>2954</v>
      </c>
      <c r="H283" s="40"/>
      <c r="I283" s="50" t="s">
        <v>82</v>
      </c>
      <c r="J283" s="50" t="s">
        <v>4176</v>
      </c>
      <c r="K283" s="8" t="s">
        <v>491</v>
      </c>
      <c r="L283" s="6" t="s">
        <v>492</v>
      </c>
      <c r="M283" s="61"/>
      <c r="N283" s="6" t="s">
        <v>5072</v>
      </c>
      <c r="O283" s="6" t="s">
        <v>5062</v>
      </c>
      <c r="P283" s="76">
        <v>48500</v>
      </c>
      <c r="Q283" s="6" t="s">
        <v>149</v>
      </c>
      <c r="R283" s="50" t="s">
        <v>4253</v>
      </c>
      <c r="S283" s="50" t="s">
        <v>4215</v>
      </c>
      <c r="T283" s="50" t="s">
        <v>3506</v>
      </c>
      <c r="U283" s="6" t="s">
        <v>685</v>
      </c>
      <c r="V283" s="6"/>
      <c r="W283" s="6"/>
      <c r="X283" s="6"/>
      <c r="Y283" s="6"/>
      <c r="Z283" s="6"/>
      <c r="AA283" s="6"/>
      <c r="AB283" s="6"/>
      <c r="AC283" s="6"/>
      <c r="AD283" s="6"/>
      <c r="AE283" s="6"/>
      <c r="AF283" s="6"/>
      <c r="AG283" s="6"/>
    </row>
    <row r="284" ht="15.5" spans="1:33">
      <c r="A284" s="6" t="s">
        <v>207</v>
      </c>
      <c r="B284" s="7">
        <v>46063</v>
      </c>
      <c r="C284" s="6" t="str">
        <f t="shared" si="5"/>
        <v>2026年2月</v>
      </c>
      <c r="D284" s="40" t="s">
        <v>40</v>
      </c>
      <c r="E284" s="6" t="s">
        <v>5073</v>
      </c>
      <c r="F284" s="6" t="s">
        <v>11</v>
      </c>
      <c r="G284" s="50" t="s">
        <v>2954</v>
      </c>
      <c r="H284" s="40"/>
      <c r="I284" s="50" t="s">
        <v>82</v>
      </c>
      <c r="J284" s="50" t="s">
        <v>4176</v>
      </c>
      <c r="K284" s="8" t="s">
        <v>491</v>
      </c>
      <c r="L284" s="6" t="s">
        <v>492</v>
      </c>
      <c r="M284" s="61"/>
      <c r="N284" s="6" t="s">
        <v>5074</v>
      </c>
      <c r="O284" s="6" t="s">
        <v>5062</v>
      </c>
      <c r="P284" s="76">
        <v>49708</v>
      </c>
      <c r="Q284" s="6" t="s">
        <v>149</v>
      </c>
      <c r="R284" s="50" t="s">
        <v>4253</v>
      </c>
      <c r="S284" s="50" t="s">
        <v>4215</v>
      </c>
      <c r="T284" s="50" t="s">
        <v>3506</v>
      </c>
      <c r="U284" s="6" t="s">
        <v>685</v>
      </c>
      <c r="V284" s="6"/>
      <c r="W284" s="6"/>
      <c r="X284" s="6"/>
      <c r="Y284" s="6"/>
      <c r="Z284" s="6"/>
      <c r="AA284" s="6"/>
      <c r="AB284" s="6"/>
      <c r="AC284" s="6"/>
      <c r="AD284" s="6"/>
      <c r="AE284" s="6"/>
      <c r="AF284" s="6"/>
      <c r="AG284" s="6"/>
    </row>
    <row r="285" ht="15.5" spans="1:33">
      <c r="A285" s="6" t="s">
        <v>207</v>
      </c>
      <c r="B285" s="7">
        <v>46063</v>
      </c>
      <c r="C285" s="6" t="str">
        <f t="shared" si="5"/>
        <v>2026年2月</v>
      </c>
      <c r="D285" s="40" t="s">
        <v>40</v>
      </c>
      <c r="E285" s="6" t="s">
        <v>5075</v>
      </c>
      <c r="F285" s="6" t="s">
        <v>11</v>
      </c>
      <c r="G285" s="50" t="s">
        <v>2954</v>
      </c>
      <c r="H285" s="40"/>
      <c r="I285" s="50" t="s">
        <v>82</v>
      </c>
      <c r="J285" s="50" t="s">
        <v>4176</v>
      </c>
      <c r="K285" s="8" t="s">
        <v>491</v>
      </c>
      <c r="L285" s="6" t="s">
        <v>492</v>
      </c>
      <c r="M285" s="61"/>
      <c r="N285" s="6" t="s">
        <v>5076</v>
      </c>
      <c r="O285" s="6" t="s">
        <v>5077</v>
      </c>
      <c r="P285" s="76">
        <v>50000</v>
      </c>
      <c r="Q285" s="6" t="s">
        <v>149</v>
      </c>
      <c r="R285" s="50" t="s">
        <v>4253</v>
      </c>
      <c r="S285" s="50" t="s">
        <v>4215</v>
      </c>
      <c r="T285" s="50" t="s">
        <v>3506</v>
      </c>
      <c r="U285" s="6" t="s">
        <v>685</v>
      </c>
      <c r="V285" s="6"/>
      <c r="W285" s="6"/>
      <c r="X285" s="6"/>
      <c r="Y285" s="6"/>
      <c r="Z285" s="6"/>
      <c r="AA285" s="6"/>
      <c r="AB285" s="6"/>
      <c r="AC285" s="6"/>
      <c r="AD285" s="6"/>
      <c r="AE285" s="6"/>
      <c r="AF285" s="6"/>
      <c r="AG285" s="6"/>
    </row>
    <row r="286" ht="15.5" spans="1:33">
      <c r="A286" s="6" t="s">
        <v>207</v>
      </c>
      <c r="B286" s="7">
        <v>46063</v>
      </c>
      <c r="C286" s="6" t="str">
        <f t="shared" si="5"/>
        <v>2026年2月</v>
      </c>
      <c r="D286" s="40" t="s">
        <v>40</v>
      </c>
      <c r="E286" s="6" t="s">
        <v>5078</v>
      </c>
      <c r="F286" s="6" t="s">
        <v>11</v>
      </c>
      <c r="G286" s="50" t="s">
        <v>2954</v>
      </c>
      <c r="H286" s="40"/>
      <c r="I286" s="50" t="s">
        <v>82</v>
      </c>
      <c r="J286" s="50" t="s">
        <v>4176</v>
      </c>
      <c r="K286" s="8" t="s">
        <v>491</v>
      </c>
      <c r="L286" s="6" t="s">
        <v>492</v>
      </c>
      <c r="M286" s="61"/>
      <c r="N286" s="6" t="s">
        <v>5079</v>
      </c>
      <c r="O286" s="6" t="s">
        <v>5077</v>
      </c>
      <c r="P286" s="76">
        <v>31000</v>
      </c>
      <c r="Q286" s="6" t="s">
        <v>149</v>
      </c>
      <c r="R286" s="50" t="s">
        <v>4253</v>
      </c>
      <c r="S286" s="50" t="s">
        <v>4215</v>
      </c>
      <c r="T286" s="50" t="s">
        <v>3506</v>
      </c>
      <c r="U286" s="6" t="s">
        <v>685</v>
      </c>
      <c r="V286" s="6"/>
      <c r="W286" s="6"/>
      <c r="X286" s="6"/>
      <c r="Y286" s="6"/>
      <c r="Z286" s="6"/>
      <c r="AA286" s="6"/>
      <c r="AB286" s="6"/>
      <c r="AC286" s="6"/>
      <c r="AD286" s="6"/>
      <c r="AE286" s="6"/>
      <c r="AF286" s="6"/>
      <c r="AG286" s="6"/>
    </row>
    <row r="287" ht="15.5" spans="1:33">
      <c r="A287" s="6" t="s">
        <v>207</v>
      </c>
      <c r="B287" s="7">
        <v>46063</v>
      </c>
      <c r="C287" s="6" t="str">
        <f t="shared" si="5"/>
        <v>2026年2月</v>
      </c>
      <c r="D287" s="40" t="s">
        <v>40</v>
      </c>
      <c r="E287" s="6" t="s">
        <v>5080</v>
      </c>
      <c r="F287" s="6" t="s">
        <v>11</v>
      </c>
      <c r="G287" s="50" t="s">
        <v>2954</v>
      </c>
      <c r="H287" s="40"/>
      <c r="I287" s="50" t="s">
        <v>82</v>
      </c>
      <c r="J287" s="50" t="s">
        <v>4176</v>
      </c>
      <c r="K287" s="8" t="s">
        <v>491</v>
      </c>
      <c r="L287" s="6" t="s">
        <v>492</v>
      </c>
      <c r="M287" s="61"/>
      <c r="N287" s="6" t="s">
        <v>5081</v>
      </c>
      <c r="O287" s="6" t="s">
        <v>5082</v>
      </c>
      <c r="P287" s="76">
        <v>50000</v>
      </c>
      <c r="Q287" s="6" t="s">
        <v>149</v>
      </c>
      <c r="R287" s="50" t="s">
        <v>4253</v>
      </c>
      <c r="S287" s="50" t="s">
        <v>4215</v>
      </c>
      <c r="T287" s="50" t="s">
        <v>3506</v>
      </c>
      <c r="U287" s="6" t="s">
        <v>685</v>
      </c>
      <c r="V287" s="6"/>
      <c r="W287" s="6"/>
      <c r="X287" s="6"/>
      <c r="Y287" s="6"/>
      <c r="Z287" s="6"/>
      <c r="AA287" s="6"/>
      <c r="AB287" s="6"/>
      <c r="AC287" s="6"/>
      <c r="AD287" s="6"/>
      <c r="AE287" s="6"/>
      <c r="AF287" s="6"/>
      <c r="AG287" s="6"/>
    </row>
    <row r="288" ht="15.5" spans="1:33">
      <c r="A288" s="6" t="s">
        <v>207</v>
      </c>
      <c r="B288" s="7">
        <v>46063</v>
      </c>
      <c r="C288" s="6" t="str">
        <f t="shared" si="5"/>
        <v>2026年2月</v>
      </c>
      <c r="D288" s="40" t="s">
        <v>40</v>
      </c>
      <c r="E288" s="6" t="s">
        <v>5083</v>
      </c>
      <c r="F288" s="6" t="s">
        <v>11</v>
      </c>
      <c r="G288" s="50" t="s">
        <v>2954</v>
      </c>
      <c r="H288" s="40"/>
      <c r="I288" s="50" t="s">
        <v>82</v>
      </c>
      <c r="J288" s="50" t="s">
        <v>4176</v>
      </c>
      <c r="K288" s="8" t="s">
        <v>491</v>
      </c>
      <c r="L288" s="6" t="s">
        <v>492</v>
      </c>
      <c r="M288" s="61"/>
      <c r="N288" s="6" t="s">
        <v>5084</v>
      </c>
      <c r="O288" s="6" t="s">
        <v>5085</v>
      </c>
      <c r="P288" s="76">
        <v>15000</v>
      </c>
      <c r="Q288" s="6" t="s">
        <v>149</v>
      </c>
      <c r="R288" s="50" t="s">
        <v>4253</v>
      </c>
      <c r="S288" s="50" t="s">
        <v>4215</v>
      </c>
      <c r="T288" s="50" t="s">
        <v>3506</v>
      </c>
      <c r="U288" s="6" t="s">
        <v>685</v>
      </c>
      <c r="V288" s="6"/>
      <c r="W288" s="6"/>
      <c r="X288" s="6"/>
      <c r="Y288" s="6"/>
      <c r="Z288" s="6"/>
      <c r="AA288" s="6"/>
      <c r="AB288" s="6"/>
      <c r="AC288" s="6"/>
      <c r="AD288" s="6"/>
      <c r="AE288" s="6"/>
      <c r="AF288" s="6"/>
      <c r="AG288" s="6"/>
    </row>
    <row r="289" ht="15.5" spans="1:33">
      <c r="A289" s="6" t="s">
        <v>207</v>
      </c>
      <c r="B289" s="7">
        <v>46063</v>
      </c>
      <c r="C289" s="6" t="str">
        <f t="shared" si="5"/>
        <v>2026年2月</v>
      </c>
      <c r="D289" s="40" t="s">
        <v>40</v>
      </c>
      <c r="E289" s="6" t="s">
        <v>5086</v>
      </c>
      <c r="F289" s="6" t="s">
        <v>11</v>
      </c>
      <c r="G289" s="50" t="s">
        <v>2954</v>
      </c>
      <c r="H289" s="40"/>
      <c r="I289" s="50" t="s">
        <v>82</v>
      </c>
      <c r="J289" s="50" t="s">
        <v>4176</v>
      </c>
      <c r="K289" s="8" t="s">
        <v>491</v>
      </c>
      <c r="L289" s="6" t="s">
        <v>492</v>
      </c>
      <c r="M289" s="61"/>
      <c r="N289" s="6" t="s">
        <v>5087</v>
      </c>
      <c r="O289" s="6" t="s">
        <v>5085</v>
      </c>
      <c r="P289" s="76">
        <v>15000</v>
      </c>
      <c r="Q289" s="6" t="s">
        <v>149</v>
      </c>
      <c r="R289" s="50" t="s">
        <v>4253</v>
      </c>
      <c r="S289" s="50" t="s">
        <v>4215</v>
      </c>
      <c r="T289" s="50" t="s">
        <v>3506</v>
      </c>
      <c r="U289" s="6" t="s">
        <v>685</v>
      </c>
      <c r="V289" s="6"/>
      <c r="W289" s="6"/>
      <c r="X289" s="6"/>
      <c r="Y289" s="6"/>
      <c r="Z289" s="6"/>
      <c r="AA289" s="6"/>
      <c r="AB289" s="6"/>
      <c r="AC289" s="6"/>
      <c r="AD289" s="6"/>
      <c r="AE289" s="6"/>
      <c r="AF289" s="6"/>
      <c r="AG289" s="6"/>
    </row>
    <row r="290" ht="15.5" spans="1:33">
      <c r="A290" s="6" t="s">
        <v>78</v>
      </c>
      <c r="B290" s="7">
        <v>46063</v>
      </c>
      <c r="C290" s="6" t="str">
        <f t="shared" si="5"/>
        <v>2026年2月</v>
      </c>
      <c r="D290" s="40" t="s">
        <v>40</v>
      </c>
      <c r="E290" s="6" t="s">
        <v>5088</v>
      </c>
      <c r="F290" s="6" t="s">
        <v>10</v>
      </c>
      <c r="G290" s="50" t="s">
        <v>4169</v>
      </c>
      <c r="H290" s="40"/>
      <c r="I290" s="50" t="s">
        <v>82</v>
      </c>
      <c r="J290" s="50" t="s">
        <v>4176</v>
      </c>
      <c r="K290" s="90" t="s">
        <v>2109</v>
      </c>
      <c r="L290" s="41" t="s">
        <v>3122</v>
      </c>
      <c r="M290" s="61" t="s">
        <v>1005</v>
      </c>
      <c r="N290" s="6" t="s">
        <v>5089</v>
      </c>
      <c r="O290" s="6" t="s">
        <v>5090</v>
      </c>
      <c r="P290" s="61">
        <v>19999</v>
      </c>
      <c r="Q290" s="6" t="s">
        <v>149</v>
      </c>
      <c r="R290" s="50" t="s">
        <v>4253</v>
      </c>
      <c r="S290" s="50" t="s">
        <v>4215</v>
      </c>
      <c r="T290" s="50" t="s">
        <v>3506</v>
      </c>
      <c r="U290" s="6" t="s">
        <v>168</v>
      </c>
      <c r="V290" s="6"/>
      <c r="W290" s="6"/>
      <c r="X290" s="6"/>
      <c r="Y290" s="6"/>
      <c r="Z290" s="6"/>
      <c r="AA290" s="6"/>
      <c r="AB290" s="6"/>
      <c r="AC290" s="6"/>
      <c r="AD290" s="6"/>
      <c r="AE290" s="6"/>
      <c r="AF290" s="6"/>
      <c r="AG290" s="6"/>
    </row>
    <row r="291" ht="15.5" spans="1:33">
      <c r="A291" s="6" t="s">
        <v>142</v>
      </c>
      <c r="B291" s="7">
        <v>46072</v>
      </c>
      <c r="C291" s="6" t="str">
        <f t="shared" si="5"/>
        <v>2026年2月</v>
      </c>
      <c r="D291" s="40" t="s">
        <v>40</v>
      </c>
      <c r="E291" s="6" t="s">
        <v>5091</v>
      </c>
      <c r="F291" s="6" t="s">
        <v>10</v>
      </c>
      <c r="G291" s="50" t="s">
        <v>2954</v>
      </c>
      <c r="H291" s="40"/>
      <c r="I291" s="50" t="s">
        <v>82</v>
      </c>
      <c r="J291" s="50" t="s">
        <v>4176</v>
      </c>
      <c r="K291" s="8" t="s">
        <v>1920</v>
      </c>
      <c r="L291" s="6" t="s">
        <v>1922</v>
      </c>
      <c r="M291" s="61" t="s">
        <v>1005</v>
      </c>
      <c r="N291" s="6" t="s">
        <v>5092</v>
      </c>
      <c r="O291" s="6" t="s">
        <v>5093</v>
      </c>
      <c r="P291" s="61">
        <v>481.65</v>
      </c>
      <c r="Q291" s="6" t="s">
        <v>139</v>
      </c>
      <c r="R291" s="50" t="s">
        <v>4319</v>
      </c>
      <c r="S291" s="50" t="s">
        <v>4215</v>
      </c>
      <c r="T291" s="50" t="s">
        <v>3557</v>
      </c>
      <c r="U291" s="6"/>
      <c r="V291" s="6"/>
      <c r="W291" s="6"/>
      <c r="X291" s="6"/>
      <c r="Y291" s="6"/>
      <c r="Z291" s="6"/>
      <c r="AA291" s="6"/>
      <c r="AB291" s="6"/>
      <c r="AC291" s="6"/>
      <c r="AD291" s="6"/>
      <c r="AE291" s="6"/>
      <c r="AF291" s="6"/>
      <c r="AG291" s="6"/>
    </row>
    <row r="292" ht="15.5" spans="1:33">
      <c r="A292" s="6" t="s">
        <v>78</v>
      </c>
      <c r="B292" s="7">
        <v>46069</v>
      </c>
      <c r="C292" s="6" t="str">
        <f t="shared" si="5"/>
        <v>2026年2月</v>
      </c>
      <c r="D292" s="40" t="s">
        <v>40</v>
      </c>
      <c r="E292" s="6" t="s">
        <v>5094</v>
      </c>
      <c r="F292" s="6" t="s">
        <v>10</v>
      </c>
      <c r="G292" s="50" t="s">
        <v>2954</v>
      </c>
      <c r="H292" s="40"/>
      <c r="I292" s="50" t="s">
        <v>82</v>
      </c>
      <c r="J292" s="50" t="s">
        <v>4190</v>
      </c>
      <c r="K292" s="8" t="s">
        <v>2109</v>
      </c>
      <c r="L292" s="41" t="s">
        <v>3122</v>
      </c>
      <c r="M292" s="61" t="s">
        <v>1005</v>
      </c>
      <c r="N292" s="6" t="s">
        <v>5095</v>
      </c>
      <c r="O292" s="6" t="s">
        <v>5096</v>
      </c>
      <c r="P292" s="61">
        <v>12000</v>
      </c>
      <c r="Q292" s="6" t="s">
        <v>149</v>
      </c>
      <c r="R292" s="50" t="s">
        <v>4319</v>
      </c>
      <c r="S292" s="50" t="s">
        <v>4215</v>
      </c>
      <c r="T292" s="50" t="s">
        <v>3506</v>
      </c>
      <c r="U292" s="6" t="s">
        <v>168</v>
      </c>
      <c r="V292" s="6"/>
      <c r="W292" s="6"/>
      <c r="X292" s="6"/>
      <c r="Y292" s="6"/>
      <c r="Z292" s="6"/>
      <c r="AA292" s="6"/>
      <c r="AB292" s="6"/>
      <c r="AC292" s="6"/>
      <c r="AD292" s="6"/>
      <c r="AE292" s="6"/>
      <c r="AF292" s="6"/>
      <c r="AG292" s="6"/>
    </row>
    <row r="293" ht="15.5" spans="1:33">
      <c r="A293" s="6" t="s">
        <v>78</v>
      </c>
      <c r="B293" s="7">
        <v>46070</v>
      </c>
      <c r="C293" s="6" t="str">
        <f t="shared" si="5"/>
        <v>2026年2月</v>
      </c>
      <c r="D293" s="40" t="s">
        <v>40</v>
      </c>
      <c r="E293" s="6" t="s">
        <v>5097</v>
      </c>
      <c r="F293" s="6" t="s">
        <v>10</v>
      </c>
      <c r="G293" s="50" t="s">
        <v>4169</v>
      </c>
      <c r="H293" s="40"/>
      <c r="I293" s="50" t="s">
        <v>82</v>
      </c>
      <c r="J293" s="50" t="s">
        <v>4176</v>
      </c>
      <c r="K293" s="8" t="s">
        <v>5098</v>
      </c>
      <c r="L293" s="6" t="s">
        <v>5099</v>
      </c>
      <c r="M293" s="61" t="s">
        <v>3749</v>
      </c>
      <c r="N293" s="6" t="s">
        <v>5100</v>
      </c>
      <c r="O293" s="6" t="s">
        <v>1016</v>
      </c>
      <c r="P293" s="61">
        <v>50</v>
      </c>
      <c r="Q293" s="6" t="s">
        <v>149</v>
      </c>
      <c r="R293" s="50" t="s">
        <v>4319</v>
      </c>
      <c r="S293" s="50" t="s">
        <v>4215</v>
      </c>
      <c r="T293" s="50" t="s">
        <v>3506</v>
      </c>
      <c r="U293" s="6" t="s">
        <v>97</v>
      </c>
      <c r="V293" s="6"/>
      <c r="W293" s="6"/>
      <c r="X293" s="6"/>
      <c r="Y293" s="6"/>
      <c r="Z293" s="6"/>
      <c r="AA293" s="6"/>
      <c r="AB293" s="6"/>
      <c r="AC293" s="6"/>
      <c r="AD293" s="6"/>
      <c r="AE293" s="6"/>
      <c r="AF293" s="6"/>
      <c r="AG293" s="6"/>
    </row>
    <row r="294" ht="15.5" spans="1:33">
      <c r="A294" s="6" t="s">
        <v>78</v>
      </c>
      <c r="B294" s="7">
        <v>46070</v>
      </c>
      <c r="C294" s="6" t="str">
        <f t="shared" si="5"/>
        <v>2026年2月</v>
      </c>
      <c r="D294" s="40" t="s">
        <v>40</v>
      </c>
      <c r="E294" s="6" t="s">
        <v>5101</v>
      </c>
      <c r="F294" s="6" t="s">
        <v>10</v>
      </c>
      <c r="G294" s="50" t="s">
        <v>4169</v>
      </c>
      <c r="H294" s="40"/>
      <c r="I294" s="50" t="s">
        <v>82</v>
      </c>
      <c r="J294" s="50" t="s">
        <v>4176</v>
      </c>
      <c r="K294" s="8" t="s">
        <v>5098</v>
      </c>
      <c r="L294" s="6" t="s">
        <v>5099</v>
      </c>
      <c r="M294" s="61" t="s">
        <v>3749</v>
      </c>
      <c r="N294" s="6" t="s">
        <v>5102</v>
      </c>
      <c r="O294" s="6" t="s">
        <v>1016</v>
      </c>
      <c r="P294" s="61">
        <v>50</v>
      </c>
      <c r="Q294" s="6" t="s">
        <v>149</v>
      </c>
      <c r="R294" s="50" t="s">
        <v>4319</v>
      </c>
      <c r="S294" s="50" t="s">
        <v>4215</v>
      </c>
      <c r="T294" s="50" t="s">
        <v>3506</v>
      </c>
      <c r="U294" s="6" t="s">
        <v>97</v>
      </c>
      <c r="V294" s="6"/>
      <c r="W294" s="6"/>
      <c r="X294" s="6"/>
      <c r="Y294" s="6"/>
      <c r="Z294" s="6"/>
      <c r="AA294" s="6"/>
      <c r="AB294" s="6"/>
      <c r="AC294" s="6"/>
      <c r="AD294" s="6"/>
      <c r="AE294" s="6"/>
      <c r="AF294" s="6"/>
      <c r="AG294" s="6"/>
    </row>
    <row r="295" ht="15.5" spans="1:33">
      <c r="A295" s="6" t="s">
        <v>78</v>
      </c>
      <c r="B295" s="7">
        <v>46070</v>
      </c>
      <c r="C295" s="6" t="str">
        <f t="shared" si="5"/>
        <v>2026年2月</v>
      </c>
      <c r="D295" s="40" t="s">
        <v>40</v>
      </c>
      <c r="E295" s="6" t="s">
        <v>5103</v>
      </c>
      <c r="F295" s="6" t="s">
        <v>10</v>
      </c>
      <c r="G295" s="50" t="s">
        <v>4169</v>
      </c>
      <c r="H295" s="40"/>
      <c r="I295" s="50" t="s">
        <v>82</v>
      </c>
      <c r="J295" s="50" t="s">
        <v>4176</v>
      </c>
      <c r="K295" s="8" t="s">
        <v>5098</v>
      </c>
      <c r="L295" s="6" t="s">
        <v>5099</v>
      </c>
      <c r="M295" s="61" t="s">
        <v>3749</v>
      </c>
      <c r="N295" s="6" t="s">
        <v>5104</v>
      </c>
      <c r="O295" s="6" t="s">
        <v>1016</v>
      </c>
      <c r="P295" s="61">
        <v>48</v>
      </c>
      <c r="Q295" s="6" t="s">
        <v>149</v>
      </c>
      <c r="R295" s="50" t="s">
        <v>4319</v>
      </c>
      <c r="S295" s="50" t="s">
        <v>4215</v>
      </c>
      <c r="T295" s="50" t="s">
        <v>3506</v>
      </c>
      <c r="U295" s="6" t="s">
        <v>97</v>
      </c>
      <c r="V295" s="6"/>
      <c r="W295" s="6"/>
      <c r="X295" s="6"/>
      <c r="Y295" s="6"/>
      <c r="Z295" s="6"/>
      <c r="AA295" s="6"/>
      <c r="AB295" s="6"/>
      <c r="AC295" s="6"/>
      <c r="AD295" s="6"/>
      <c r="AE295" s="6"/>
      <c r="AF295" s="6"/>
      <c r="AG295" s="6"/>
    </row>
    <row r="296" ht="15.5" spans="1:33">
      <c r="A296" s="6" t="s">
        <v>78</v>
      </c>
      <c r="B296" s="7">
        <v>46070</v>
      </c>
      <c r="C296" s="6" t="str">
        <f t="shared" si="5"/>
        <v>2026年2月</v>
      </c>
      <c r="D296" s="40" t="s">
        <v>40</v>
      </c>
      <c r="E296" s="6" t="s">
        <v>5105</v>
      </c>
      <c r="F296" s="6" t="s">
        <v>10</v>
      </c>
      <c r="G296" s="50" t="s">
        <v>4169</v>
      </c>
      <c r="H296" s="40"/>
      <c r="I296" s="50" t="s">
        <v>82</v>
      </c>
      <c r="J296" s="50" t="s">
        <v>4176</v>
      </c>
      <c r="K296" s="8" t="s">
        <v>5098</v>
      </c>
      <c r="L296" s="6" t="s">
        <v>5099</v>
      </c>
      <c r="M296" s="61" t="s">
        <v>3749</v>
      </c>
      <c r="N296" s="6" t="s">
        <v>5106</v>
      </c>
      <c r="O296" s="6" t="s">
        <v>1016</v>
      </c>
      <c r="P296" s="61">
        <v>50</v>
      </c>
      <c r="Q296" s="6" t="s">
        <v>149</v>
      </c>
      <c r="R296" s="50" t="s">
        <v>4319</v>
      </c>
      <c r="S296" s="50" t="s">
        <v>4215</v>
      </c>
      <c r="T296" s="50" t="s">
        <v>3506</v>
      </c>
      <c r="U296" s="6" t="s">
        <v>97</v>
      </c>
      <c r="V296" s="6"/>
      <c r="W296" s="6"/>
      <c r="X296" s="6"/>
      <c r="Y296" s="6"/>
      <c r="Z296" s="6"/>
      <c r="AA296" s="6"/>
      <c r="AB296" s="6"/>
      <c r="AC296" s="6"/>
      <c r="AD296" s="6"/>
      <c r="AE296" s="6"/>
      <c r="AF296" s="6"/>
      <c r="AG296" s="6"/>
    </row>
    <row r="297" ht="42" spans="1:33">
      <c r="A297" s="6" t="s">
        <v>142</v>
      </c>
      <c r="B297" s="7">
        <v>46077</v>
      </c>
      <c r="C297" s="6" t="str">
        <f t="shared" si="5"/>
        <v>2026年2月</v>
      </c>
      <c r="D297" s="40" t="s">
        <v>40</v>
      </c>
      <c r="E297" s="41" t="s">
        <v>5107</v>
      </c>
      <c r="F297" s="6" t="s">
        <v>11</v>
      </c>
      <c r="G297" s="50" t="s">
        <v>4169</v>
      </c>
      <c r="H297" s="40"/>
      <c r="I297" s="50" t="s">
        <v>290</v>
      </c>
      <c r="K297" s="8" t="s">
        <v>5108</v>
      </c>
      <c r="L297" s="6" t="s">
        <v>5109</v>
      </c>
      <c r="M297" s="61"/>
      <c r="N297" s="6" t="s">
        <v>5110</v>
      </c>
      <c r="O297" s="6" t="s">
        <v>5111</v>
      </c>
      <c r="P297" s="61">
        <v>1471.25</v>
      </c>
      <c r="Q297" s="6" t="s">
        <v>149</v>
      </c>
      <c r="U297" s="6"/>
      <c r="V297" s="6"/>
      <c r="W297" s="6"/>
      <c r="X297" s="6"/>
      <c r="Y297" s="6"/>
      <c r="Z297" s="6"/>
      <c r="AA297" s="6"/>
      <c r="AB297" s="6"/>
      <c r="AC297" s="6"/>
      <c r="AD297" s="6"/>
      <c r="AE297" s="6"/>
      <c r="AF297" s="6"/>
      <c r="AG297" s="6"/>
    </row>
    <row r="298" ht="28" spans="1:33">
      <c r="A298" s="6" t="s">
        <v>142</v>
      </c>
      <c r="B298" s="7">
        <v>46073</v>
      </c>
      <c r="C298" s="6" t="str">
        <f t="shared" si="5"/>
        <v>2026年2月</v>
      </c>
      <c r="D298" s="40" t="s">
        <v>40</v>
      </c>
      <c r="E298" s="41" t="s">
        <v>5112</v>
      </c>
      <c r="F298" s="6" t="s">
        <v>10</v>
      </c>
      <c r="G298" s="50" t="s">
        <v>4169</v>
      </c>
      <c r="H298" s="40"/>
      <c r="I298" s="50" t="s">
        <v>82</v>
      </c>
      <c r="J298" s="50" t="s">
        <v>4176</v>
      </c>
      <c r="K298" s="8" t="s">
        <v>1526</v>
      </c>
      <c r="L298" s="6" t="s">
        <v>1528</v>
      </c>
      <c r="M298" s="61" t="s">
        <v>1005</v>
      </c>
      <c r="N298" s="6" t="s">
        <v>5113</v>
      </c>
      <c r="O298" s="6" t="s">
        <v>1714</v>
      </c>
      <c r="P298" s="61">
        <v>100</v>
      </c>
      <c r="Q298" s="6" t="s">
        <v>139</v>
      </c>
      <c r="R298" s="50" t="s">
        <v>4253</v>
      </c>
      <c r="S298" s="50" t="s">
        <v>4215</v>
      </c>
      <c r="T298" s="50" t="s">
        <v>3506</v>
      </c>
      <c r="U298" s="6" t="s">
        <v>5114</v>
      </c>
      <c r="V298" s="6"/>
      <c r="W298" s="7">
        <v>46092</v>
      </c>
      <c r="X298" s="6" t="s">
        <v>2237</v>
      </c>
      <c r="Y298" s="6"/>
      <c r="Z298" s="6"/>
      <c r="AA298" s="6"/>
      <c r="AB298" s="6"/>
      <c r="AC298" s="6"/>
      <c r="AD298" s="6"/>
      <c r="AE298" s="6"/>
      <c r="AF298" s="6"/>
      <c r="AG298" s="6"/>
    </row>
    <row r="299" ht="15.5" spans="1:33">
      <c r="A299" s="6" t="s">
        <v>78</v>
      </c>
      <c r="B299" s="7">
        <v>46080</v>
      </c>
      <c r="C299" s="6" t="str">
        <f t="shared" si="5"/>
        <v>2026年2月</v>
      </c>
      <c r="D299" s="40" t="s">
        <v>40</v>
      </c>
      <c r="E299" s="6" t="s">
        <v>5115</v>
      </c>
      <c r="F299" s="6" t="s">
        <v>10</v>
      </c>
      <c r="G299" s="50" t="s">
        <v>2954</v>
      </c>
      <c r="H299" s="40"/>
      <c r="I299" s="50" t="s">
        <v>82</v>
      </c>
      <c r="J299" s="50" t="s">
        <v>4190</v>
      </c>
      <c r="K299" s="8" t="s">
        <v>2109</v>
      </c>
      <c r="L299" s="6" t="s">
        <v>3122</v>
      </c>
      <c r="M299" s="61" t="s">
        <v>1005</v>
      </c>
      <c r="N299" s="6" t="s">
        <v>5116</v>
      </c>
      <c r="O299" s="6" t="s">
        <v>5117</v>
      </c>
      <c r="P299" s="61">
        <v>49970</v>
      </c>
      <c r="Q299" s="6" t="s">
        <v>149</v>
      </c>
      <c r="R299" s="50" t="s">
        <v>4319</v>
      </c>
      <c r="S299" s="50" t="s">
        <v>4215</v>
      </c>
      <c r="T299" s="50" t="s">
        <v>3506</v>
      </c>
      <c r="U299" s="6" t="s">
        <v>168</v>
      </c>
      <c r="V299" s="6"/>
      <c r="W299" s="6"/>
      <c r="X299" s="6"/>
      <c r="Y299" s="6"/>
      <c r="Z299" s="6"/>
      <c r="AA299" s="6"/>
      <c r="AB299" s="6"/>
      <c r="AC299" s="6"/>
      <c r="AD299" s="6"/>
      <c r="AE299" s="6"/>
      <c r="AF299" s="6"/>
      <c r="AG299" s="6"/>
    </row>
    <row r="300" ht="15.5" spans="1:33">
      <c r="A300" s="6" t="s">
        <v>78</v>
      </c>
      <c r="B300" s="7">
        <v>46081</v>
      </c>
      <c r="C300" s="6" t="str">
        <f t="shared" si="5"/>
        <v>2026年2月</v>
      </c>
      <c r="D300" s="40" t="s">
        <v>40</v>
      </c>
      <c r="E300" s="6" t="s">
        <v>5118</v>
      </c>
      <c r="F300" s="6" t="s">
        <v>10</v>
      </c>
      <c r="G300" s="50" t="s">
        <v>4169</v>
      </c>
      <c r="H300" s="40"/>
      <c r="I300" s="50" t="s">
        <v>82</v>
      </c>
      <c r="J300" s="50" t="s">
        <v>4176</v>
      </c>
      <c r="K300" s="8" t="s">
        <v>5119</v>
      </c>
      <c r="L300" s="6" t="s">
        <v>5120</v>
      </c>
      <c r="M300" s="61" t="s">
        <v>1005</v>
      </c>
      <c r="N300" s="6" t="s">
        <v>5121</v>
      </c>
      <c r="O300" s="6" t="s">
        <v>5122</v>
      </c>
      <c r="P300" s="61">
        <v>133</v>
      </c>
      <c r="Q300" s="6" t="s">
        <v>139</v>
      </c>
      <c r="R300" s="50" t="s">
        <v>4253</v>
      </c>
      <c r="S300" s="50" t="s">
        <v>4215</v>
      </c>
      <c r="T300" s="50" t="s">
        <v>3506</v>
      </c>
      <c r="U300" s="6" t="s">
        <v>161</v>
      </c>
      <c r="V300" s="6"/>
      <c r="W300" s="6"/>
      <c r="X300" s="6"/>
      <c r="Y300" s="6"/>
      <c r="Z300" s="6"/>
      <c r="AA300" s="6"/>
      <c r="AB300" s="6"/>
      <c r="AC300" s="6"/>
      <c r="AD300" s="6"/>
      <c r="AE300" s="6"/>
      <c r="AF300" s="6"/>
      <c r="AG300" s="6"/>
    </row>
    <row r="301" ht="28" spans="1:33">
      <c r="A301" s="6" t="s">
        <v>78</v>
      </c>
      <c r="B301" s="7">
        <v>46092</v>
      </c>
      <c r="C301" s="6" t="str">
        <f t="shared" si="5"/>
        <v>2026年3月</v>
      </c>
      <c r="D301" s="40" t="s">
        <v>40</v>
      </c>
      <c r="E301" s="41" t="s">
        <v>5123</v>
      </c>
      <c r="F301" s="6" t="s">
        <v>10</v>
      </c>
      <c r="G301" s="50" t="s">
        <v>4169</v>
      </c>
      <c r="H301" s="40"/>
      <c r="I301" s="50" t="s">
        <v>82</v>
      </c>
      <c r="J301" s="50" t="s">
        <v>4176</v>
      </c>
      <c r="K301" s="8" t="s">
        <v>5124</v>
      </c>
      <c r="L301" s="6" t="s">
        <v>5125</v>
      </c>
      <c r="M301" s="61" t="s">
        <v>1005</v>
      </c>
      <c r="N301" s="6" t="s">
        <v>5126</v>
      </c>
      <c r="O301" s="6" t="s">
        <v>5127</v>
      </c>
      <c r="P301" s="61">
        <v>85</v>
      </c>
      <c r="Q301" s="6" t="s">
        <v>139</v>
      </c>
      <c r="R301" s="50" t="s">
        <v>4253</v>
      </c>
      <c r="S301" s="50" t="s">
        <v>4215</v>
      </c>
      <c r="T301" s="50" t="s">
        <v>3506</v>
      </c>
      <c r="U301" s="6" t="s">
        <v>822</v>
      </c>
      <c r="V301" s="6"/>
      <c r="W301" s="6"/>
      <c r="X301" s="6"/>
      <c r="Y301" s="6"/>
      <c r="Z301" s="6"/>
      <c r="AA301" s="6"/>
      <c r="AB301" s="6"/>
      <c r="AC301" s="6"/>
      <c r="AD301" s="6"/>
      <c r="AE301" s="6"/>
      <c r="AF301" s="6"/>
      <c r="AG301" s="6"/>
    </row>
    <row r="302" ht="15.5" spans="1:33">
      <c r="A302" s="6" t="s">
        <v>142</v>
      </c>
      <c r="B302" s="7">
        <v>46098</v>
      </c>
      <c r="C302" s="6" t="str">
        <f t="shared" si="5"/>
        <v>2026年3月</v>
      </c>
      <c r="D302" s="40" t="s">
        <v>39</v>
      </c>
      <c r="E302" s="6" t="s">
        <v>5128</v>
      </c>
      <c r="F302" s="6" t="s">
        <v>11</v>
      </c>
      <c r="G302" s="50" t="s">
        <v>2954</v>
      </c>
      <c r="H302" s="40"/>
      <c r="I302" s="50" t="s">
        <v>82</v>
      </c>
      <c r="J302" s="50" t="s">
        <v>4190</v>
      </c>
      <c r="K302" s="8" t="s">
        <v>3139</v>
      </c>
      <c r="L302" s="6" t="s">
        <v>3140</v>
      </c>
      <c r="M302" s="61"/>
      <c r="N302" s="6" t="s">
        <v>5129</v>
      </c>
      <c r="O302" s="6" t="s">
        <v>5130</v>
      </c>
      <c r="P302" s="61">
        <v>8755</v>
      </c>
      <c r="Q302" s="6" t="s">
        <v>173</v>
      </c>
      <c r="R302" s="50" t="s">
        <v>4319</v>
      </c>
      <c r="S302" s="50" t="s">
        <v>4215</v>
      </c>
      <c r="T302" s="50" t="s">
        <v>3506</v>
      </c>
      <c r="U302" s="6" t="s">
        <v>1663</v>
      </c>
      <c r="V302" s="6" t="s">
        <v>5131</v>
      </c>
      <c r="W302" s="6"/>
      <c r="X302" s="6"/>
      <c r="Y302" s="6"/>
      <c r="Z302" s="6"/>
      <c r="AA302" s="6"/>
      <c r="AB302" s="6"/>
      <c r="AC302" s="6"/>
      <c r="AD302" s="6"/>
      <c r="AE302" s="6"/>
      <c r="AF302" s="6"/>
      <c r="AG302" s="6"/>
    </row>
    <row r="303" ht="15.5" spans="1:33">
      <c r="A303" s="6" t="s">
        <v>142</v>
      </c>
      <c r="B303" s="7">
        <v>46098</v>
      </c>
      <c r="C303" s="6" t="str">
        <f t="shared" si="5"/>
        <v>2026年3月</v>
      </c>
      <c r="D303" s="40" t="s">
        <v>40</v>
      </c>
      <c r="E303" s="6" t="s">
        <v>5132</v>
      </c>
      <c r="F303" s="6" t="s">
        <v>10</v>
      </c>
      <c r="G303" s="50" t="s">
        <v>4169</v>
      </c>
      <c r="H303" s="40"/>
      <c r="I303" s="50" t="s">
        <v>82</v>
      </c>
      <c r="J303" s="50" t="s">
        <v>4190</v>
      </c>
      <c r="K303" s="8" t="s">
        <v>2109</v>
      </c>
      <c r="L303" s="6" t="s">
        <v>3122</v>
      </c>
      <c r="M303" s="61" t="s">
        <v>1005</v>
      </c>
      <c r="N303" s="6" t="s">
        <v>5133</v>
      </c>
      <c r="O303" s="6" t="s">
        <v>5134</v>
      </c>
      <c r="P303" s="61">
        <v>2000</v>
      </c>
      <c r="Q303" s="6" t="s">
        <v>149</v>
      </c>
      <c r="R303" s="50" t="s">
        <v>4319</v>
      </c>
      <c r="S303" s="50" t="s">
        <v>4215</v>
      </c>
      <c r="T303" s="50" t="s">
        <v>3506</v>
      </c>
      <c r="U303" s="6" t="s">
        <v>168</v>
      </c>
      <c r="V303" s="6"/>
      <c r="W303" s="6"/>
      <c r="X303" s="6"/>
      <c r="Y303" s="6"/>
      <c r="Z303" s="6"/>
      <c r="AA303" s="6"/>
      <c r="AB303" s="6"/>
      <c r="AC303" s="6"/>
      <c r="AD303" s="6"/>
      <c r="AE303" s="6"/>
      <c r="AF303" s="6"/>
      <c r="AG303" s="6"/>
    </row>
    <row r="304" ht="18.75" customHeight="1" spans="1:33">
      <c r="A304" s="6" t="s">
        <v>872</v>
      </c>
      <c r="B304" s="7">
        <v>46112</v>
      </c>
      <c r="C304" s="6" t="str">
        <f t="shared" si="5"/>
        <v>2026年3月</v>
      </c>
      <c r="D304" s="40" t="s">
        <v>39</v>
      </c>
      <c r="E304" s="6" t="s">
        <v>5135</v>
      </c>
      <c r="F304" s="6" t="s">
        <v>12</v>
      </c>
      <c r="G304" s="50" t="s">
        <v>2954</v>
      </c>
      <c r="H304" s="40"/>
      <c r="I304" s="50" t="s">
        <v>82</v>
      </c>
      <c r="J304" s="50" t="s">
        <v>4190</v>
      </c>
      <c r="K304" s="8" t="s">
        <v>3273</v>
      </c>
      <c r="L304" s="6" t="s">
        <v>3274</v>
      </c>
      <c r="M304" s="61"/>
      <c r="N304" s="6" t="s">
        <v>5136</v>
      </c>
      <c r="O304" s="6" t="s">
        <v>5137</v>
      </c>
      <c r="P304" s="86">
        <v>19990</v>
      </c>
      <c r="Q304" s="6" t="s">
        <v>173</v>
      </c>
      <c r="R304" s="50" t="s">
        <v>4319</v>
      </c>
      <c r="S304" s="50" t="s">
        <v>4215</v>
      </c>
      <c r="U304" s="6" t="s">
        <v>2436</v>
      </c>
      <c r="V304" s="6"/>
      <c r="W304" s="6"/>
      <c r="X304" s="6"/>
      <c r="Y304" s="6"/>
      <c r="Z304" s="6"/>
      <c r="AA304" s="6"/>
      <c r="AB304" s="6"/>
      <c r="AC304" s="6"/>
      <c r="AD304" s="6"/>
      <c r="AE304" s="6"/>
      <c r="AF304" s="6"/>
      <c r="AG304" s="6"/>
    </row>
    <row r="305" ht="15.5" spans="1:33">
      <c r="A305" s="6" t="s">
        <v>872</v>
      </c>
      <c r="B305" s="7">
        <v>46112</v>
      </c>
      <c r="C305" s="6" t="str">
        <f t="shared" si="5"/>
        <v>2026年3月</v>
      </c>
      <c r="D305" s="40" t="s">
        <v>39</v>
      </c>
      <c r="E305" s="6" t="s">
        <v>5135</v>
      </c>
      <c r="F305" s="6" t="s">
        <v>12</v>
      </c>
      <c r="G305" s="50" t="s">
        <v>2954</v>
      </c>
      <c r="H305" s="40"/>
      <c r="I305" s="50" t="s">
        <v>82</v>
      </c>
      <c r="J305" s="50" t="s">
        <v>4190</v>
      </c>
      <c r="K305" s="8" t="s">
        <v>3273</v>
      </c>
      <c r="L305" s="6" t="s">
        <v>3274</v>
      </c>
      <c r="M305" s="61"/>
      <c r="N305" s="6" t="s">
        <v>5138</v>
      </c>
      <c r="O305" s="6" t="s">
        <v>5137</v>
      </c>
      <c r="P305" s="86">
        <v>174990</v>
      </c>
      <c r="Q305" s="6" t="s">
        <v>173</v>
      </c>
      <c r="R305" s="50" t="s">
        <v>4319</v>
      </c>
      <c r="S305" s="50" t="s">
        <v>4215</v>
      </c>
      <c r="U305" s="6" t="s">
        <v>2436</v>
      </c>
      <c r="V305" s="6"/>
      <c r="W305" s="6"/>
      <c r="X305" s="6"/>
      <c r="Y305" s="6"/>
      <c r="Z305" s="6"/>
      <c r="AA305" s="6"/>
      <c r="AB305" s="6"/>
      <c r="AC305" s="6"/>
      <c r="AD305" s="6"/>
      <c r="AE305" s="6"/>
      <c r="AF305" s="6"/>
      <c r="AG305" s="6"/>
    </row>
    <row r="306" ht="15.5" spans="1:33">
      <c r="A306" s="6" t="s">
        <v>872</v>
      </c>
      <c r="B306" s="7">
        <v>46112</v>
      </c>
      <c r="C306" s="6" t="str">
        <f t="shared" si="5"/>
        <v>2026年3月</v>
      </c>
      <c r="D306" s="40" t="s">
        <v>39</v>
      </c>
      <c r="E306" s="6" t="s">
        <v>5135</v>
      </c>
      <c r="F306" s="6" t="s">
        <v>12</v>
      </c>
      <c r="G306" s="50" t="s">
        <v>2954</v>
      </c>
      <c r="H306" s="40"/>
      <c r="I306" s="50" t="s">
        <v>82</v>
      </c>
      <c r="J306" s="50" t="s">
        <v>4190</v>
      </c>
      <c r="K306" s="8" t="s">
        <v>3273</v>
      </c>
      <c r="L306" s="6" t="s">
        <v>3274</v>
      </c>
      <c r="M306" s="61"/>
      <c r="N306" s="6" t="s">
        <v>5139</v>
      </c>
      <c r="O306" s="6" t="s">
        <v>5137</v>
      </c>
      <c r="P306" s="86">
        <v>199990</v>
      </c>
      <c r="Q306" s="6" t="s">
        <v>173</v>
      </c>
      <c r="R306" s="50" t="s">
        <v>4319</v>
      </c>
      <c r="S306" s="50" t="s">
        <v>4215</v>
      </c>
      <c r="U306" s="6" t="s">
        <v>2436</v>
      </c>
      <c r="V306" s="6"/>
      <c r="W306" s="6"/>
      <c r="X306" s="6"/>
      <c r="Y306" s="6"/>
      <c r="Z306" s="6"/>
      <c r="AA306" s="6"/>
      <c r="AB306" s="6"/>
      <c r="AC306" s="6"/>
      <c r="AD306" s="6"/>
      <c r="AE306" s="6"/>
      <c r="AF306" s="6"/>
      <c r="AG306" s="6"/>
    </row>
    <row r="307" ht="15.5" spans="1:33">
      <c r="A307" s="6" t="s">
        <v>872</v>
      </c>
      <c r="B307" s="7">
        <v>46112</v>
      </c>
      <c r="C307" s="6" t="str">
        <f t="shared" si="5"/>
        <v>2026年3月</v>
      </c>
      <c r="D307" s="40" t="s">
        <v>39</v>
      </c>
      <c r="E307" s="6" t="s">
        <v>5135</v>
      </c>
      <c r="F307" s="6" t="s">
        <v>12</v>
      </c>
      <c r="G307" s="50" t="s">
        <v>2954</v>
      </c>
      <c r="H307" s="40"/>
      <c r="I307" s="50" t="s">
        <v>82</v>
      </c>
      <c r="J307" s="50" t="s">
        <v>4190</v>
      </c>
      <c r="K307" s="8" t="s">
        <v>3273</v>
      </c>
      <c r="L307" s="6" t="s">
        <v>3274</v>
      </c>
      <c r="M307" s="90"/>
      <c r="N307" s="6" t="s">
        <v>5140</v>
      </c>
      <c r="O307" s="6" t="s">
        <v>5137</v>
      </c>
      <c r="P307" s="86">
        <v>199890</v>
      </c>
      <c r="Q307" s="6" t="s">
        <v>173</v>
      </c>
      <c r="R307" s="50" t="s">
        <v>4319</v>
      </c>
      <c r="S307" s="50" t="s">
        <v>4215</v>
      </c>
      <c r="U307" s="6" t="s">
        <v>2436</v>
      </c>
      <c r="V307" s="6"/>
      <c r="W307" s="6"/>
      <c r="X307" s="6"/>
      <c r="Y307" s="6"/>
      <c r="Z307" s="6"/>
      <c r="AA307" s="6"/>
      <c r="AB307" s="6"/>
      <c r="AC307" s="6"/>
      <c r="AD307" s="6"/>
      <c r="AE307" s="6"/>
      <c r="AF307" s="6"/>
      <c r="AG307" s="6"/>
    </row>
    <row r="308" ht="15.5" spans="1:33">
      <c r="A308" s="6" t="s">
        <v>872</v>
      </c>
      <c r="B308" s="7">
        <v>46112</v>
      </c>
      <c r="C308" s="6" t="str">
        <f t="shared" si="5"/>
        <v>2026年3月</v>
      </c>
      <c r="D308" s="40" t="s">
        <v>39</v>
      </c>
      <c r="E308" s="6" t="s">
        <v>5135</v>
      </c>
      <c r="F308" s="6" t="s">
        <v>12</v>
      </c>
      <c r="G308" s="50" t="s">
        <v>2954</v>
      </c>
      <c r="H308" s="40"/>
      <c r="I308" s="50" t="s">
        <v>82</v>
      </c>
      <c r="J308" s="50" t="s">
        <v>4190</v>
      </c>
      <c r="K308" s="8" t="s">
        <v>3273</v>
      </c>
      <c r="L308" s="6" t="s">
        <v>3274</v>
      </c>
      <c r="M308" s="61"/>
      <c r="N308" s="6" t="s">
        <v>5141</v>
      </c>
      <c r="O308" s="6" t="s">
        <v>5137</v>
      </c>
      <c r="P308" s="86">
        <v>287990</v>
      </c>
      <c r="Q308" s="6" t="s">
        <v>173</v>
      </c>
      <c r="R308" s="50" t="s">
        <v>4319</v>
      </c>
      <c r="S308" s="50" t="s">
        <v>4215</v>
      </c>
      <c r="U308" s="6" t="s">
        <v>2436</v>
      </c>
      <c r="V308" s="6"/>
      <c r="W308" s="6"/>
      <c r="X308" s="6"/>
      <c r="Y308" s="6"/>
      <c r="Z308" s="6"/>
      <c r="AA308" s="6"/>
      <c r="AB308" s="6"/>
      <c r="AC308" s="6"/>
      <c r="AD308" s="6"/>
      <c r="AE308" s="6"/>
      <c r="AF308" s="6"/>
      <c r="AG308" s="6"/>
    </row>
    <row r="309" ht="15.5" spans="1:33">
      <c r="A309" s="6" t="s">
        <v>872</v>
      </c>
      <c r="B309" s="7">
        <v>46112</v>
      </c>
      <c r="C309" s="6" t="str">
        <f t="shared" si="5"/>
        <v>2026年3月</v>
      </c>
      <c r="D309" s="40" t="s">
        <v>39</v>
      </c>
      <c r="E309" s="6" t="s">
        <v>5135</v>
      </c>
      <c r="F309" s="6" t="s">
        <v>12</v>
      </c>
      <c r="G309" s="50" t="s">
        <v>2954</v>
      </c>
      <c r="H309" s="40"/>
      <c r="I309" s="50" t="s">
        <v>82</v>
      </c>
      <c r="J309" s="50" t="s">
        <v>4190</v>
      </c>
      <c r="K309" s="8" t="s">
        <v>3273</v>
      </c>
      <c r="L309" s="6" t="s">
        <v>3274</v>
      </c>
      <c r="M309" s="61"/>
      <c r="N309" s="6" t="s">
        <v>5142</v>
      </c>
      <c r="O309" s="6" t="s">
        <v>5137</v>
      </c>
      <c r="P309" s="86">
        <v>277990</v>
      </c>
      <c r="Q309" s="6" t="s">
        <v>173</v>
      </c>
      <c r="R309" s="50" t="s">
        <v>4319</v>
      </c>
      <c r="S309" s="50" t="s">
        <v>4215</v>
      </c>
      <c r="U309" s="6" t="s">
        <v>2436</v>
      </c>
      <c r="V309" s="6"/>
      <c r="W309" s="6"/>
      <c r="X309" s="6"/>
      <c r="Y309" s="6"/>
      <c r="Z309" s="6"/>
      <c r="AA309" s="6"/>
      <c r="AB309" s="6"/>
      <c r="AC309" s="6"/>
      <c r="AD309" s="6"/>
      <c r="AE309" s="6"/>
      <c r="AF309" s="6"/>
      <c r="AG309" s="6"/>
    </row>
    <row r="310" ht="15.5" spans="1:33">
      <c r="A310" s="6" t="s">
        <v>872</v>
      </c>
      <c r="B310" s="7">
        <v>46112</v>
      </c>
      <c r="C310" s="6" t="str">
        <f t="shared" si="5"/>
        <v>2026年3月</v>
      </c>
      <c r="D310" s="40" t="s">
        <v>39</v>
      </c>
      <c r="E310" s="6" t="s">
        <v>5135</v>
      </c>
      <c r="F310" s="6" t="s">
        <v>12</v>
      </c>
      <c r="G310" s="50" t="s">
        <v>2954</v>
      </c>
      <c r="H310" s="40"/>
      <c r="I310" s="50" t="s">
        <v>82</v>
      </c>
      <c r="J310" s="50" t="s">
        <v>4190</v>
      </c>
      <c r="K310" s="8" t="s">
        <v>3273</v>
      </c>
      <c r="L310" s="6" t="s">
        <v>3274</v>
      </c>
      <c r="M310" s="61"/>
      <c r="N310" s="6" t="s">
        <v>5143</v>
      </c>
      <c r="O310" s="6" t="s">
        <v>5137</v>
      </c>
      <c r="P310" s="86">
        <v>186990</v>
      </c>
      <c r="Q310" s="6" t="s">
        <v>173</v>
      </c>
      <c r="R310" s="50" t="s">
        <v>4319</v>
      </c>
      <c r="S310" s="50" t="s">
        <v>4215</v>
      </c>
      <c r="U310" s="6" t="s">
        <v>2436</v>
      </c>
      <c r="V310" s="6"/>
      <c r="W310" s="6"/>
      <c r="X310" s="6"/>
      <c r="Y310" s="6"/>
      <c r="Z310" s="6"/>
      <c r="AA310" s="6"/>
      <c r="AB310" s="6"/>
      <c r="AC310" s="6"/>
      <c r="AD310" s="6"/>
      <c r="AE310" s="6"/>
      <c r="AF310" s="6"/>
      <c r="AG310" s="6"/>
    </row>
    <row r="311" ht="15.5" spans="1:33">
      <c r="A311" s="6" t="s">
        <v>872</v>
      </c>
      <c r="B311" s="7">
        <v>46112</v>
      </c>
      <c r="C311" s="6" t="str">
        <f t="shared" si="5"/>
        <v>2026年3月</v>
      </c>
      <c r="D311" s="40" t="s">
        <v>39</v>
      </c>
      <c r="E311" s="6" t="s">
        <v>5135</v>
      </c>
      <c r="F311" s="6" t="s">
        <v>12</v>
      </c>
      <c r="G311" s="50" t="s">
        <v>2954</v>
      </c>
      <c r="H311" s="40"/>
      <c r="I311" s="50" t="s">
        <v>82</v>
      </c>
      <c r="J311" s="50" t="s">
        <v>4190</v>
      </c>
      <c r="K311" s="8" t="s">
        <v>3273</v>
      </c>
      <c r="L311" s="6" t="s">
        <v>3274</v>
      </c>
      <c r="M311" s="61"/>
      <c r="N311" s="6" t="s">
        <v>5144</v>
      </c>
      <c r="O311" s="6" t="s">
        <v>5137</v>
      </c>
      <c r="P311" s="86">
        <v>191990</v>
      </c>
      <c r="Q311" s="6" t="s">
        <v>173</v>
      </c>
      <c r="R311" s="50" t="s">
        <v>4319</v>
      </c>
      <c r="S311" s="50" t="s">
        <v>4215</v>
      </c>
      <c r="U311" s="6" t="s">
        <v>2436</v>
      </c>
      <c r="V311" s="6"/>
      <c r="W311" s="6"/>
      <c r="X311" s="6"/>
      <c r="Y311" s="6"/>
      <c r="Z311" s="6"/>
      <c r="AA311" s="6"/>
      <c r="AB311" s="6"/>
      <c r="AC311" s="6"/>
      <c r="AD311" s="6"/>
      <c r="AE311" s="6"/>
      <c r="AF311" s="6"/>
      <c r="AG311" s="6"/>
    </row>
    <row r="312" ht="15.5" spans="1:33">
      <c r="A312" s="6" t="s">
        <v>872</v>
      </c>
      <c r="B312" s="7">
        <v>46112</v>
      </c>
      <c r="C312" s="6" t="str">
        <f t="shared" si="5"/>
        <v>2026年3月</v>
      </c>
      <c r="D312" s="40" t="s">
        <v>39</v>
      </c>
      <c r="E312" s="6" t="s">
        <v>5135</v>
      </c>
      <c r="F312" s="6" t="s">
        <v>12</v>
      </c>
      <c r="G312" s="50" t="s">
        <v>2954</v>
      </c>
      <c r="H312" s="40"/>
      <c r="I312" s="50" t="s">
        <v>82</v>
      </c>
      <c r="J312" s="50" t="s">
        <v>4190</v>
      </c>
      <c r="K312" s="8" t="s">
        <v>3273</v>
      </c>
      <c r="L312" s="6" t="s">
        <v>3274</v>
      </c>
      <c r="M312" s="61"/>
      <c r="N312" s="6" t="s">
        <v>5145</v>
      </c>
      <c r="O312" s="6" t="s">
        <v>5137</v>
      </c>
      <c r="P312" s="86">
        <v>192990</v>
      </c>
      <c r="Q312" s="6" t="s">
        <v>173</v>
      </c>
      <c r="R312" s="50" t="s">
        <v>4319</v>
      </c>
      <c r="S312" s="50" t="s">
        <v>4215</v>
      </c>
      <c r="U312" s="6" t="s">
        <v>2436</v>
      </c>
      <c r="V312" s="6"/>
      <c r="W312" s="6"/>
      <c r="X312" s="6"/>
      <c r="Y312" s="6"/>
      <c r="Z312" s="6"/>
      <c r="AA312" s="6"/>
      <c r="AB312" s="6"/>
      <c r="AC312" s="6"/>
      <c r="AD312" s="6"/>
      <c r="AE312" s="6"/>
      <c r="AF312" s="6"/>
      <c r="AG312" s="6"/>
    </row>
    <row r="313" ht="15.5" spans="1:33">
      <c r="A313" s="6" t="s">
        <v>872</v>
      </c>
      <c r="B313" s="7">
        <v>46112</v>
      </c>
      <c r="C313" s="6" t="str">
        <f t="shared" si="5"/>
        <v>2026年3月</v>
      </c>
      <c r="D313" s="40" t="s">
        <v>39</v>
      </c>
      <c r="E313" s="6" t="s">
        <v>5135</v>
      </c>
      <c r="F313" s="6" t="s">
        <v>12</v>
      </c>
      <c r="G313" s="50" t="s">
        <v>2954</v>
      </c>
      <c r="H313" s="40"/>
      <c r="I313" s="50" t="s">
        <v>82</v>
      </c>
      <c r="J313" s="50" t="s">
        <v>4190</v>
      </c>
      <c r="K313" s="8" t="s">
        <v>3273</v>
      </c>
      <c r="L313" s="6" t="s">
        <v>3274</v>
      </c>
      <c r="M313" s="61"/>
      <c r="N313" s="6" t="s">
        <v>5146</v>
      </c>
      <c r="O313" s="6" t="s">
        <v>5137</v>
      </c>
      <c r="P313" s="86">
        <v>179990</v>
      </c>
      <c r="Q313" s="6" t="s">
        <v>173</v>
      </c>
      <c r="R313" s="50" t="s">
        <v>4319</v>
      </c>
      <c r="S313" s="50" t="s">
        <v>4215</v>
      </c>
      <c r="U313" s="6" t="s">
        <v>2436</v>
      </c>
      <c r="V313" s="6"/>
      <c r="W313" s="6"/>
      <c r="X313" s="6"/>
      <c r="Y313" s="6"/>
      <c r="Z313" s="6"/>
      <c r="AA313" s="6"/>
      <c r="AB313" s="6"/>
      <c r="AC313" s="6"/>
      <c r="AD313" s="6"/>
      <c r="AE313" s="6"/>
      <c r="AF313" s="6"/>
      <c r="AG313" s="6"/>
    </row>
    <row r="314" ht="15.5" spans="1:33">
      <c r="A314" s="6" t="s">
        <v>872</v>
      </c>
      <c r="B314" s="7">
        <v>46112</v>
      </c>
      <c r="C314" s="6" t="str">
        <f t="shared" si="5"/>
        <v>2026年3月</v>
      </c>
      <c r="D314" s="40" t="s">
        <v>39</v>
      </c>
      <c r="E314" s="6" t="s">
        <v>5135</v>
      </c>
      <c r="F314" s="6" t="s">
        <v>12</v>
      </c>
      <c r="G314" s="50" t="s">
        <v>2954</v>
      </c>
      <c r="H314" s="40"/>
      <c r="I314" s="50" t="s">
        <v>82</v>
      </c>
      <c r="J314" s="50" t="s">
        <v>4190</v>
      </c>
      <c r="K314" s="8" t="s">
        <v>3273</v>
      </c>
      <c r="L314" s="6" t="s">
        <v>3274</v>
      </c>
      <c r="M314" s="61"/>
      <c r="N314" s="6" t="s">
        <v>5147</v>
      </c>
      <c r="O314" s="6" t="s">
        <v>5137</v>
      </c>
      <c r="P314" s="86">
        <v>194990</v>
      </c>
      <c r="Q314" s="6" t="s">
        <v>173</v>
      </c>
      <c r="R314" s="50" t="s">
        <v>4319</v>
      </c>
      <c r="S314" s="50" t="s">
        <v>4215</v>
      </c>
      <c r="U314" s="6" t="s">
        <v>2436</v>
      </c>
      <c r="V314" s="6"/>
      <c r="W314" s="6"/>
      <c r="X314" s="6"/>
      <c r="Y314" s="6"/>
      <c r="Z314" s="6"/>
      <c r="AA314" s="6"/>
      <c r="AB314" s="6"/>
      <c r="AC314" s="6"/>
      <c r="AD314" s="6"/>
      <c r="AE314" s="6"/>
      <c r="AF314" s="6"/>
      <c r="AG314" s="6"/>
    </row>
    <row r="315" ht="15.5" spans="1:33">
      <c r="A315" s="6" t="s">
        <v>872</v>
      </c>
      <c r="B315" s="7">
        <v>46112</v>
      </c>
      <c r="C315" s="6" t="str">
        <f t="shared" si="5"/>
        <v>2026年3月</v>
      </c>
      <c r="D315" s="40" t="s">
        <v>39</v>
      </c>
      <c r="E315" s="6" t="s">
        <v>5135</v>
      </c>
      <c r="F315" s="6" t="s">
        <v>12</v>
      </c>
      <c r="G315" s="50" t="s">
        <v>2954</v>
      </c>
      <c r="H315" s="40"/>
      <c r="I315" s="50" t="s">
        <v>82</v>
      </c>
      <c r="J315" s="50" t="s">
        <v>4190</v>
      </c>
      <c r="K315" s="8" t="s">
        <v>3273</v>
      </c>
      <c r="L315" s="6" t="s">
        <v>3274</v>
      </c>
      <c r="M315" s="61"/>
      <c r="N315" s="6" t="s">
        <v>5148</v>
      </c>
      <c r="O315" s="6" t="s">
        <v>5137</v>
      </c>
      <c r="P315" s="86">
        <v>189990</v>
      </c>
      <c r="Q315" s="6" t="s">
        <v>173</v>
      </c>
      <c r="R315" s="50" t="s">
        <v>4319</v>
      </c>
      <c r="S315" s="50" t="s">
        <v>4215</v>
      </c>
      <c r="U315" s="6" t="s">
        <v>2436</v>
      </c>
      <c r="V315" s="6"/>
      <c r="W315" s="6"/>
      <c r="X315" s="6"/>
      <c r="Y315" s="6"/>
      <c r="Z315" s="6"/>
      <c r="AA315" s="6"/>
      <c r="AB315" s="6"/>
      <c r="AC315" s="6"/>
      <c r="AD315" s="6"/>
      <c r="AE315" s="6"/>
      <c r="AF315" s="6"/>
      <c r="AG315" s="6"/>
    </row>
    <row r="316" ht="15.5" spans="1:33">
      <c r="A316" s="6" t="s">
        <v>872</v>
      </c>
      <c r="B316" s="7">
        <v>46112</v>
      </c>
      <c r="C316" s="6" t="str">
        <f t="shared" si="5"/>
        <v>2026年3月</v>
      </c>
      <c r="D316" s="40" t="s">
        <v>39</v>
      </c>
      <c r="E316" s="6" t="s">
        <v>5135</v>
      </c>
      <c r="F316" s="6" t="s">
        <v>12</v>
      </c>
      <c r="G316" s="50" t="s">
        <v>2954</v>
      </c>
      <c r="H316" s="40"/>
      <c r="I316" s="50" t="s">
        <v>82</v>
      </c>
      <c r="J316" s="50" t="s">
        <v>4190</v>
      </c>
      <c r="K316" s="8" t="s">
        <v>3273</v>
      </c>
      <c r="L316" s="6" t="s">
        <v>3274</v>
      </c>
      <c r="M316" s="91"/>
      <c r="N316" s="6" t="s">
        <v>5149</v>
      </c>
      <c r="O316" s="6" t="s">
        <v>5137</v>
      </c>
      <c r="P316" s="86">
        <v>189990</v>
      </c>
      <c r="Q316" s="6" t="s">
        <v>173</v>
      </c>
      <c r="R316" s="50" t="s">
        <v>4319</v>
      </c>
      <c r="S316" s="50" t="s">
        <v>4215</v>
      </c>
      <c r="U316" s="6" t="s">
        <v>2436</v>
      </c>
      <c r="V316" s="6"/>
      <c r="W316" s="6"/>
      <c r="X316" s="6"/>
      <c r="Y316" s="6"/>
      <c r="Z316" s="6"/>
      <c r="AA316" s="6"/>
      <c r="AB316" s="6"/>
      <c r="AC316" s="6"/>
      <c r="AD316" s="6"/>
      <c r="AE316" s="6"/>
      <c r="AF316" s="6"/>
      <c r="AG316" s="6"/>
    </row>
    <row r="317" ht="15.5" spans="1:33">
      <c r="A317" s="6" t="s">
        <v>872</v>
      </c>
      <c r="B317" s="7">
        <v>46112</v>
      </c>
      <c r="C317" s="6" t="str">
        <f t="shared" si="5"/>
        <v>2026年3月</v>
      </c>
      <c r="D317" s="40" t="s">
        <v>39</v>
      </c>
      <c r="E317" s="6" t="s">
        <v>5135</v>
      </c>
      <c r="F317" s="6" t="s">
        <v>12</v>
      </c>
      <c r="G317" s="50" t="s">
        <v>2954</v>
      </c>
      <c r="H317" s="40"/>
      <c r="I317" s="50" t="s">
        <v>82</v>
      </c>
      <c r="J317" s="50" t="s">
        <v>4190</v>
      </c>
      <c r="K317" s="8" t="s">
        <v>3273</v>
      </c>
      <c r="L317" s="6" t="s">
        <v>3274</v>
      </c>
      <c r="M317" s="61"/>
      <c r="N317" s="6" t="s">
        <v>5150</v>
      </c>
      <c r="O317" s="6" t="s">
        <v>5137</v>
      </c>
      <c r="P317" s="86">
        <v>195990</v>
      </c>
      <c r="Q317" s="6" t="s">
        <v>173</v>
      </c>
      <c r="R317" s="50" t="s">
        <v>4319</v>
      </c>
      <c r="S317" s="50" t="s">
        <v>4215</v>
      </c>
      <c r="U317" s="6" t="s">
        <v>2436</v>
      </c>
      <c r="V317" s="6"/>
      <c r="W317" s="6"/>
      <c r="X317" s="6"/>
      <c r="Y317" s="6"/>
      <c r="Z317" s="6"/>
      <c r="AA317" s="6"/>
      <c r="AB317" s="6"/>
      <c r="AC317" s="6"/>
      <c r="AD317" s="6"/>
      <c r="AE317" s="6"/>
      <c r="AF317" s="6"/>
      <c r="AG317" s="6"/>
    </row>
    <row r="318" ht="15.5" spans="1:33">
      <c r="A318" s="6" t="s">
        <v>872</v>
      </c>
      <c r="B318" s="7">
        <v>46112</v>
      </c>
      <c r="C318" s="6" t="str">
        <f t="shared" si="5"/>
        <v>2026年3月</v>
      </c>
      <c r="D318" s="40" t="s">
        <v>39</v>
      </c>
      <c r="E318" s="6" t="s">
        <v>5135</v>
      </c>
      <c r="F318" s="6" t="s">
        <v>12</v>
      </c>
      <c r="G318" s="50" t="s">
        <v>2954</v>
      </c>
      <c r="H318" s="40"/>
      <c r="I318" s="50" t="s">
        <v>82</v>
      </c>
      <c r="J318" s="50" t="s">
        <v>4190</v>
      </c>
      <c r="K318" s="8" t="s">
        <v>3273</v>
      </c>
      <c r="L318" s="6" t="s">
        <v>3274</v>
      </c>
      <c r="M318" s="61"/>
      <c r="N318" s="6" t="s">
        <v>5151</v>
      </c>
      <c r="O318" s="6" t="s">
        <v>5137</v>
      </c>
      <c r="P318" s="86">
        <v>104990</v>
      </c>
      <c r="Q318" s="6" t="s">
        <v>173</v>
      </c>
      <c r="R318" s="50" t="s">
        <v>4319</v>
      </c>
      <c r="S318" s="50" t="s">
        <v>4215</v>
      </c>
      <c r="U318" s="6" t="s">
        <v>2436</v>
      </c>
      <c r="V318" s="6"/>
      <c r="W318" s="6"/>
      <c r="X318" s="6"/>
      <c r="Y318" s="6"/>
      <c r="Z318" s="6"/>
      <c r="AA318" s="6"/>
      <c r="AB318" s="6"/>
      <c r="AC318" s="6"/>
      <c r="AD318" s="6"/>
      <c r="AE318" s="6"/>
      <c r="AF318" s="6"/>
      <c r="AG318" s="6"/>
    </row>
    <row r="319" ht="15.5" spans="1:33">
      <c r="A319" s="6" t="s">
        <v>872</v>
      </c>
      <c r="B319" s="7">
        <v>46112</v>
      </c>
      <c r="C319" s="6" t="str">
        <f t="shared" si="5"/>
        <v>2026年3月</v>
      </c>
      <c r="D319" s="40" t="s">
        <v>39</v>
      </c>
      <c r="E319" s="6" t="s">
        <v>5135</v>
      </c>
      <c r="F319" s="6" t="s">
        <v>12</v>
      </c>
      <c r="G319" s="50" t="s">
        <v>2954</v>
      </c>
      <c r="H319" s="40"/>
      <c r="I319" s="50" t="s">
        <v>82</v>
      </c>
      <c r="J319" s="50" t="s">
        <v>4190</v>
      </c>
      <c r="K319" s="8" t="s">
        <v>3273</v>
      </c>
      <c r="L319" s="6" t="s">
        <v>3274</v>
      </c>
      <c r="M319" s="61"/>
      <c r="N319" s="6" t="s">
        <v>5152</v>
      </c>
      <c r="O319" s="6" t="s">
        <v>5137</v>
      </c>
      <c r="P319" s="86">
        <v>197990</v>
      </c>
      <c r="Q319" s="6" t="s">
        <v>173</v>
      </c>
      <c r="R319" s="50" t="s">
        <v>4319</v>
      </c>
      <c r="S319" s="50" t="s">
        <v>4215</v>
      </c>
      <c r="U319" s="6" t="s">
        <v>2436</v>
      </c>
      <c r="V319" s="6"/>
      <c r="W319" s="6"/>
      <c r="X319" s="6"/>
      <c r="Y319" s="6"/>
      <c r="Z319" s="6"/>
      <c r="AA319" s="6"/>
      <c r="AB319" s="6"/>
      <c r="AC319" s="6"/>
      <c r="AD319" s="6"/>
      <c r="AE319" s="6"/>
      <c r="AF319" s="6"/>
      <c r="AG319" s="6"/>
    </row>
    <row r="320" ht="15.5" spans="1:33">
      <c r="A320" s="6" t="s">
        <v>872</v>
      </c>
      <c r="B320" s="7">
        <v>46112</v>
      </c>
      <c r="C320" s="6" t="str">
        <f t="shared" si="5"/>
        <v>2026年3月</v>
      </c>
      <c r="D320" s="40" t="s">
        <v>39</v>
      </c>
      <c r="E320" s="6" t="s">
        <v>5135</v>
      </c>
      <c r="F320" s="6" t="s">
        <v>12</v>
      </c>
      <c r="G320" s="50" t="s">
        <v>2954</v>
      </c>
      <c r="H320" s="40"/>
      <c r="I320" s="50" t="s">
        <v>82</v>
      </c>
      <c r="J320" s="50" t="s">
        <v>4190</v>
      </c>
      <c r="K320" s="8" t="s">
        <v>3273</v>
      </c>
      <c r="L320" s="6" t="s">
        <v>3274</v>
      </c>
      <c r="M320" s="61"/>
      <c r="N320" s="6" t="s">
        <v>5153</v>
      </c>
      <c r="O320" s="6" t="s">
        <v>5137</v>
      </c>
      <c r="P320" s="86">
        <v>196990</v>
      </c>
      <c r="Q320" s="6" t="s">
        <v>173</v>
      </c>
      <c r="R320" s="50" t="s">
        <v>4319</v>
      </c>
      <c r="S320" s="50" t="s">
        <v>4215</v>
      </c>
      <c r="U320" s="6" t="s">
        <v>2436</v>
      </c>
      <c r="V320" s="6"/>
      <c r="W320" s="6"/>
      <c r="X320" s="6"/>
      <c r="Y320" s="6"/>
      <c r="Z320" s="6"/>
      <c r="AA320" s="6"/>
      <c r="AB320" s="6"/>
      <c r="AC320" s="6"/>
      <c r="AD320" s="6"/>
      <c r="AE320" s="6"/>
      <c r="AF320" s="6"/>
      <c r="AG320" s="6"/>
    </row>
    <row r="321" ht="15.5" spans="1:33">
      <c r="A321" s="6" t="s">
        <v>872</v>
      </c>
      <c r="B321" s="7">
        <v>46112</v>
      </c>
      <c r="C321" s="6" t="str">
        <f t="shared" si="5"/>
        <v>2026年3月</v>
      </c>
      <c r="D321" s="40" t="s">
        <v>39</v>
      </c>
      <c r="E321" s="6" t="s">
        <v>5135</v>
      </c>
      <c r="F321" s="6" t="s">
        <v>12</v>
      </c>
      <c r="G321" s="50" t="s">
        <v>2954</v>
      </c>
      <c r="H321" s="40"/>
      <c r="I321" s="50" t="s">
        <v>82</v>
      </c>
      <c r="J321" s="50" t="s">
        <v>4190</v>
      </c>
      <c r="K321" s="8" t="s">
        <v>3273</v>
      </c>
      <c r="L321" s="6" t="s">
        <v>3274</v>
      </c>
      <c r="M321" s="61"/>
      <c r="N321" s="6" t="s">
        <v>5154</v>
      </c>
      <c r="O321" s="6" t="s">
        <v>5137</v>
      </c>
      <c r="P321" s="61">
        <v>196990</v>
      </c>
      <c r="Q321" s="6" t="s">
        <v>173</v>
      </c>
      <c r="R321" s="50" t="s">
        <v>4319</v>
      </c>
      <c r="S321" s="50" t="s">
        <v>4215</v>
      </c>
      <c r="U321" s="6" t="s">
        <v>2436</v>
      </c>
      <c r="V321" s="6"/>
      <c r="W321" s="6"/>
      <c r="X321" s="6"/>
      <c r="Y321" s="6"/>
      <c r="Z321" s="6"/>
      <c r="AA321" s="6"/>
      <c r="AB321" s="6"/>
      <c r="AC321" s="6"/>
      <c r="AD321" s="6"/>
      <c r="AE321" s="6"/>
      <c r="AF321" s="6"/>
      <c r="AG321" s="6"/>
    </row>
    <row r="322" ht="15.5" spans="1:33">
      <c r="A322" s="6" t="s">
        <v>872</v>
      </c>
      <c r="B322" s="7">
        <v>46118</v>
      </c>
      <c r="C322" s="6" t="str">
        <f t="shared" si="5"/>
        <v>2026年4月</v>
      </c>
      <c r="D322" s="40" t="s">
        <v>40</v>
      </c>
      <c r="E322" s="6" t="s">
        <v>5155</v>
      </c>
      <c r="F322" s="6" t="s">
        <v>11</v>
      </c>
      <c r="G322" s="50" t="s">
        <v>2954</v>
      </c>
      <c r="H322" s="40"/>
      <c r="I322" s="50" t="s">
        <v>82</v>
      </c>
      <c r="J322" s="50" t="s">
        <v>4176</v>
      </c>
      <c r="K322" s="8" t="s">
        <v>5156</v>
      </c>
      <c r="L322" s="6" t="s">
        <v>5157</v>
      </c>
      <c r="M322" s="61"/>
      <c r="N322" s="6" t="s">
        <v>5158</v>
      </c>
      <c r="O322" s="6" t="s">
        <v>5159</v>
      </c>
      <c r="P322" s="61">
        <v>4550.06</v>
      </c>
      <c r="Q322" s="6" t="s">
        <v>303</v>
      </c>
      <c r="R322" s="50" t="s">
        <v>4319</v>
      </c>
      <c r="S322" s="50" t="s">
        <v>4215</v>
      </c>
      <c r="T322" s="50" t="s">
        <v>3506</v>
      </c>
      <c r="U322" s="6" t="s">
        <v>817</v>
      </c>
      <c r="V322" s="6"/>
      <c r="W322" s="6"/>
      <c r="X322" s="6"/>
      <c r="Y322" s="6"/>
      <c r="Z322" s="6"/>
      <c r="AA322" s="6"/>
      <c r="AB322" s="6"/>
      <c r="AC322" s="6"/>
      <c r="AD322" s="6"/>
      <c r="AE322" s="6"/>
      <c r="AF322" s="6"/>
      <c r="AG322" s="6"/>
    </row>
    <row r="323" ht="15.5" spans="1:33">
      <c r="A323" s="6" t="s">
        <v>872</v>
      </c>
      <c r="B323" s="7">
        <v>46126</v>
      </c>
      <c r="C323" s="6" t="str">
        <f t="shared" si="5"/>
        <v>2026年4月</v>
      </c>
      <c r="D323" s="40" t="s">
        <v>39</v>
      </c>
      <c r="E323" s="6" t="s">
        <v>5160</v>
      </c>
      <c r="F323" s="6" t="s">
        <v>12</v>
      </c>
      <c r="G323" s="50" t="s">
        <v>2954</v>
      </c>
      <c r="H323" s="40" t="s">
        <v>4256</v>
      </c>
      <c r="I323" s="50" t="s">
        <v>82</v>
      </c>
      <c r="J323" s="50" t="s">
        <v>4176</v>
      </c>
      <c r="K323" s="8" t="s">
        <v>5161</v>
      </c>
      <c r="L323" s="6" t="s">
        <v>5162</v>
      </c>
      <c r="M323" s="61"/>
      <c r="N323" s="8" t="s">
        <v>5163</v>
      </c>
      <c r="O323" s="6" t="s">
        <v>5164</v>
      </c>
      <c r="P323" s="76">
        <v>36958.7</v>
      </c>
      <c r="Q323" s="6" t="s">
        <v>173</v>
      </c>
      <c r="R323" s="50" t="s">
        <v>4253</v>
      </c>
      <c r="S323" s="50" t="s">
        <v>4215</v>
      </c>
      <c r="U323" s="6" t="s">
        <v>5165</v>
      </c>
      <c r="V323" s="6"/>
      <c r="W323" s="6"/>
      <c r="X323" s="6"/>
      <c r="Y323" s="6"/>
      <c r="Z323" s="6"/>
      <c r="AA323" s="6"/>
      <c r="AB323" s="6"/>
      <c r="AC323" s="6"/>
      <c r="AD323" s="6"/>
      <c r="AE323" s="6"/>
      <c r="AF323" s="6"/>
      <c r="AG323" s="6"/>
    </row>
    <row r="324" ht="15.5" spans="1:33">
      <c r="A324" s="6" t="s">
        <v>872</v>
      </c>
      <c r="B324" s="7">
        <v>46134</v>
      </c>
      <c r="C324" s="6" t="str">
        <f t="shared" si="5"/>
        <v>2026年4月</v>
      </c>
      <c r="D324" s="40" t="s">
        <v>40</v>
      </c>
      <c r="E324" s="6" t="s">
        <v>5166</v>
      </c>
      <c r="F324" s="6" t="s">
        <v>10</v>
      </c>
      <c r="G324" s="50" t="s">
        <v>4169</v>
      </c>
      <c r="H324" s="40"/>
      <c r="I324" s="50" t="s">
        <v>82</v>
      </c>
      <c r="J324" s="50" t="s">
        <v>4176</v>
      </c>
      <c r="K324" s="8" t="s">
        <v>5167</v>
      </c>
      <c r="L324" s="6" t="s">
        <v>5168</v>
      </c>
      <c r="M324" s="61" t="s">
        <v>1808</v>
      </c>
      <c r="N324" s="6" t="s">
        <v>5169</v>
      </c>
      <c r="O324" s="6" t="s">
        <v>1023</v>
      </c>
      <c r="P324" s="61">
        <v>147.76</v>
      </c>
      <c r="Q324" s="6" t="s">
        <v>149</v>
      </c>
      <c r="R324" s="50" t="s">
        <v>4253</v>
      </c>
      <c r="S324" s="50" t="s">
        <v>4215</v>
      </c>
      <c r="T324" s="50" t="s">
        <v>3506</v>
      </c>
      <c r="U324" s="6" t="s">
        <v>1509</v>
      </c>
      <c r="V324" s="6"/>
      <c r="W324" s="6"/>
      <c r="X324" s="6"/>
      <c r="Y324" s="6"/>
      <c r="Z324" s="6"/>
      <c r="AA324" s="6"/>
      <c r="AB324" s="6"/>
      <c r="AC324" s="6"/>
      <c r="AD324" s="6"/>
      <c r="AE324" s="6"/>
      <c r="AF324" s="6"/>
      <c r="AG324" s="6"/>
    </row>
    <row r="325" ht="15.5" spans="1:33">
      <c r="A325" s="6" t="s">
        <v>872</v>
      </c>
      <c r="B325" s="7">
        <v>46134</v>
      </c>
      <c r="C325" s="6" t="str">
        <f t="shared" si="5"/>
        <v>2026年4月</v>
      </c>
      <c r="D325" s="40" t="s">
        <v>40</v>
      </c>
      <c r="E325" s="6" t="s">
        <v>5170</v>
      </c>
      <c r="F325" s="6" t="s">
        <v>10</v>
      </c>
      <c r="G325" s="50" t="s">
        <v>4169</v>
      </c>
      <c r="H325" s="40"/>
      <c r="I325" s="50" t="s">
        <v>82</v>
      </c>
      <c r="J325" s="50" t="s">
        <v>4176</v>
      </c>
      <c r="K325" s="8" t="s">
        <v>1075</v>
      </c>
      <c r="L325" s="6" t="s">
        <v>1076</v>
      </c>
      <c r="M325" s="61" t="s">
        <v>1808</v>
      </c>
      <c r="N325" s="6" t="s">
        <v>5171</v>
      </c>
      <c r="O325" s="6" t="s">
        <v>1023</v>
      </c>
      <c r="P325" s="61">
        <v>55.71</v>
      </c>
      <c r="Q325" s="6" t="s">
        <v>149</v>
      </c>
      <c r="R325" s="50" t="s">
        <v>4253</v>
      </c>
      <c r="S325" s="50" t="s">
        <v>4215</v>
      </c>
      <c r="T325" s="50" t="s">
        <v>3506</v>
      </c>
      <c r="U325" s="6" t="s">
        <v>1509</v>
      </c>
      <c r="V325" s="6"/>
      <c r="W325" s="6"/>
      <c r="X325" s="6"/>
      <c r="Y325" s="6"/>
      <c r="Z325" s="6"/>
      <c r="AA325" s="6"/>
      <c r="AB325" s="6"/>
      <c r="AC325" s="6"/>
      <c r="AD325" s="6"/>
      <c r="AE325" s="6"/>
      <c r="AF325" s="6"/>
      <c r="AG325" s="6"/>
    </row>
    <row r="326" ht="15.5" spans="1:33">
      <c r="A326" s="6" t="s">
        <v>872</v>
      </c>
      <c r="B326" s="7">
        <v>46140</v>
      </c>
      <c r="C326" s="6" t="str">
        <f t="shared" si="5"/>
        <v>2026年4月</v>
      </c>
      <c r="D326" s="40" t="s">
        <v>53</v>
      </c>
      <c r="E326" s="6" t="s">
        <v>5172</v>
      </c>
      <c r="F326" s="6" t="s">
        <v>11</v>
      </c>
      <c r="G326" s="50" t="s">
        <v>4169</v>
      </c>
      <c r="H326" s="40"/>
      <c r="I326" s="50" t="s">
        <v>82</v>
      </c>
      <c r="J326" s="50" t="s">
        <v>4176</v>
      </c>
      <c r="K326" s="8" t="s">
        <v>5173</v>
      </c>
      <c r="L326" s="6" t="s">
        <v>5174</v>
      </c>
      <c r="M326" s="61"/>
      <c r="N326" s="6" t="s">
        <v>5175</v>
      </c>
      <c r="O326" s="6" t="s">
        <v>5176</v>
      </c>
      <c r="P326" s="76">
        <v>9980</v>
      </c>
      <c r="Q326" s="6" t="s">
        <v>173</v>
      </c>
      <c r="S326" s="50" t="s">
        <v>4215</v>
      </c>
      <c r="T326" s="50" t="s">
        <v>3506</v>
      </c>
      <c r="U326" s="6"/>
      <c r="V326" s="6" t="s">
        <v>5177</v>
      </c>
      <c r="W326" s="6"/>
      <c r="X326" s="6"/>
      <c r="Y326" s="6"/>
      <c r="Z326" s="6"/>
      <c r="AA326" s="6"/>
      <c r="AB326" s="6"/>
      <c r="AC326" s="6"/>
      <c r="AD326" s="6"/>
      <c r="AE326" s="6"/>
      <c r="AF326" s="6"/>
      <c r="AG326" s="6"/>
    </row>
    <row r="327" ht="15.5" spans="1:33">
      <c r="A327" s="6" t="s">
        <v>78</v>
      </c>
      <c r="B327" s="7">
        <v>46141</v>
      </c>
      <c r="C327" s="6" t="str">
        <f t="shared" si="5"/>
        <v>2026年4月</v>
      </c>
      <c r="D327" s="40" t="s">
        <v>40</v>
      </c>
      <c r="E327" s="6" t="s">
        <v>5178</v>
      </c>
      <c r="F327" s="6" t="s">
        <v>10</v>
      </c>
      <c r="G327" s="50" t="s">
        <v>4169</v>
      </c>
      <c r="H327" s="40"/>
      <c r="I327" s="50" t="s">
        <v>82</v>
      </c>
      <c r="J327" s="50" t="s">
        <v>4176</v>
      </c>
      <c r="K327" s="8" t="s">
        <v>2180</v>
      </c>
      <c r="L327" s="6" t="s">
        <v>2182</v>
      </c>
      <c r="M327" s="61" t="s">
        <v>1808</v>
      </c>
      <c r="N327" s="6" t="s">
        <v>5179</v>
      </c>
      <c r="O327" s="6" t="s">
        <v>1023</v>
      </c>
      <c r="P327" s="61">
        <v>72.63</v>
      </c>
      <c r="Q327" s="6" t="s">
        <v>149</v>
      </c>
      <c r="R327" s="50" t="s">
        <v>4253</v>
      </c>
      <c r="S327" s="50" t="s">
        <v>4215</v>
      </c>
      <c r="T327" s="50" t="s">
        <v>3506</v>
      </c>
      <c r="U327" s="6" t="s">
        <v>1509</v>
      </c>
      <c r="V327" s="6"/>
      <c r="W327" s="6"/>
      <c r="X327" s="6"/>
      <c r="Y327" s="6"/>
      <c r="Z327" s="6"/>
      <c r="AA327" s="6"/>
      <c r="AB327" s="6"/>
      <c r="AC327" s="6"/>
      <c r="AD327" s="6"/>
      <c r="AE327" s="6"/>
      <c r="AF327" s="6"/>
      <c r="AG327" s="6"/>
    </row>
    <row r="328" ht="15.5" spans="1:33">
      <c r="A328" s="6" t="s">
        <v>78</v>
      </c>
      <c r="B328" s="7">
        <v>46141</v>
      </c>
      <c r="C328" s="6" t="str">
        <f t="shared" si="5"/>
        <v>2026年4月</v>
      </c>
      <c r="D328" s="40" t="s">
        <v>40</v>
      </c>
      <c r="E328" s="6" t="s">
        <v>5180</v>
      </c>
      <c r="F328" s="6" t="s">
        <v>10</v>
      </c>
      <c r="G328" s="50" t="s">
        <v>4169</v>
      </c>
      <c r="H328" s="40"/>
      <c r="I328" s="50" t="s">
        <v>82</v>
      </c>
      <c r="J328" s="50" t="s">
        <v>4176</v>
      </c>
      <c r="K328" s="8" t="s">
        <v>5181</v>
      </c>
      <c r="L328" s="6" t="s">
        <v>5182</v>
      </c>
      <c r="M328" s="61" t="s">
        <v>1808</v>
      </c>
      <c r="N328" s="6" t="s">
        <v>5183</v>
      </c>
      <c r="O328" s="6" t="s">
        <v>1023</v>
      </c>
      <c r="P328" s="61">
        <v>68.69</v>
      </c>
      <c r="Q328" s="6" t="s">
        <v>149</v>
      </c>
      <c r="R328" s="50" t="s">
        <v>4253</v>
      </c>
      <c r="S328" s="50" t="s">
        <v>4215</v>
      </c>
      <c r="T328" s="50" t="s">
        <v>3506</v>
      </c>
      <c r="U328" s="6" t="s">
        <v>194</v>
      </c>
      <c r="V328" s="6"/>
      <c r="W328" s="6"/>
      <c r="X328" s="6"/>
      <c r="Y328" s="6"/>
      <c r="Z328" s="6"/>
      <c r="AA328" s="6"/>
      <c r="AB328" s="6"/>
      <c r="AC328" s="6"/>
      <c r="AD328" s="6"/>
      <c r="AE328" s="6"/>
      <c r="AF328" s="6"/>
      <c r="AG328" s="6"/>
    </row>
    <row r="329" ht="15.5" spans="1:33">
      <c r="A329" s="6" t="s">
        <v>78</v>
      </c>
      <c r="B329" s="7">
        <v>46141</v>
      </c>
      <c r="C329" s="6" t="str">
        <f t="shared" si="5"/>
        <v>2026年4月</v>
      </c>
      <c r="D329" s="40" t="s">
        <v>40</v>
      </c>
      <c r="E329" s="6" t="s">
        <v>5184</v>
      </c>
      <c r="F329" s="6" t="s">
        <v>10</v>
      </c>
      <c r="G329" s="50" t="s">
        <v>4169</v>
      </c>
      <c r="H329" s="40"/>
      <c r="I329" s="50" t="s">
        <v>82</v>
      </c>
      <c r="J329" s="50" t="s">
        <v>4176</v>
      </c>
      <c r="K329" s="8" t="s">
        <v>5167</v>
      </c>
      <c r="L329" s="6" t="s">
        <v>5168</v>
      </c>
      <c r="M329" s="61" t="s">
        <v>1808</v>
      </c>
      <c r="N329" s="6" t="s">
        <v>5185</v>
      </c>
      <c r="O329" s="6" t="s">
        <v>1023</v>
      </c>
      <c r="P329" s="61">
        <v>215.85</v>
      </c>
      <c r="Q329" s="6" t="s">
        <v>149</v>
      </c>
      <c r="R329" s="50" t="s">
        <v>4253</v>
      </c>
      <c r="S329" s="50" t="s">
        <v>4215</v>
      </c>
      <c r="T329" s="50" t="s">
        <v>3506</v>
      </c>
      <c r="U329" s="6" t="s">
        <v>194</v>
      </c>
      <c r="V329" s="6"/>
      <c r="W329" s="6"/>
      <c r="X329" s="6"/>
      <c r="Y329" s="6"/>
      <c r="Z329" s="6"/>
      <c r="AA329" s="6"/>
      <c r="AB329" s="6"/>
      <c r="AC329" s="6"/>
      <c r="AD329" s="6"/>
      <c r="AE329" s="6"/>
      <c r="AF329" s="6"/>
      <c r="AG329" s="6"/>
    </row>
    <row r="330" ht="15.5" spans="1:33">
      <c r="A330" s="6" t="s">
        <v>78</v>
      </c>
      <c r="B330" s="7">
        <v>46141</v>
      </c>
      <c r="C330" s="6" t="str">
        <f t="shared" si="5"/>
        <v>2026年4月</v>
      </c>
      <c r="D330" s="40" t="s">
        <v>40</v>
      </c>
      <c r="E330" s="6" t="s">
        <v>5186</v>
      </c>
      <c r="F330" s="6" t="s">
        <v>10</v>
      </c>
      <c r="G330" s="50" t="s">
        <v>4169</v>
      </c>
      <c r="H330" s="40"/>
      <c r="I330" s="50" t="s">
        <v>82</v>
      </c>
      <c r="J330" s="50" t="s">
        <v>4176</v>
      </c>
      <c r="K330" s="8" t="s">
        <v>2180</v>
      </c>
      <c r="L330" s="6" t="s">
        <v>2182</v>
      </c>
      <c r="M330" s="61" t="s">
        <v>1808</v>
      </c>
      <c r="N330" s="6" t="s">
        <v>5187</v>
      </c>
      <c r="O330" s="6" t="s">
        <v>1023</v>
      </c>
      <c r="P330" s="61">
        <v>65</v>
      </c>
      <c r="Q330" s="6" t="s">
        <v>149</v>
      </c>
      <c r="R330" s="50" t="s">
        <v>4253</v>
      </c>
      <c r="S330" s="50" t="s">
        <v>4215</v>
      </c>
      <c r="T330" s="50" t="s">
        <v>3506</v>
      </c>
      <c r="U330" s="6" t="s">
        <v>194</v>
      </c>
      <c r="V330" s="6"/>
      <c r="W330" s="6"/>
      <c r="X330" s="6"/>
      <c r="Y330" s="6"/>
      <c r="Z330" s="6"/>
      <c r="AA330" s="6"/>
      <c r="AB330" s="6"/>
      <c r="AC330" s="6"/>
      <c r="AD330" s="6"/>
      <c r="AE330" s="6"/>
      <c r="AF330" s="6"/>
      <c r="AG330" s="6"/>
    </row>
    <row r="331" ht="15.5" spans="1:33">
      <c r="A331" s="6" t="s">
        <v>78</v>
      </c>
      <c r="B331" s="7">
        <v>46141</v>
      </c>
      <c r="C331" s="6" t="str">
        <f t="shared" si="5"/>
        <v>2026年4月</v>
      </c>
      <c r="D331" s="40" t="s">
        <v>40</v>
      </c>
      <c r="E331" s="6" t="s">
        <v>5188</v>
      </c>
      <c r="F331" s="6" t="s">
        <v>10</v>
      </c>
      <c r="G331" s="50" t="s">
        <v>4169</v>
      </c>
      <c r="H331" s="40"/>
      <c r="I331" s="50" t="s">
        <v>82</v>
      </c>
      <c r="J331" s="50" t="s">
        <v>4176</v>
      </c>
      <c r="K331" s="8" t="s">
        <v>5189</v>
      </c>
      <c r="L331" s="6" t="s">
        <v>5190</v>
      </c>
      <c r="M331" s="61" t="s">
        <v>1808</v>
      </c>
      <c r="N331" s="6" t="s">
        <v>5191</v>
      </c>
      <c r="O331" s="6" t="s">
        <v>1023</v>
      </c>
      <c r="P331" s="61">
        <v>61.8</v>
      </c>
      <c r="Q331" s="6" t="s">
        <v>149</v>
      </c>
      <c r="R331" s="50" t="s">
        <v>4319</v>
      </c>
      <c r="S331" s="50" t="s">
        <v>4215</v>
      </c>
      <c r="T331" s="50" t="s">
        <v>3506</v>
      </c>
      <c r="U331" s="6" t="s">
        <v>270</v>
      </c>
      <c r="V331" s="6"/>
      <c r="W331" s="6"/>
      <c r="X331" s="6"/>
      <c r="Y331" s="6"/>
      <c r="Z331" s="6"/>
      <c r="AA331" s="6"/>
      <c r="AB331" s="6"/>
      <c r="AC331" s="6"/>
      <c r="AD331" s="6"/>
      <c r="AE331" s="6"/>
      <c r="AF331" s="6"/>
      <c r="AG331" s="6"/>
    </row>
    <row r="332" ht="15.5" spans="1:33">
      <c r="A332" s="6" t="s">
        <v>78</v>
      </c>
      <c r="B332" s="7">
        <v>46141</v>
      </c>
      <c r="C332" s="6" t="str">
        <f t="shared" si="5"/>
        <v>2026年4月</v>
      </c>
      <c r="D332" s="40" t="s">
        <v>40</v>
      </c>
      <c r="E332" s="6" t="s">
        <v>5192</v>
      </c>
      <c r="F332" s="6" t="s">
        <v>10</v>
      </c>
      <c r="G332" s="50" t="s">
        <v>4169</v>
      </c>
      <c r="H332" s="40"/>
      <c r="I332" s="50" t="s">
        <v>82</v>
      </c>
      <c r="J332" s="50" t="s">
        <v>4176</v>
      </c>
      <c r="K332" s="8" t="s">
        <v>5181</v>
      </c>
      <c r="L332" s="6" t="s">
        <v>5182</v>
      </c>
      <c r="M332" s="61" t="s">
        <v>1808</v>
      </c>
      <c r="N332" s="6" t="s">
        <v>5193</v>
      </c>
      <c r="O332" s="41" t="s">
        <v>1023</v>
      </c>
      <c r="P332" s="61">
        <v>1.08</v>
      </c>
      <c r="Q332" s="6" t="s">
        <v>149</v>
      </c>
      <c r="R332" s="50" t="s">
        <v>4253</v>
      </c>
      <c r="S332" s="50" t="s">
        <v>4215</v>
      </c>
      <c r="T332" s="50" t="s">
        <v>3506</v>
      </c>
      <c r="U332" s="6" t="s">
        <v>194</v>
      </c>
      <c r="V332" s="6"/>
      <c r="W332" s="6"/>
      <c r="X332" s="6"/>
      <c r="Y332" s="6"/>
      <c r="Z332" s="6"/>
      <c r="AA332" s="6"/>
      <c r="AB332" s="6"/>
      <c r="AC332" s="6"/>
      <c r="AD332" s="6"/>
      <c r="AE332" s="6"/>
      <c r="AF332" s="6"/>
      <c r="AG332" s="6"/>
    </row>
    <row r="333" ht="15.5" spans="1:33">
      <c r="A333" s="6" t="s">
        <v>78</v>
      </c>
      <c r="B333" s="7">
        <v>46141</v>
      </c>
      <c r="C333" s="6" t="str">
        <f t="shared" si="5"/>
        <v>2026年4月</v>
      </c>
      <c r="D333" s="40" t="s">
        <v>40</v>
      </c>
      <c r="E333" s="6" t="s">
        <v>5194</v>
      </c>
      <c r="F333" s="6" t="s">
        <v>10</v>
      </c>
      <c r="G333" s="50" t="s">
        <v>4169</v>
      </c>
      <c r="H333" s="40"/>
      <c r="I333" s="50" t="s">
        <v>82</v>
      </c>
      <c r="J333" s="50" t="s">
        <v>4176</v>
      </c>
      <c r="K333" s="8" t="s">
        <v>2180</v>
      </c>
      <c r="L333" s="6" t="s">
        <v>2182</v>
      </c>
      <c r="M333" s="61" t="s">
        <v>1808</v>
      </c>
      <c r="N333" s="6" t="s">
        <v>5195</v>
      </c>
      <c r="O333" s="6" t="s">
        <v>1023</v>
      </c>
      <c r="P333" s="61">
        <v>56.04</v>
      </c>
      <c r="Q333" s="6" t="s">
        <v>149</v>
      </c>
      <c r="R333" s="50" t="s">
        <v>4253</v>
      </c>
      <c r="S333" s="50" t="s">
        <v>4215</v>
      </c>
      <c r="T333" s="50" t="s">
        <v>3506</v>
      </c>
      <c r="U333" s="6" t="s">
        <v>194</v>
      </c>
      <c r="V333" s="6"/>
      <c r="W333" s="6"/>
      <c r="X333" s="6"/>
      <c r="Y333" s="6"/>
      <c r="Z333" s="6"/>
      <c r="AA333" s="6"/>
      <c r="AB333" s="6"/>
      <c r="AC333" s="6"/>
      <c r="AD333" s="6"/>
      <c r="AE333" s="6"/>
      <c r="AF333" s="6"/>
      <c r="AG333" s="6"/>
    </row>
    <row r="334" ht="15.5" spans="1:33">
      <c r="A334" s="6" t="s">
        <v>78</v>
      </c>
      <c r="B334" s="7">
        <v>46141</v>
      </c>
      <c r="C334" s="6" t="str">
        <f t="shared" si="5"/>
        <v>2026年4月</v>
      </c>
      <c r="D334" s="40" t="s">
        <v>40</v>
      </c>
      <c r="E334" s="6" t="s">
        <v>5196</v>
      </c>
      <c r="F334" s="6" t="s">
        <v>10</v>
      </c>
      <c r="G334" s="50" t="s">
        <v>4169</v>
      </c>
      <c r="H334" s="40"/>
      <c r="I334" s="50" t="s">
        <v>82</v>
      </c>
      <c r="J334" s="50" t="s">
        <v>4176</v>
      </c>
      <c r="K334" s="8" t="s">
        <v>5167</v>
      </c>
      <c r="L334" s="6" t="s">
        <v>5168</v>
      </c>
      <c r="M334" s="61" t="s">
        <v>1808</v>
      </c>
      <c r="N334" s="6" t="s">
        <v>5197</v>
      </c>
      <c r="O334" s="6" t="s">
        <v>1023</v>
      </c>
      <c r="P334" s="61">
        <v>216.8</v>
      </c>
      <c r="Q334" s="6" t="s">
        <v>149</v>
      </c>
      <c r="R334" s="50" t="s">
        <v>4253</v>
      </c>
      <c r="S334" s="50" t="s">
        <v>4215</v>
      </c>
      <c r="T334" s="50" t="s">
        <v>3506</v>
      </c>
      <c r="U334" s="6" t="s">
        <v>194</v>
      </c>
      <c r="V334" s="6"/>
      <c r="W334" s="6"/>
      <c r="X334" s="6"/>
      <c r="Y334" s="6"/>
      <c r="Z334" s="6"/>
      <c r="AA334" s="6"/>
      <c r="AB334" s="6"/>
      <c r="AC334" s="6"/>
      <c r="AD334" s="6"/>
      <c r="AE334" s="6"/>
      <c r="AF334" s="6"/>
      <c r="AG334" s="6"/>
    </row>
    <row r="335" ht="15.5" spans="1:33">
      <c r="A335" s="6" t="s">
        <v>78</v>
      </c>
      <c r="B335" s="7">
        <v>46141</v>
      </c>
      <c r="C335" s="6" t="str">
        <f t="shared" si="5"/>
        <v>2026年4月</v>
      </c>
      <c r="D335" s="40" t="s">
        <v>40</v>
      </c>
      <c r="E335" s="6" t="s">
        <v>5198</v>
      </c>
      <c r="F335" s="6" t="s">
        <v>10</v>
      </c>
      <c r="G335" s="50" t="s">
        <v>4169</v>
      </c>
      <c r="H335" s="40"/>
      <c r="I335" s="50" t="s">
        <v>82</v>
      </c>
      <c r="J335" s="50" t="s">
        <v>4176</v>
      </c>
      <c r="K335" s="8" t="s">
        <v>5181</v>
      </c>
      <c r="L335" s="6" t="s">
        <v>5182</v>
      </c>
      <c r="M335" s="61" t="s">
        <v>1808</v>
      </c>
      <c r="N335" s="6" t="s">
        <v>5199</v>
      </c>
      <c r="O335" s="6" t="s">
        <v>1023</v>
      </c>
      <c r="P335" s="61">
        <v>66.31</v>
      </c>
      <c r="Q335" s="6" t="s">
        <v>149</v>
      </c>
      <c r="R335" s="50" t="s">
        <v>4253</v>
      </c>
      <c r="S335" s="50" t="s">
        <v>4215</v>
      </c>
      <c r="T335" s="50" t="s">
        <v>3506</v>
      </c>
      <c r="U335" s="6" t="s">
        <v>194</v>
      </c>
      <c r="V335" s="6"/>
      <c r="W335" s="6"/>
      <c r="X335" s="6"/>
      <c r="Y335" s="6"/>
      <c r="Z335" s="6"/>
      <c r="AA335" s="6"/>
      <c r="AB335" s="6"/>
      <c r="AC335" s="6"/>
      <c r="AD335" s="6"/>
      <c r="AE335" s="6"/>
      <c r="AF335" s="6"/>
      <c r="AG335" s="6"/>
    </row>
    <row r="336" ht="15.5" spans="1:33">
      <c r="A336" s="6" t="s">
        <v>78</v>
      </c>
      <c r="B336" s="7">
        <v>46141</v>
      </c>
      <c r="C336" s="6" t="str">
        <f t="shared" si="5"/>
        <v>2026年4月</v>
      </c>
      <c r="D336" s="40" t="s">
        <v>40</v>
      </c>
      <c r="E336" s="6" t="s">
        <v>5200</v>
      </c>
      <c r="F336" s="6" t="s">
        <v>10</v>
      </c>
      <c r="G336" s="50" t="s">
        <v>4169</v>
      </c>
      <c r="H336" s="40"/>
      <c r="I336" s="50" t="s">
        <v>82</v>
      </c>
      <c r="J336" s="50" t="s">
        <v>4176</v>
      </c>
      <c r="K336" s="8" t="s">
        <v>1022</v>
      </c>
      <c r="L336" s="6" t="s">
        <v>1516</v>
      </c>
      <c r="M336" s="61" t="s">
        <v>1808</v>
      </c>
      <c r="N336" s="6" t="s">
        <v>5201</v>
      </c>
      <c r="O336" s="6" t="s">
        <v>1023</v>
      </c>
      <c r="P336" s="61">
        <v>7.82</v>
      </c>
      <c r="Q336" s="6" t="s">
        <v>149</v>
      </c>
      <c r="R336" s="50" t="s">
        <v>4253</v>
      </c>
      <c r="S336" s="50" t="s">
        <v>4215</v>
      </c>
      <c r="T336" s="50" t="s">
        <v>3506</v>
      </c>
      <c r="U336" s="6" t="s">
        <v>194</v>
      </c>
      <c r="V336" s="6"/>
      <c r="W336" s="6"/>
      <c r="X336" s="6"/>
      <c r="Y336" s="6"/>
      <c r="Z336" s="6"/>
      <c r="AA336" s="6"/>
      <c r="AB336" s="6"/>
      <c r="AC336" s="6"/>
      <c r="AD336" s="6"/>
      <c r="AE336" s="6"/>
      <c r="AF336" s="6"/>
      <c r="AG336" s="6"/>
    </row>
    <row r="337" ht="18.75" customHeight="1" spans="1:33">
      <c r="A337" s="6" t="s">
        <v>872</v>
      </c>
      <c r="B337" s="7">
        <v>46143</v>
      </c>
      <c r="C337" s="6" t="str">
        <f t="shared" si="5"/>
        <v>2026年5月</v>
      </c>
      <c r="D337" s="40" t="s">
        <v>54</v>
      </c>
      <c r="E337" s="6" t="s">
        <v>5202</v>
      </c>
      <c r="F337" s="6" t="s">
        <v>10</v>
      </c>
      <c r="G337" s="50" t="s">
        <v>4169</v>
      </c>
      <c r="H337" s="40"/>
      <c r="I337" s="50" t="s">
        <v>82</v>
      </c>
      <c r="J337" s="50" t="s">
        <v>4176</v>
      </c>
      <c r="K337" s="8" t="s">
        <v>2314</v>
      </c>
      <c r="L337" s="6" t="s">
        <v>2475</v>
      </c>
      <c r="M337" s="61" t="s">
        <v>5203</v>
      </c>
      <c r="N337" s="6"/>
      <c r="O337" s="6" t="s">
        <v>5204</v>
      </c>
      <c r="P337" s="61">
        <v>435</v>
      </c>
      <c r="Q337" s="6" t="s">
        <v>173</v>
      </c>
      <c r="R337" s="50" t="s">
        <v>4253</v>
      </c>
      <c r="S337" s="50" t="s">
        <v>4215</v>
      </c>
      <c r="T337" s="50" t="s">
        <v>3506</v>
      </c>
      <c r="U337" s="6" t="s">
        <v>2436</v>
      </c>
      <c r="V337" s="6" t="s">
        <v>5205</v>
      </c>
      <c r="W337" s="6"/>
      <c r="X337" s="6"/>
      <c r="Y337" s="6"/>
      <c r="Z337" s="6"/>
      <c r="AA337" s="6"/>
      <c r="AB337" s="6"/>
      <c r="AC337" s="6"/>
      <c r="AD337" s="6"/>
      <c r="AE337" s="6"/>
      <c r="AF337" s="6"/>
      <c r="AG337" s="6"/>
    </row>
    <row r="338" ht="18.75" customHeight="1" spans="1:33">
      <c r="A338" s="6" t="s">
        <v>872</v>
      </c>
      <c r="B338" s="7">
        <v>46143</v>
      </c>
      <c r="C338" s="6" t="str">
        <f t="shared" si="5"/>
        <v>2026年5月</v>
      </c>
      <c r="D338" s="40" t="s">
        <v>54</v>
      </c>
      <c r="E338" s="6" t="s">
        <v>5206</v>
      </c>
      <c r="F338" s="6" t="s">
        <v>10</v>
      </c>
      <c r="G338" s="50" t="s">
        <v>4169</v>
      </c>
      <c r="H338" s="40"/>
      <c r="I338" s="50" t="s">
        <v>82</v>
      </c>
      <c r="J338" s="10"/>
      <c r="K338" s="8" t="s">
        <v>2314</v>
      </c>
      <c r="L338" s="6" t="s">
        <v>2475</v>
      </c>
      <c r="M338" s="61" t="s">
        <v>5203</v>
      </c>
      <c r="N338" s="6"/>
      <c r="O338" s="6" t="s">
        <v>5204</v>
      </c>
      <c r="P338" s="61">
        <v>205</v>
      </c>
      <c r="Q338" s="6" t="s">
        <v>173</v>
      </c>
      <c r="R338" s="50" t="s">
        <v>4253</v>
      </c>
      <c r="S338" s="50" t="s">
        <v>4215</v>
      </c>
      <c r="T338" s="50" t="s">
        <v>3506</v>
      </c>
      <c r="U338" s="6" t="s">
        <v>2436</v>
      </c>
      <c r="V338" s="6" t="s">
        <v>5207</v>
      </c>
      <c r="W338" s="6"/>
      <c r="X338" s="6"/>
      <c r="Y338" s="6"/>
      <c r="Z338" s="6"/>
      <c r="AA338" s="6"/>
      <c r="AB338" s="6"/>
      <c r="AC338" s="6"/>
      <c r="AD338" s="6"/>
      <c r="AE338" s="6"/>
      <c r="AF338" s="6"/>
      <c r="AG338" s="6"/>
    </row>
    <row r="339" ht="18.75" customHeight="1" spans="1:33">
      <c r="A339" s="6" t="s">
        <v>872</v>
      </c>
      <c r="B339" s="7">
        <v>46143</v>
      </c>
      <c r="C339" s="6" t="str">
        <f t="shared" si="5"/>
        <v>2026年5月</v>
      </c>
      <c r="D339" s="40" t="s">
        <v>54</v>
      </c>
      <c r="E339" s="6" t="s">
        <v>5208</v>
      </c>
      <c r="F339" s="6" t="s">
        <v>10</v>
      </c>
      <c r="G339" s="50" t="s">
        <v>4169</v>
      </c>
      <c r="H339" s="40"/>
      <c r="I339" s="50" t="s">
        <v>82</v>
      </c>
      <c r="J339" s="10"/>
      <c r="K339" s="8" t="s">
        <v>2314</v>
      </c>
      <c r="L339" s="6" t="s">
        <v>2475</v>
      </c>
      <c r="M339" s="61" t="s">
        <v>5203</v>
      </c>
      <c r="N339" s="6"/>
      <c r="O339" s="6" t="s">
        <v>5204</v>
      </c>
      <c r="P339" s="61">
        <v>341</v>
      </c>
      <c r="Q339" s="6" t="s">
        <v>173</v>
      </c>
      <c r="R339" s="50" t="s">
        <v>4253</v>
      </c>
      <c r="S339" s="50" t="s">
        <v>4215</v>
      </c>
      <c r="T339" s="50" t="s">
        <v>3506</v>
      </c>
      <c r="U339" s="6" t="s">
        <v>2436</v>
      </c>
      <c r="V339" s="8" t="s">
        <v>5209</v>
      </c>
      <c r="W339" s="6"/>
      <c r="X339" s="6"/>
      <c r="Y339" s="6"/>
      <c r="Z339" s="6"/>
      <c r="AA339" s="6"/>
      <c r="AB339" s="6"/>
      <c r="AC339" s="6"/>
      <c r="AD339" s="6"/>
      <c r="AE339" s="6"/>
      <c r="AF339" s="6"/>
      <c r="AG339" s="6"/>
    </row>
    <row r="340" ht="18.75" customHeight="1" spans="1:33">
      <c r="A340" s="6" t="s">
        <v>872</v>
      </c>
      <c r="B340" s="7">
        <v>46143</v>
      </c>
      <c r="C340" s="6" t="str">
        <f t="shared" si="5"/>
        <v>2026年5月</v>
      </c>
      <c r="D340" s="40" t="s">
        <v>54</v>
      </c>
      <c r="E340" s="6" t="s">
        <v>5210</v>
      </c>
      <c r="F340" s="6" t="s">
        <v>10</v>
      </c>
      <c r="G340" s="50" t="s">
        <v>4169</v>
      </c>
      <c r="H340" s="40"/>
      <c r="I340" s="50" t="s">
        <v>82</v>
      </c>
      <c r="J340" s="10"/>
      <c r="K340" s="8" t="s">
        <v>2314</v>
      </c>
      <c r="L340" s="6" t="s">
        <v>2475</v>
      </c>
      <c r="M340" s="61" t="s">
        <v>5203</v>
      </c>
      <c r="N340" s="6"/>
      <c r="O340" s="6" t="s">
        <v>5204</v>
      </c>
      <c r="P340" s="61">
        <v>155</v>
      </c>
      <c r="Q340" s="6" t="s">
        <v>173</v>
      </c>
      <c r="R340" s="50" t="s">
        <v>4253</v>
      </c>
      <c r="S340" s="50" t="s">
        <v>4215</v>
      </c>
      <c r="T340" s="50" t="s">
        <v>3506</v>
      </c>
      <c r="U340" s="6" t="s">
        <v>2436</v>
      </c>
      <c r="V340" s="6" t="s">
        <v>5211</v>
      </c>
      <c r="W340" s="6"/>
      <c r="X340" s="6"/>
      <c r="Y340" s="6"/>
      <c r="Z340" s="6"/>
      <c r="AA340" s="6"/>
      <c r="AB340" s="6"/>
      <c r="AC340" s="6"/>
      <c r="AD340" s="6"/>
      <c r="AE340" s="6"/>
      <c r="AF340" s="6"/>
      <c r="AG340" s="6"/>
    </row>
    <row r="341" ht="18.75" customHeight="1" spans="1:33">
      <c r="A341" s="6" t="s">
        <v>872</v>
      </c>
      <c r="B341" s="7">
        <v>46147</v>
      </c>
      <c r="C341" s="6" t="str">
        <f t="shared" si="5"/>
        <v>2026年5月</v>
      </c>
      <c r="D341" s="40" t="s">
        <v>40</v>
      </c>
      <c r="E341" s="92" t="s">
        <v>5212</v>
      </c>
      <c r="F341" s="6" t="s">
        <v>10</v>
      </c>
      <c r="G341" s="50" t="s">
        <v>4169</v>
      </c>
      <c r="H341" s="40"/>
      <c r="I341" s="50" t="s">
        <v>82</v>
      </c>
      <c r="J341" s="50" t="s">
        <v>4190</v>
      </c>
      <c r="K341" s="8" t="s">
        <v>5213</v>
      </c>
      <c r="L341" s="6" t="s">
        <v>5214</v>
      </c>
      <c r="M341" s="61" t="s">
        <v>5215</v>
      </c>
      <c r="N341" s="6" t="s">
        <v>5216</v>
      </c>
      <c r="O341" s="6" t="s">
        <v>1016</v>
      </c>
      <c r="P341" s="61">
        <v>217.99</v>
      </c>
      <c r="Q341" s="6" t="s">
        <v>149</v>
      </c>
      <c r="R341" s="50" t="s">
        <v>4319</v>
      </c>
      <c r="S341" s="50" t="s">
        <v>4215</v>
      </c>
      <c r="T341" s="50" t="s">
        <v>3506</v>
      </c>
      <c r="U341" s="6" t="s">
        <v>1537</v>
      </c>
      <c r="V341" s="6"/>
      <c r="W341" s="6"/>
      <c r="X341" s="6"/>
      <c r="Y341" s="6"/>
      <c r="Z341" s="6"/>
      <c r="AA341" s="6"/>
      <c r="AB341" s="6"/>
      <c r="AC341" s="6"/>
      <c r="AD341" s="6"/>
      <c r="AE341" s="6"/>
      <c r="AF341" s="6"/>
      <c r="AG341" s="6"/>
    </row>
    <row r="342" ht="18.75" customHeight="1" spans="1:33">
      <c r="A342" s="6" t="s">
        <v>872</v>
      </c>
      <c r="B342" s="7">
        <v>46147</v>
      </c>
      <c r="C342" s="6" t="str">
        <f t="shared" si="5"/>
        <v>2026年5月</v>
      </c>
      <c r="D342" s="40" t="s">
        <v>40</v>
      </c>
      <c r="E342" s="92" t="s">
        <v>5217</v>
      </c>
      <c r="F342" s="6" t="s">
        <v>10</v>
      </c>
      <c r="G342" s="10"/>
      <c r="H342" s="40"/>
      <c r="I342" s="10"/>
      <c r="J342" s="50" t="s">
        <v>4190</v>
      </c>
      <c r="M342" s="10"/>
      <c r="N342" s="6" t="s">
        <v>5218</v>
      </c>
      <c r="P342" s="61">
        <v>134</v>
      </c>
      <c r="Q342" s="6" t="s">
        <v>149</v>
      </c>
      <c r="R342" s="50" t="s">
        <v>4319</v>
      </c>
      <c r="S342" s="50" t="s">
        <v>4215</v>
      </c>
      <c r="T342" s="50" t="s">
        <v>3506</v>
      </c>
      <c r="U342" s="6" t="s">
        <v>1537</v>
      </c>
      <c r="V342" s="6"/>
      <c r="W342" s="6"/>
      <c r="X342" s="6"/>
      <c r="Y342" s="6"/>
      <c r="Z342" s="6"/>
      <c r="AA342" s="6"/>
      <c r="AB342" s="6"/>
      <c r="AC342" s="6"/>
      <c r="AD342" s="6"/>
      <c r="AE342" s="6"/>
      <c r="AF342" s="6"/>
      <c r="AG342" s="6"/>
    </row>
    <row r="343" ht="18.75" customHeight="1" spans="1:33">
      <c r="A343" s="6" t="s">
        <v>872</v>
      </c>
      <c r="B343" s="7">
        <v>46147</v>
      </c>
      <c r="C343" s="6" t="str">
        <f t="shared" si="5"/>
        <v>2026年5月</v>
      </c>
      <c r="D343" s="40" t="s">
        <v>40</v>
      </c>
      <c r="E343" s="92" t="s">
        <v>5219</v>
      </c>
      <c r="F343" s="6" t="s">
        <v>10</v>
      </c>
      <c r="G343" s="10"/>
      <c r="H343" s="40"/>
      <c r="I343" s="10"/>
      <c r="J343" s="50" t="s">
        <v>4190</v>
      </c>
      <c r="M343" s="10"/>
      <c r="N343" s="6" t="s">
        <v>5220</v>
      </c>
      <c r="P343" s="61">
        <v>150</v>
      </c>
      <c r="Q343" s="6" t="s">
        <v>149</v>
      </c>
      <c r="R343" s="50" t="s">
        <v>4319</v>
      </c>
      <c r="S343" s="50" t="s">
        <v>4215</v>
      </c>
      <c r="T343" s="50" t="s">
        <v>3506</v>
      </c>
      <c r="U343" s="6" t="s">
        <v>1537</v>
      </c>
      <c r="V343" s="6"/>
      <c r="W343" s="6"/>
      <c r="X343" s="6"/>
      <c r="Y343" s="6"/>
      <c r="Z343" s="6"/>
      <c r="AA343" s="6"/>
      <c r="AB343" s="6"/>
      <c r="AC343" s="6"/>
      <c r="AD343" s="6"/>
      <c r="AE343" s="6"/>
      <c r="AF343" s="6"/>
      <c r="AG343" s="6"/>
    </row>
    <row r="344" ht="18.75" customHeight="1" spans="1:33">
      <c r="A344" s="6" t="s">
        <v>872</v>
      </c>
      <c r="B344" s="7">
        <v>46147</v>
      </c>
      <c r="C344" s="6" t="str">
        <f t="shared" si="5"/>
        <v>2026年5月</v>
      </c>
      <c r="D344" s="40" t="s">
        <v>40</v>
      </c>
      <c r="E344" s="92" t="s">
        <v>5221</v>
      </c>
      <c r="F344" s="6" t="s">
        <v>10</v>
      </c>
      <c r="G344" s="10"/>
      <c r="H344" s="40"/>
      <c r="I344" s="10"/>
      <c r="J344" s="50" t="s">
        <v>4190</v>
      </c>
      <c r="M344" s="10"/>
      <c r="N344" s="6" t="s">
        <v>5222</v>
      </c>
      <c r="P344" s="61">
        <v>185</v>
      </c>
      <c r="Q344" s="6" t="s">
        <v>149</v>
      </c>
      <c r="R344" s="50" t="s">
        <v>4319</v>
      </c>
      <c r="S344" s="50" t="s">
        <v>4215</v>
      </c>
      <c r="T344" s="50" t="s">
        <v>3506</v>
      </c>
      <c r="U344" s="6" t="s">
        <v>1537</v>
      </c>
      <c r="V344" s="6"/>
      <c r="W344" s="6"/>
      <c r="X344" s="6"/>
      <c r="Y344" s="6"/>
      <c r="Z344" s="6"/>
      <c r="AA344" s="6"/>
      <c r="AB344" s="6"/>
      <c r="AC344" s="6"/>
      <c r="AD344" s="6"/>
      <c r="AE344" s="6"/>
      <c r="AF344" s="6"/>
      <c r="AG344" s="6"/>
    </row>
    <row r="345" ht="18.75" customHeight="1" spans="1:33">
      <c r="A345" s="6" t="s">
        <v>872</v>
      </c>
      <c r="B345" s="7">
        <v>46147</v>
      </c>
      <c r="C345" s="6" t="str">
        <f t="shared" ref="C345:C401" si="6">YEAR(B345)&amp;"年"&amp;MONTH(B345)&amp;"月"</f>
        <v>2026年5月</v>
      </c>
      <c r="D345" s="40" t="s">
        <v>40</v>
      </c>
      <c r="E345" s="92" t="s">
        <v>5223</v>
      </c>
      <c r="F345" s="6" t="s">
        <v>10</v>
      </c>
      <c r="G345" s="10"/>
      <c r="H345" s="40"/>
      <c r="I345" s="10"/>
      <c r="J345" s="50" t="s">
        <v>4190</v>
      </c>
      <c r="M345" s="10"/>
      <c r="N345" s="6" t="s">
        <v>5224</v>
      </c>
      <c r="P345" s="61">
        <v>139.99</v>
      </c>
      <c r="Q345" s="6" t="s">
        <v>149</v>
      </c>
      <c r="R345" s="50" t="s">
        <v>4319</v>
      </c>
      <c r="S345" s="50" t="s">
        <v>4215</v>
      </c>
      <c r="T345" s="50" t="s">
        <v>3506</v>
      </c>
      <c r="U345" s="6" t="s">
        <v>1537</v>
      </c>
      <c r="V345" s="6"/>
      <c r="W345" s="6"/>
      <c r="X345" s="6"/>
      <c r="Y345" s="6"/>
      <c r="Z345" s="6"/>
      <c r="AA345" s="6"/>
      <c r="AB345" s="6"/>
      <c r="AC345" s="6"/>
      <c r="AD345" s="6"/>
      <c r="AE345" s="6"/>
      <c r="AF345" s="6"/>
      <c r="AG345" s="6"/>
    </row>
    <row r="346" ht="18.75" customHeight="1" spans="1:33">
      <c r="A346" s="6" t="s">
        <v>872</v>
      </c>
      <c r="B346" s="7">
        <v>46147</v>
      </c>
      <c r="C346" s="6" t="str">
        <f t="shared" si="6"/>
        <v>2026年5月</v>
      </c>
      <c r="D346" s="40" t="s">
        <v>40</v>
      </c>
      <c r="E346" s="92" t="s">
        <v>5225</v>
      </c>
      <c r="F346" s="6" t="s">
        <v>10</v>
      </c>
      <c r="G346" s="10"/>
      <c r="H346" s="40"/>
      <c r="I346" s="10"/>
      <c r="J346" s="50" t="s">
        <v>4190</v>
      </c>
      <c r="M346" s="10"/>
      <c r="N346" s="6" t="s">
        <v>5226</v>
      </c>
      <c r="P346" s="61">
        <v>150</v>
      </c>
      <c r="Q346" s="6" t="s">
        <v>149</v>
      </c>
      <c r="R346" s="50" t="s">
        <v>4319</v>
      </c>
      <c r="S346" s="50" t="s">
        <v>4215</v>
      </c>
      <c r="T346" s="50" t="s">
        <v>3506</v>
      </c>
      <c r="U346" s="6" t="s">
        <v>1537</v>
      </c>
      <c r="V346" s="6"/>
      <c r="W346" s="6"/>
      <c r="X346" s="6"/>
      <c r="Y346" s="6"/>
      <c r="Z346" s="6"/>
      <c r="AA346" s="6"/>
      <c r="AB346" s="6"/>
      <c r="AC346" s="6"/>
      <c r="AD346" s="6"/>
      <c r="AE346" s="6"/>
      <c r="AF346" s="6"/>
      <c r="AG346" s="6"/>
    </row>
    <row r="347" ht="18.75" customHeight="1" spans="1:33">
      <c r="A347" s="6" t="s">
        <v>872</v>
      </c>
      <c r="B347" s="7">
        <v>46147</v>
      </c>
      <c r="C347" s="6" t="str">
        <f t="shared" si="6"/>
        <v>2026年5月</v>
      </c>
      <c r="D347" s="40" t="s">
        <v>40</v>
      </c>
      <c r="E347" s="92" t="s">
        <v>5227</v>
      </c>
      <c r="F347" s="6" t="s">
        <v>10</v>
      </c>
      <c r="G347" s="10"/>
      <c r="H347" s="40"/>
      <c r="I347" s="10"/>
      <c r="J347" s="50" t="s">
        <v>4190</v>
      </c>
      <c r="M347" s="10"/>
      <c r="N347" s="6" t="s">
        <v>5228</v>
      </c>
      <c r="P347" s="61">
        <v>209.26</v>
      </c>
      <c r="Q347" s="6" t="s">
        <v>149</v>
      </c>
      <c r="R347" s="50" t="s">
        <v>4319</v>
      </c>
      <c r="S347" s="50" t="s">
        <v>4215</v>
      </c>
      <c r="T347" s="50" t="s">
        <v>3506</v>
      </c>
      <c r="U347" s="6" t="s">
        <v>1537</v>
      </c>
      <c r="V347" s="6"/>
      <c r="W347" s="6"/>
      <c r="X347" s="6"/>
      <c r="Y347" s="6"/>
      <c r="Z347" s="6"/>
      <c r="AA347" s="6"/>
      <c r="AB347" s="6"/>
      <c r="AC347" s="6"/>
      <c r="AD347" s="6"/>
      <c r="AE347" s="6"/>
      <c r="AF347" s="6"/>
      <c r="AG347" s="6"/>
    </row>
    <row r="348" ht="18.75" customHeight="1" spans="1:33">
      <c r="A348" s="6" t="s">
        <v>872</v>
      </c>
      <c r="B348" s="7">
        <v>46147</v>
      </c>
      <c r="C348" s="6" t="str">
        <f t="shared" si="6"/>
        <v>2026年5月</v>
      </c>
      <c r="D348" s="40" t="s">
        <v>40</v>
      </c>
      <c r="E348" s="92" t="s">
        <v>5229</v>
      </c>
      <c r="F348" s="6" t="s">
        <v>10</v>
      </c>
      <c r="G348" s="10"/>
      <c r="H348" s="40"/>
      <c r="I348" s="10"/>
      <c r="J348" s="50" t="s">
        <v>4190</v>
      </c>
      <c r="M348" s="10"/>
      <c r="N348" s="6" t="s">
        <v>5230</v>
      </c>
      <c r="P348" s="61">
        <v>135.96</v>
      </c>
      <c r="Q348" s="6" t="s">
        <v>149</v>
      </c>
      <c r="R348" s="50" t="s">
        <v>4319</v>
      </c>
      <c r="S348" s="50" t="s">
        <v>4215</v>
      </c>
      <c r="T348" s="50" t="s">
        <v>3506</v>
      </c>
      <c r="U348" s="6" t="s">
        <v>1537</v>
      </c>
      <c r="V348" s="6"/>
      <c r="W348" s="6"/>
      <c r="X348" s="6"/>
      <c r="Y348" s="6"/>
      <c r="Z348" s="6"/>
      <c r="AA348" s="6"/>
      <c r="AB348" s="6"/>
      <c r="AC348" s="6"/>
      <c r="AD348" s="6"/>
      <c r="AE348" s="6"/>
      <c r="AF348" s="6"/>
      <c r="AG348" s="6"/>
    </row>
    <row r="349" ht="18.75" customHeight="1" spans="1:33">
      <c r="A349" s="6" t="s">
        <v>872</v>
      </c>
      <c r="B349" s="7">
        <v>46154</v>
      </c>
      <c r="C349" s="6" t="str">
        <f t="shared" si="6"/>
        <v>2026年5月</v>
      </c>
      <c r="D349" s="40" t="s">
        <v>40</v>
      </c>
      <c r="E349" s="6" t="s">
        <v>5231</v>
      </c>
      <c r="F349" s="6" t="s">
        <v>10</v>
      </c>
      <c r="G349" s="50" t="s">
        <v>4169</v>
      </c>
      <c r="H349" s="40"/>
      <c r="I349" s="93" t="s">
        <v>82</v>
      </c>
      <c r="J349" s="50" t="s">
        <v>4176</v>
      </c>
      <c r="K349" s="8" t="s">
        <v>3262</v>
      </c>
      <c r="L349" s="6" t="s">
        <v>3263</v>
      </c>
      <c r="M349" s="61" t="s">
        <v>5232</v>
      </c>
      <c r="N349" s="6" t="s">
        <v>5233</v>
      </c>
      <c r="O349" s="6" t="s">
        <v>1016</v>
      </c>
      <c r="P349" s="61">
        <v>227.18</v>
      </c>
      <c r="Q349" s="6" t="s">
        <v>149</v>
      </c>
      <c r="R349" s="50" t="s">
        <v>4253</v>
      </c>
      <c r="S349" s="50" t="s">
        <v>4215</v>
      </c>
      <c r="T349" s="50" t="s">
        <v>3506</v>
      </c>
      <c r="U349" s="6" t="s">
        <v>689</v>
      </c>
      <c r="V349" s="6"/>
      <c r="W349" s="6"/>
      <c r="X349" s="6"/>
      <c r="Y349" s="6"/>
      <c r="Z349" s="6"/>
      <c r="AA349" s="6"/>
      <c r="AB349" s="6"/>
      <c r="AC349" s="6"/>
      <c r="AD349" s="6"/>
      <c r="AE349" s="6"/>
      <c r="AF349" s="6"/>
      <c r="AG349" s="6"/>
    </row>
    <row r="350" ht="18.75" customHeight="1" spans="1:33">
      <c r="A350" s="6" t="s">
        <v>872</v>
      </c>
      <c r="B350" s="7">
        <v>46154</v>
      </c>
      <c r="C350" s="6" t="str">
        <f t="shared" si="6"/>
        <v>2026年5月</v>
      </c>
      <c r="D350" s="40" t="s">
        <v>40</v>
      </c>
      <c r="E350" s="6" t="s">
        <v>5234</v>
      </c>
      <c r="F350" s="6" t="s">
        <v>10</v>
      </c>
      <c r="G350" s="10"/>
      <c r="H350" s="40"/>
      <c r="I350" s="12"/>
      <c r="J350" s="50" t="s">
        <v>4176</v>
      </c>
      <c r="M350" s="10"/>
      <c r="N350" s="6" t="s">
        <v>5235</v>
      </c>
      <c r="P350" s="61">
        <v>227.18</v>
      </c>
      <c r="Q350" s="6" t="s">
        <v>149</v>
      </c>
      <c r="R350" s="50" t="s">
        <v>4253</v>
      </c>
      <c r="S350" s="10"/>
      <c r="T350" s="10"/>
      <c r="V350" s="6"/>
      <c r="W350" s="6"/>
      <c r="X350" s="6"/>
      <c r="Y350" s="6"/>
      <c r="Z350" s="6"/>
      <c r="AA350" s="6"/>
      <c r="AB350" s="6"/>
      <c r="AC350" s="6"/>
      <c r="AD350" s="6"/>
      <c r="AE350" s="6"/>
      <c r="AF350" s="6"/>
      <c r="AG350" s="6"/>
    </row>
    <row r="351" ht="25.5" customHeight="1" spans="1:33">
      <c r="A351" s="6" t="s">
        <v>872</v>
      </c>
      <c r="B351" s="7">
        <v>46154</v>
      </c>
      <c r="C351" s="6" t="str">
        <f t="shared" si="6"/>
        <v>2026年5月</v>
      </c>
      <c r="D351" s="40" t="s">
        <v>40</v>
      </c>
      <c r="E351" s="6" t="s">
        <v>5236</v>
      </c>
      <c r="F351" s="6" t="s">
        <v>10</v>
      </c>
      <c r="G351" s="10"/>
      <c r="H351" s="40"/>
      <c r="I351" s="12"/>
      <c r="J351" s="50" t="s">
        <v>4176</v>
      </c>
      <c r="M351" s="10"/>
      <c r="N351" s="6" t="s">
        <v>5237</v>
      </c>
      <c r="P351" s="61">
        <v>225.99</v>
      </c>
      <c r="Q351" s="6" t="s">
        <v>149</v>
      </c>
      <c r="R351" s="50" t="s">
        <v>4253</v>
      </c>
      <c r="S351" s="10"/>
      <c r="T351" s="10"/>
      <c r="V351" s="6"/>
      <c r="W351" s="6"/>
      <c r="X351" s="6"/>
      <c r="Y351" s="6"/>
      <c r="Z351" s="6"/>
      <c r="AA351" s="6"/>
      <c r="AB351" s="6"/>
      <c r="AC351" s="6"/>
      <c r="AD351" s="6"/>
      <c r="AE351" s="6"/>
      <c r="AF351" s="6"/>
      <c r="AG351" s="6"/>
    </row>
    <row r="352" ht="18.75" customHeight="1" spans="1:33">
      <c r="A352" s="6" t="s">
        <v>872</v>
      </c>
      <c r="B352" s="7">
        <v>46154</v>
      </c>
      <c r="C352" s="6" t="str">
        <f t="shared" si="6"/>
        <v>2026年5月</v>
      </c>
      <c r="D352" s="40" t="s">
        <v>40</v>
      </c>
      <c r="E352" s="6" t="s">
        <v>5238</v>
      </c>
      <c r="F352" s="6" t="s">
        <v>10</v>
      </c>
      <c r="G352" s="10"/>
      <c r="H352" s="40"/>
      <c r="I352" s="12"/>
      <c r="J352" s="50" t="s">
        <v>4176</v>
      </c>
      <c r="M352" s="10"/>
      <c r="N352" s="6" t="s">
        <v>5239</v>
      </c>
      <c r="P352" s="61">
        <v>225.99</v>
      </c>
      <c r="Q352" s="6" t="s">
        <v>149</v>
      </c>
      <c r="R352" s="50" t="s">
        <v>4253</v>
      </c>
      <c r="S352" s="10"/>
      <c r="T352" s="10"/>
      <c r="V352" s="6"/>
      <c r="W352" s="6"/>
      <c r="X352" s="6"/>
      <c r="Y352" s="6"/>
      <c r="Z352" s="6"/>
      <c r="AA352" s="6"/>
      <c r="AB352" s="6"/>
      <c r="AC352" s="6"/>
      <c r="AD352" s="6"/>
      <c r="AE352" s="6"/>
      <c r="AF352" s="6"/>
      <c r="AG352" s="6"/>
    </row>
    <row r="353" ht="18.75" customHeight="1" spans="1:33">
      <c r="A353" s="6" t="s">
        <v>872</v>
      </c>
      <c r="B353" s="7">
        <v>46154</v>
      </c>
      <c r="C353" s="6" t="str">
        <f t="shared" si="6"/>
        <v>2026年5月</v>
      </c>
      <c r="D353" s="40" t="s">
        <v>40</v>
      </c>
      <c r="E353" s="6" t="s">
        <v>5240</v>
      </c>
      <c r="F353" s="6" t="s">
        <v>10</v>
      </c>
      <c r="G353" s="10"/>
      <c r="H353" s="40"/>
      <c r="I353" s="12"/>
      <c r="J353" s="50" t="s">
        <v>4176</v>
      </c>
      <c r="M353" s="10"/>
      <c r="N353" s="6" t="s">
        <v>5241</v>
      </c>
      <c r="P353" s="61">
        <v>230.28</v>
      </c>
      <c r="Q353" s="6" t="s">
        <v>149</v>
      </c>
      <c r="R353" s="50" t="s">
        <v>4253</v>
      </c>
      <c r="S353" s="10"/>
      <c r="T353" s="10"/>
      <c r="V353" s="6"/>
      <c r="W353" s="6"/>
      <c r="X353" s="6"/>
      <c r="Y353" s="6"/>
      <c r="Z353" s="6"/>
      <c r="AA353" s="6"/>
      <c r="AB353" s="6"/>
      <c r="AC353" s="6"/>
      <c r="AD353" s="6"/>
      <c r="AE353" s="6"/>
      <c r="AF353" s="6"/>
      <c r="AG353" s="6"/>
    </row>
    <row r="354" ht="18.75" customHeight="1" spans="1:33">
      <c r="A354" s="6" t="s">
        <v>872</v>
      </c>
      <c r="B354" s="7">
        <v>46154</v>
      </c>
      <c r="C354" s="6" t="str">
        <f t="shared" si="6"/>
        <v>2026年5月</v>
      </c>
      <c r="D354" s="40" t="s">
        <v>40</v>
      </c>
      <c r="E354" s="6" t="s">
        <v>5240</v>
      </c>
      <c r="F354" s="6" t="s">
        <v>10</v>
      </c>
      <c r="G354" s="10"/>
      <c r="H354" s="40"/>
      <c r="I354" s="12"/>
      <c r="J354" s="50" t="s">
        <v>4176</v>
      </c>
      <c r="M354" s="10"/>
      <c r="N354" s="6" t="s">
        <v>5242</v>
      </c>
      <c r="P354" s="61">
        <v>228.62</v>
      </c>
      <c r="Q354" s="6" t="s">
        <v>149</v>
      </c>
      <c r="R354" s="50" t="s">
        <v>4253</v>
      </c>
      <c r="S354" s="10"/>
      <c r="T354" s="10"/>
      <c r="V354" s="6"/>
      <c r="W354" s="6"/>
      <c r="X354" s="6"/>
      <c r="Y354" s="6"/>
      <c r="Z354" s="6"/>
      <c r="AA354" s="6"/>
      <c r="AB354" s="6"/>
      <c r="AC354" s="6"/>
      <c r="AD354" s="6"/>
      <c r="AE354" s="6"/>
      <c r="AF354" s="6"/>
      <c r="AG354" s="6"/>
    </row>
    <row r="355" ht="18.75" customHeight="1" spans="1:33">
      <c r="A355" s="6" t="s">
        <v>872</v>
      </c>
      <c r="B355" s="7">
        <v>46154</v>
      </c>
      <c r="C355" s="6" t="str">
        <f t="shared" si="6"/>
        <v>2026年5月</v>
      </c>
      <c r="D355" s="40" t="s">
        <v>40</v>
      </c>
      <c r="E355" s="6" t="s">
        <v>5243</v>
      </c>
      <c r="F355" s="6" t="s">
        <v>10</v>
      </c>
      <c r="G355" s="10"/>
      <c r="H355" s="40"/>
      <c r="I355" s="12"/>
      <c r="J355" s="50" t="s">
        <v>4176</v>
      </c>
      <c r="M355" s="10"/>
      <c r="N355" s="6" t="s">
        <v>5244</v>
      </c>
      <c r="P355" s="61">
        <v>227.18</v>
      </c>
      <c r="Q355" s="6" t="s">
        <v>149</v>
      </c>
      <c r="R355" s="50" t="s">
        <v>4253</v>
      </c>
      <c r="S355" s="10"/>
      <c r="T355" s="10"/>
      <c r="V355" s="6"/>
      <c r="W355" s="6"/>
      <c r="X355" s="6"/>
      <c r="Y355" s="6"/>
      <c r="Z355" s="6"/>
      <c r="AA355" s="6"/>
      <c r="AB355" s="6"/>
      <c r="AC355" s="6"/>
      <c r="AD355" s="6"/>
      <c r="AE355" s="6"/>
      <c r="AF355" s="6"/>
      <c r="AG355" s="6"/>
    </row>
    <row r="356" ht="18.75" customHeight="1" spans="1:33">
      <c r="A356" s="6" t="s">
        <v>872</v>
      </c>
      <c r="B356" s="7">
        <v>46154</v>
      </c>
      <c r="C356" s="6" t="str">
        <f t="shared" si="6"/>
        <v>2026年5月</v>
      </c>
      <c r="D356" s="40" t="s">
        <v>40</v>
      </c>
      <c r="E356" s="6" t="s">
        <v>5245</v>
      </c>
      <c r="F356" s="6" t="s">
        <v>10</v>
      </c>
      <c r="G356" s="10"/>
      <c r="H356" s="40"/>
      <c r="I356" s="12"/>
      <c r="J356" s="50" t="s">
        <v>4176</v>
      </c>
      <c r="M356" s="10"/>
      <c r="N356" s="6" t="s">
        <v>5246</v>
      </c>
      <c r="P356" s="61">
        <v>230.28</v>
      </c>
      <c r="Q356" s="6" t="s">
        <v>149</v>
      </c>
      <c r="R356" s="50" t="s">
        <v>4253</v>
      </c>
      <c r="S356" s="10"/>
      <c r="T356" s="10"/>
      <c r="V356" s="6"/>
      <c r="W356" s="6"/>
      <c r="X356" s="6"/>
      <c r="Y356" s="6"/>
      <c r="Z356" s="6"/>
      <c r="AA356" s="6"/>
      <c r="AB356" s="6"/>
      <c r="AC356" s="6"/>
      <c r="AD356" s="6"/>
      <c r="AE356" s="6"/>
      <c r="AF356" s="6"/>
      <c r="AG356" s="6"/>
    </row>
    <row r="357" ht="18.75" customHeight="1" spans="1:33">
      <c r="A357" s="6" t="s">
        <v>872</v>
      </c>
      <c r="B357" s="7">
        <v>46154</v>
      </c>
      <c r="C357" s="6" t="str">
        <f t="shared" si="6"/>
        <v>2026年5月</v>
      </c>
      <c r="D357" s="40" t="s">
        <v>40</v>
      </c>
      <c r="E357" s="6" t="s">
        <v>5247</v>
      </c>
      <c r="F357" s="6" t="s">
        <v>10</v>
      </c>
      <c r="G357" s="10"/>
      <c r="H357" s="40"/>
      <c r="I357" s="12"/>
      <c r="J357" s="50" t="s">
        <v>4176</v>
      </c>
      <c r="M357" s="10"/>
      <c r="N357" s="6" t="s">
        <v>5248</v>
      </c>
      <c r="P357" s="61">
        <v>226.98</v>
      </c>
      <c r="Q357" s="6" t="s">
        <v>149</v>
      </c>
      <c r="R357" s="50" t="s">
        <v>4253</v>
      </c>
      <c r="S357" s="10"/>
      <c r="T357" s="10"/>
      <c r="V357" s="6"/>
      <c r="W357" s="6"/>
      <c r="X357" s="6"/>
      <c r="Y357" s="6"/>
      <c r="Z357" s="6"/>
      <c r="AA357" s="6"/>
      <c r="AB357" s="6"/>
      <c r="AC357" s="6"/>
      <c r="AD357" s="6"/>
      <c r="AE357" s="6"/>
      <c r="AF357" s="6"/>
      <c r="AG357" s="6"/>
    </row>
    <row r="358" ht="18.75" customHeight="1" spans="1:33">
      <c r="A358" s="6" t="s">
        <v>872</v>
      </c>
      <c r="B358" s="7">
        <v>46154</v>
      </c>
      <c r="C358" s="6" t="str">
        <f t="shared" si="6"/>
        <v>2026年5月</v>
      </c>
      <c r="D358" s="40" t="s">
        <v>40</v>
      </c>
      <c r="E358" s="6" t="s">
        <v>5249</v>
      </c>
      <c r="F358" s="6" t="s">
        <v>10</v>
      </c>
      <c r="G358" s="10"/>
      <c r="H358" s="40"/>
      <c r="I358" s="12"/>
      <c r="J358" s="50" t="s">
        <v>4176</v>
      </c>
      <c r="M358" s="10"/>
      <c r="N358" s="6" t="s">
        <v>5250</v>
      </c>
      <c r="P358" s="61">
        <v>196.48</v>
      </c>
      <c r="Q358" s="6" t="s">
        <v>149</v>
      </c>
      <c r="R358" s="50" t="s">
        <v>4253</v>
      </c>
      <c r="S358" s="10"/>
      <c r="T358" s="10"/>
      <c r="V358" s="6"/>
      <c r="W358" s="6"/>
      <c r="X358" s="6"/>
      <c r="Y358" s="6"/>
      <c r="Z358" s="6"/>
      <c r="AA358" s="6"/>
      <c r="AB358" s="6"/>
      <c r="AC358" s="6"/>
      <c r="AD358" s="6"/>
      <c r="AE358" s="6"/>
      <c r="AF358" s="6"/>
      <c r="AG358" s="6"/>
    </row>
    <row r="359" ht="18.75" customHeight="1" spans="1:33">
      <c r="A359" s="6" t="s">
        <v>872</v>
      </c>
      <c r="B359" s="7">
        <v>46154</v>
      </c>
      <c r="C359" s="6" t="str">
        <f t="shared" si="6"/>
        <v>2026年5月</v>
      </c>
      <c r="D359" s="40" t="s">
        <v>40</v>
      </c>
      <c r="E359" s="6" t="s">
        <v>5251</v>
      </c>
      <c r="F359" s="6" t="s">
        <v>10</v>
      </c>
      <c r="G359" s="10"/>
      <c r="H359" s="40"/>
      <c r="I359" s="12"/>
      <c r="J359" s="50" t="s">
        <v>4176</v>
      </c>
      <c r="M359" s="10"/>
      <c r="N359" s="6" t="s">
        <v>5252</v>
      </c>
      <c r="P359" s="61">
        <v>229.02</v>
      </c>
      <c r="Q359" s="6" t="s">
        <v>149</v>
      </c>
      <c r="R359" s="50" t="s">
        <v>4253</v>
      </c>
      <c r="S359" s="10"/>
      <c r="T359" s="10"/>
      <c r="V359" s="6"/>
      <c r="W359" s="6"/>
      <c r="X359" s="6"/>
      <c r="Y359" s="6"/>
      <c r="Z359" s="6"/>
      <c r="AA359" s="6"/>
      <c r="AB359" s="6"/>
      <c r="AC359" s="6"/>
      <c r="AD359" s="6"/>
      <c r="AE359" s="6"/>
      <c r="AF359" s="6"/>
      <c r="AG359" s="6"/>
    </row>
    <row r="360" ht="18.75" customHeight="1" spans="1:33">
      <c r="A360" s="6" t="s">
        <v>872</v>
      </c>
      <c r="B360" s="7">
        <v>46154</v>
      </c>
      <c r="C360" s="6" t="str">
        <f t="shared" si="6"/>
        <v>2026年5月</v>
      </c>
      <c r="D360" s="40" t="s">
        <v>40</v>
      </c>
      <c r="E360" s="6" t="s">
        <v>5253</v>
      </c>
      <c r="F360" s="6" t="s">
        <v>10</v>
      </c>
      <c r="G360" s="10"/>
      <c r="H360" s="40"/>
      <c r="I360" s="12"/>
      <c r="J360" s="50" t="s">
        <v>4176</v>
      </c>
      <c r="M360" s="10"/>
      <c r="N360" s="6" t="s">
        <v>5254</v>
      </c>
      <c r="P360" s="61">
        <v>205.37</v>
      </c>
      <c r="Q360" s="6" t="s">
        <v>149</v>
      </c>
      <c r="R360" s="50" t="s">
        <v>4253</v>
      </c>
      <c r="S360" s="10"/>
      <c r="T360" s="10"/>
      <c r="V360" s="6"/>
      <c r="W360" s="6"/>
      <c r="X360" s="6"/>
      <c r="Y360" s="6"/>
      <c r="Z360" s="6"/>
      <c r="AA360" s="6"/>
      <c r="AB360" s="6"/>
      <c r="AC360" s="6"/>
      <c r="AD360" s="6"/>
      <c r="AE360" s="6"/>
      <c r="AF360" s="6"/>
      <c r="AG360" s="6"/>
    </row>
    <row r="361" ht="18.75" customHeight="1" spans="1:33">
      <c r="A361" s="6" t="s">
        <v>872</v>
      </c>
      <c r="B361" s="7">
        <v>46154</v>
      </c>
      <c r="C361" s="6" t="str">
        <f t="shared" si="6"/>
        <v>2026年5月</v>
      </c>
      <c r="D361" s="40" t="s">
        <v>40</v>
      </c>
      <c r="E361" s="6" t="s">
        <v>5255</v>
      </c>
      <c r="F361" s="6" t="s">
        <v>10</v>
      </c>
      <c r="G361" s="10"/>
      <c r="H361" s="40"/>
      <c r="I361" s="12"/>
      <c r="J361" s="50" t="s">
        <v>4176</v>
      </c>
      <c r="M361" s="10"/>
      <c r="N361" s="6" t="s">
        <v>5256</v>
      </c>
      <c r="P361" s="61">
        <v>231.49</v>
      </c>
      <c r="Q361" s="6" t="s">
        <v>149</v>
      </c>
      <c r="R361" s="50" t="s">
        <v>4253</v>
      </c>
      <c r="S361" s="10"/>
      <c r="T361" s="10"/>
      <c r="V361" s="6"/>
      <c r="W361" s="6"/>
      <c r="X361" s="6"/>
      <c r="Y361" s="6"/>
      <c r="Z361" s="6"/>
      <c r="AA361" s="6"/>
      <c r="AB361" s="6"/>
      <c r="AC361" s="6"/>
      <c r="AD361" s="6"/>
      <c r="AE361" s="6"/>
      <c r="AF361" s="6"/>
      <c r="AG361" s="6"/>
    </row>
    <row r="362" ht="18.75" customHeight="1" spans="1:33">
      <c r="A362" s="6" t="s">
        <v>872</v>
      </c>
      <c r="B362" s="7">
        <v>46154</v>
      </c>
      <c r="C362" s="6" t="str">
        <f t="shared" si="6"/>
        <v>2026年5月</v>
      </c>
      <c r="D362" s="40" t="s">
        <v>40</v>
      </c>
      <c r="E362" s="6" t="s">
        <v>5257</v>
      </c>
      <c r="F362" s="6" t="s">
        <v>10</v>
      </c>
      <c r="G362" s="10"/>
      <c r="H362" s="40"/>
      <c r="I362" s="12"/>
      <c r="J362" s="50" t="s">
        <v>4176</v>
      </c>
      <c r="M362" s="10"/>
      <c r="N362" s="6" t="s">
        <v>5258</v>
      </c>
      <c r="P362" s="61">
        <v>228.98</v>
      </c>
      <c r="Q362" s="6" t="s">
        <v>149</v>
      </c>
      <c r="R362" s="50" t="s">
        <v>4253</v>
      </c>
      <c r="S362" s="10"/>
      <c r="T362" s="10"/>
      <c r="V362" s="6"/>
      <c r="W362" s="6"/>
      <c r="X362" s="6"/>
      <c r="Y362" s="6"/>
      <c r="Z362" s="6"/>
      <c r="AA362" s="6"/>
      <c r="AB362" s="6"/>
      <c r="AC362" s="6"/>
      <c r="AD362" s="6"/>
      <c r="AE362" s="6"/>
      <c r="AF362" s="6"/>
      <c r="AG362" s="6"/>
    </row>
    <row r="363" ht="18.75" customHeight="1" spans="1:33">
      <c r="A363" s="6" t="s">
        <v>872</v>
      </c>
      <c r="B363" s="7">
        <v>46154</v>
      </c>
      <c r="C363" s="6" t="str">
        <f t="shared" si="6"/>
        <v>2026年5月</v>
      </c>
      <c r="D363" s="40" t="s">
        <v>40</v>
      </c>
      <c r="E363" s="6" t="s">
        <v>5259</v>
      </c>
      <c r="F363" s="6" t="s">
        <v>10</v>
      </c>
      <c r="G363" s="10"/>
      <c r="H363" s="40"/>
      <c r="I363" s="13"/>
      <c r="J363" s="50" t="s">
        <v>4176</v>
      </c>
      <c r="M363" s="10"/>
      <c r="N363" s="6" t="s">
        <v>5260</v>
      </c>
      <c r="P363" s="61">
        <v>232.32</v>
      </c>
      <c r="Q363" s="6" t="s">
        <v>149</v>
      </c>
      <c r="R363" s="50" t="s">
        <v>4253</v>
      </c>
      <c r="S363" s="10"/>
      <c r="T363" s="10"/>
      <c r="V363" s="6"/>
      <c r="W363" s="6"/>
      <c r="X363" s="6"/>
      <c r="Y363" s="6"/>
      <c r="Z363" s="6"/>
      <c r="AA363" s="6"/>
      <c r="AB363" s="6"/>
      <c r="AC363" s="6"/>
      <c r="AD363" s="6"/>
      <c r="AE363" s="6"/>
      <c r="AF363" s="6"/>
      <c r="AG363" s="6"/>
    </row>
    <row r="364" ht="28" spans="1:33">
      <c r="A364" s="6" t="s">
        <v>142</v>
      </c>
      <c r="B364" s="7">
        <v>46154</v>
      </c>
      <c r="C364" s="6" t="str">
        <f t="shared" si="6"/>
        <v>2026年5月</v>
      </c>
      <c r="D364" s="40" t="s">
        <v>40</v>
      </c>
      <c r="E364" s="94" t="s">
        <v>5261</v>
      </c>
      <c r="F364" s="6" t="s">
        <v>10</v>
      </c>
      <c r="G364" s="50" t="s">
        <v>4169</v>
      </c>
      <c r="H364" s="40"/>
      <c r="I364" s="50" t="s">
        <v>82</v>
      </c>
      <c r="J364" s="50" t="s">
        <v>4176</v>
      </c>
      <c r="K364" s="8" t="s">
        <v>1228</v>
      </c>
      <c r="L364" s="6" t="s">
        <v>1230</v>
      </c>
      <c r="M364" s="95" t="s">
        <v>1005</v>
      </c>
      <c r="N364" s="6" t="s">
        <v>5262</v>
      </c>
      <c r="O364" s="6" t="s">
        <v>5263</v>
      </c>
      <c r="P364" s="61">
        <v>220</v>
      </c>
      <c r="Q364" s="6" t="s">
        <v>139</v>
      </c>
      <c r="R364" s="50" t="s">
        <v>4319</v>
      </c>
      <c r="S364" s="50" t="s">
        <v>4215</v>
      </c>
      <c r="T364" s="50" t="s">
        <v>3557</v>
      </c>
      <c r="U364" s="6" t="s">
        <v>689</v>
      </c>
      <c r="V364" s="6"/>
      <c r="W364" s="6"/>
      <c r="X364" s="6"/>
      <c r="Y364" s="6"/>
      <c r="Z364" s="6"/>
      <c r="AA364" s="6"/>
      <c r="AB364" s="6"/>
      <c r="AC364" s="6"/>
      <c r="AD364" s="6"/>
      <c r="AE364" s="6"/>
      <c r="AF364" s="6"/>
      <c r="AG364" s="6"/>
    </row>
    <row r="365" ht="15.5" spans="1:33">
      <c r="A365" s="6" t="s">
        <v>872</v>
      </c>
      <c r="B365" s="7">
        <v>46155</v>
      </c>
      <c r="C365" s="6" t="str">
        <f t="shared" si="6"/>
        <v>2026年5月</v>
      </c>
      <c r="D365" s="40" t="s">
        <v>40</v>
      </c>
      <c r="E365" s="6" t="s">
        <v>5264</v>
      </c>
      <c r="F365" s="6" t="s">
        <v>10</v>
      </c>
      <c r="G365" s="50" t="s">
        <v>4169</v>
      </c>
      <c r="H365" s="40" t="s">
        <v>2886</v>
      </c>
      <c r="I365" s="50" t="s">
        <v>82</v>
      </c>
      <c r="J365" s="50" t="s">
        <v>4176</v>
      </c>
      <c r="K365" s="8" t="s">
        <v>1430</v>
      </c>
      <c r="L365" s="6" t="s">
        <v>5265</v>
      </c>
      <c r="M365" s="61" t="s">
        <v>1005</v>
      </c>
      <c r="N365" s="6" t="s">
        <v>5266</v>
      </c>
      <c r="O365" s="6" t="s">
        <v>5267</v>
      </c>
      <c r="P365" s="76">
        <v>1000</v>
      </c>
      <c r="Q365" s="6" t="s">
        <v>149</v>
      </c>
      <c r="R365" s="50" t="s">
        <v>4319</v>
      </c>
      <c r="S365" s="50" t="s">
        <v>4215</v>
      </c>
      <c r="T365" s="50" t="s">
        <v>3506</v>
      </c>
      <c r="U365" s="6" t="s">
        <v>689</v>
      </c>
      <c r="V365" s="6"/>
      <c r="W365" s="6"/>
      <c r="X365" s="6"/>
      <c r="Y365" s="6"/>
      <c r="Z365" s="6"/>
      <c r="AA365" s="6"/>
      <c r="AB365" s="6"/>
      <c r="AC365" s="6"/>
      <c r="AD365" s="6"/>
      <c r="AE365" s="6"/>
      <c r="AF365" s="6"/>
      <c r="AG365" s="6"/>
    </row>
    <row r="366" ht="18.75" customHeight="1" spans="1:33">
      <c r="A366" s="11" t="s">
        <v>872</v>
      </c>
      <c r="B366" s="96">
        <v>46161</v>
      </c>
      <c r="C366" s="6" t="str">
        <f t="shared" si="6"/>
        <v>2026年5月</v>
      </c>
      <c r="D366" s="40" t="s">
        <v>40</v>
      </c>
      <c r="E366" s="6" t="s">
        <v>5268</v>
      </c>
      <c r="F366" s="11" t="s">
        <v>10</v>
      </c>
      <c r="G366" s="50" t="s">
        <v>4169</v>
      </c>
      <c r="H366" s="40"/>
      <c r="I366" s="50" t="s">
        <v>82</v>
      </c>
      <c r="J366" s="50" t="s">
        <v>4176</v>
      </c>
      <c r="K366" s="97" t="s">
        <v>5269</v>
      </c>
      <c r="L366" s="11" t="s">
        <v>5270</v>
      </c>
      <c r="M366" s="98" t="s">
        <v>5232</v>
      </c>
      <c r="N366" s="6" t="s">
        <v>5271</v>
      </c>
      <c r="O366" s="11" t="s">
        <v>1016</v>
      </c>
      <c r="P366" s="61">
        <v>406.19</v>
      </c>
      <c r="Q366" s="11" t="s">
        <v>149</v>
      </c>
      <c r="R366" s="50" t="s">
        <v>4319</v>
      </c>
      <c r="S366" s="93" t="s">
        <v>4215</v>
      </c>
      <c r="T366" s="93" t="s">
        <v>3506</v>
      </c>
      <c r="U366" s="11" t="s">
        <v>1914</v>
      </c>
      <c r="V366" s="6" t="s">
        <v>5272</v>
      </c>
      <c r="W366" s="6"/>
      <c r="X366" s="6"/>
      <c r="Y366" s="6"/>
      <c r="Z366" s="6"/>
      <c r="AA366" s="6"/>
      <c r="AB366" s="6"/>
      <c r="AC366" s="6"/>
      <c r="AD366" s="6"/>
      <c r="AE366" s="6"/>
      <c r="AF366" s="6"/>
      <c r="AG366" s="6"/>
    </row>
    <row r="367" ht="18.75" customHeight="1" spans="1:33">
      <c r="A367" s="11" t="s">
        <v>872</v>
      </c>
      <c r="B367" s="96">
        <v>46161</v>
      </c>
      <c r="C367" s="6" t="str">
        <f t="shared" si="6"/>
        <v>2026年5月</v>
      </c>
      <c r="D367" s="40" t="s">
        <v>40</v>
      </c>
      <c r="E367" s="41" t="s">
        <v>5273</v>
      </c>
      <c r="F367" s="11" t="s">
        <v>10</v>
      </c>
      <c r="G367" s="50" t="s">
        <v>4169</v>
      </c>
      <c r="H367" s="40"/>
      <c r="I367" s="50" t="s">
        <v>82</v>
      </c>
      <c r="J367" s="50" t="s">
        <v>4176</v>
      </c>
      <c r="K367" s="12"/>
      <c r="L367" s="12"/>
      <c r="M367" s="12"/>
      <c r="N367" s="6" t="s">
        <v>5274</v>
      </c>
      <c r="O367" s="12"/>
      <c r="P367" s="61">
        <v>374.62</v>
      </c>
      <c r="Q367" s="11" t="s">
        <v>149</v>
      </c>
      <c r="R367" s="50" t="s">
        <v>4319</v>
      </c>
      <c r="S367" s="12"/>
      <c r="T367" s="12"/>
      <c r="U367" s="12"/>
      <c r="V367" s="6" t="s">
        <v>5272</v>
      </c>
      <c r="W367" s="6"/>
      <c r="X367" s="6"/>
      <c r="Y367" s="6"/>
      <c r="Z367" s="6"/>
      <c r="AA367" s="6"/>
      <c r="AB367" s="6"/>
      <c r="AC367" s="6"/>
      <c r="AD367" s="6"/>
      <c r="AE367" s="6"/>
      <c r="AF367" s="6"/>
      <c r="AG367" s="6"/>
    </row>
    <row r="368" ht="18.75" customHeight="1" spans="1:33">
      <c r="A368" s="11" t="s">
        <v>872</v>
      </c>
      <c r="B368" s="96">
        <v>46161</v>
      </c>
      <c r="C368" s="6" t="str">
        <f t="shared" si="6"/>
        <v>2026年5月</v>
      </c>
      <c r="D368" s="40" t="s">
        <v>40</v>
      </c>
      <c r="E368" s="6" t="s">
        <v>5275</v>
      </c>
      <c r="F368" s="11" t="s">
        <v>10</v>
      </c>
      <c r="G368" s="50" t="s">
        <v>4169</v>
      </c>
      <c r="H368" s="40"/>
      <c r="I368" s="50" t="s">
        <v>82</v>
      </c>
      <c r="J368" s="50" t="s">
        <v>4176</v>
      </c>
      <c r="K368" s="12"/>
      <c r="L368" s="12"/>
      <c r="M368" s="12"/>
      <c r="N368" s="6" t="s">
        <v>5276</v>
      </c>
      <c r="O368" s="12"/>
      <c r="P368" s="61">
        <v>547.94</v>
      </c>
      <c r="Q368" s="11" t="s">
        <v>149</v>
      </c>
      <c r="R368" s="50" t="s">
        <v>4319</v>
      </c>
      <c r="S368" s="13"/>
      <c r="T368" s="13"/>
      <c r="U368" s="13"/>
      <c r="V368" s="6" t="s">
        <v>5272</v>
      </c>
      <c r="W368" s="6"/>
      <c r="X368" s="6"/>
      <c r="Y368" s="6"/>
      <c r="Z368" s="6"/>
      <c r="AA368" s="6"/>
      <c r="AB368" s="6"/>
      <c r="AC368" s="6"/>
      <c r="AD368" s="6"/>
      <c r="AE368" s="6"/>
      <c r="AF368" s="6"/>
      <c r="AG368" s="6"/>
    </row>
    <row r="369" ht="15.5" spans="1:33">
      <c r="A369" s="6" t="s">
        <v>872</v>
      </c>
      <c r="B369" s="7">
        <v>46162</v>
      </c>
      <c r="C369" s="6" t="str">
        <f t="shared" si="6"/>
        <v>2026年5月</v>
      </c>
      <c r="D369" s="40" t="s">
        <v>40</v>
      </c>
      <c r="E369" s="6" t="s">
        <v>5277</v>
      </c>
      <c r="F369" s="6" t="s">
        <v>10</v>
      </c>
      <c r="G369" s="50" t="s">
        <v>2954</v>
      </c>
      <c r="H369" s="40"/>
      <c r="I369" s="50" t="s">
        <v>82</v>
      </c>
      <c r="J369" s="50" t="s">
        <v>4176</v>
      </c>
      <c r="K369" s="8" t="s">
        <v>5278</v>
      </c>
      <c r="L369" s="6" t="s">
        <v>5279</v>
      </c>
      <c r="M369" s="61" t="s">
        <v>1005</v>
      </c>
      <c r="N369" s="6" t="s">
        <v>5280</v>
      </c>
      <c r="O369" s="6" t="s">
        <v>5281</v>
      </c>
      <c r="P369" s="61">
        <v>39.42</v>
      </c>
      <c r="Q369" s="6" t="s">
        <v>149</v>
      </c>
      <c r="R369" s="50" t="s">
        <v>4319</v>
      </c>
      <c r="S369" s="50" t="s">
        <v>4215</v>
      </c>
      <c r="T369" s="50" t="s">
        <v>3506</v>
      </c>
      <c r="U369" s="6" t="s">
        <v>778</v>
      </c>
      <c r="V369" s="6" t="s">
        <v>5272</v>
      </c>
      <c r="W369" s="6"/>
      <c r="X369" s="6"/>
      <c r="Y369" s="6"/>
      <c r="Z369" s="6"/>
      <c r="AA369" s="6"/>
      <c r="AB369" s="6"/>
      <c r="AC369" s="6"/>
      <c r="AD369" s="6"/>
      <c r="AE369" s="6"/>
      <c r="AF369" s="6"/>
      <c r="AG369" s="6"/>
    </row>
    <row r="370" ht="18.75" customHeight="1" spans="1:33">
      <c r="A370" s="6" t="s">
        <v>142</v>
      </c>
      <c r="B370" s="7">
        <v>46163</v>
      </c>
      <c r="C370" s="6" t="str">
        <f t="shared" si="6"/>
        <v>2026年5月</v>
      </c>
      <c r="D370" s="40" t="s">
        <v>40</v>
      </c>
      <c r="E370" s="6" t="s">
        <v>5282</v>
      </c>
      <c r="F370" s="6" t="s">
        <v>10</v>
      </c>
      <c r="G370" s="50" t="s">
        <v>2954</v>
      </c>
      <c r="H370" s="40"/>
      <c r="I370" s="93" t="s">
        <v>82</v>
      </c>
      <c r="J370" s="50" t="s">
        <v>4176</v>
      </c>
      <c r="K370" s="8" t="s">
        <v>5283</v>
      </c>
      <c r="L370" s="6" t="s">
        <v>5284</v>
      </c>
      <c r="M370" s="61" t="s">
        <v>5285</v>
      </c>
      <c r="N370" s="6" t="s">
        <v>5286</v>
      </c>
      <c r="O370" s="6" t="s">
        <v>2105</v>
      </c>
      <c r="P370" s="61">
        <v>450</v>
      </c>
      <c r="Q370" s="6" t="s">
        <v>149</v>
      </c>
      <c r="R370" s="50" t="s">
        <v>4319</v>
      </c>
      <c r="S370" s="50" t="s">
        <v>4215</v>
      </c>
      <c r="T370" s="50" t="s">
        <v>3506</v>
      </c>
      <c r="U370" s="6" t="s">
        <v>689</v>
      </c>
      <c r="V370" s="6"/>
      <c r="W370" s="6"/>
      <c r="X370" s="6"/>
      <c r="Y370" s="6"/>
      <c r="Z370" s="6"/>
      <c r="AA370" s="6"/>
      <c r="AB370" s="6"/>
      <c r="AC370" s="6"/>
      <c r="AD370" s="6"/>
      <c r="AE370" s="6"/>
      <c r="AF370" s="6"/>
      <c r="AG370" s="6"/>
    </row>
    <row r="371" ht="18.75" customHeight="1" spans="1:33">
      <c r="A371" s="6" t="s">
        <v>142</v>
      </c>
      <c r="B371" s="7">
        <v>46164</v>
      </c>
      <c r="C371" s="6" t="str">
        <f t="shared" si="6"/>
        <v>2026年5月</v>
      </c>
      <c r="D371" s="40" t="s">
        <v>40</v>
      </c>
      <c r="E371" s="6" t="s">
        <v>5287</v>
      </c>
      <c r="F371" s="6" t="s">
        <v>10</v>
      </c>
      <c r="G371" s="50" t="s">
        <v>2954</v>
      </c>
      <c r="H371" s="40"/>
      <c r="I371" s="13"/>
      <c r="J371" s="50" t="s">
        <v>4176</v>
      </c>
      <c r="K371" s="8" t="s">
        <v>5283</v>
      </c>
      <c r="L371" s="6" t="s">
        <v>5284</v>
      </c>
      <c r="M371" s="61"/>
      <c r="N371" s="6" t="s">
        <v>5288</v>
      </c>
      <c r="O371" s="6" t="s">
        <v>2105</v>
      </c>
      <c r="P371" s="61">
        <v>50</v>
      </c>
      <c r="Q371" s="6" t="s">
        <v>149</v>
      </c>
      <c r="R371" s="50" t="s">
        <v>4319</v>
      </c>
      <c r="S371" s="50" t="s">
        <v>4215</v>
      </c>
      <c r="T371" s="50" t="s">
        <v>3506</v>
      </c>
      <c r="U371" s="6" t="s">
        <v>689</v>
      </c>
      <c r="V371" s="6"/>
      <c r="W371" s="6"/>
      <c r="X371" s="6"/>
      <c r="Y371" s="6"/>
      <c r="Z371" s="6"/>
      <c r="AA371" s="6"/>
      <c r="AB371" s="6"/>
      <c r="AC371" s="6"/>
      <c r="AD371" s="6"/>
      <c r="AE371" s="6"/>
      <c r="AF371" s="6"/>
      <c r="AG371" s="6"/>
    </row>
    <row r="372" ht="15.5" spans="1:33">
      <c r="A372" s="6" t="s">
        <v>872</v>
      </c>
      <c r="B372" s="7">
        <v>46165</v>
      </c>
      <c r="C372" s="6" t="str">
        <f t="shared" si="6"/>
        <v>2026年5月</v>
      </c>
      <c r="D372" s="40" t="s">
        <v>40</v>
      </c>
      <c r="E372" s="92" t="s">
        <v>5289</v>
      </c>
      <c r="F372" s="6" t="s">
        <v>10</v>
      </c>
      <c r="G372" s="50" t="s">
        <v>4169</v>
      </c>
      <c r="H372" s="40"/>
      <c r="I372" s="50" t="s">
        <v>82</v>
      </c>
      <c r="J372" s="50" t="s">
        <v>4176</v>
      </c>
      <c r="K372" s="8" t="s">
        <v>5269</v>
      </c>
      <c r="L372" s="6" t="s">
        <v>5270</v>
      </c>
      <c r="M372" s="61" t="s">
        <v>1014</v>
      </c>
      <c r="N372" s="6" t="s">
        <v>5290</v>
      </c>
      <c r="O372" s="6" t="s">
        <v>5291</v>
      </c>
      <c r="P372" s="61">
        <v>402.21</v>
      </c>
      <c r="Q372" s="6" t="s">
        <v>149</v>
      </c>
      <c r="R372" s="50" t="s">
        <v>4319</v>
      </c>
      <c r="S372" s="50" t="s">
        <v>4215</v>
      </c>
      <c r="T372" s="50" t="s">
        <v>3506</v>
      </c>
      <c r="U372" s="6" t="s">
        <v>1914</v>
      </c>
      <c r="V372" s="6" t="s">
        <v>5272</v>
      </c>
      <c r="W372" s="6"/>
      <c r="X372" s="6"/>
      <c r="Y372" s="6"/>
      <c r="Z372" s="6"/>
      <c r="AA372" s="6"/>
      <c r="AB372" s="6"/>
      <c r="AC372" s="6"/>
      <c r="AD372" s="6"/>
      <c r="AE372" s="6"/>
      <c r="AF372" s="6"/>
      <c r="AG372" s="6"/>
    </row>
    <row r="373" ht="15.5" spans="1:33">
      <c r="A373" s="6" t="s">
        <v>872</v>
      </c>
      <c r="B373" s="7">
        <v>46169</v>
      </c>
      <c r="C373" s="6" t="str">
        <f t="shared" si="6"/>
        <v>2026年5月</v>
      </c>
      <c r="D373" s="40" t="s">
        <v>40</v>
      </c>
      <c r="E373" s="92" t="s">
        <v>5292</v>
      </c>
      <c r="F373" s="6" t="s">
        <v>10</v>
      </c>
      <c r="G373" s="50" t="s">
        <v>4169</v>
      </c>
      <c r="H373" s="40"/>
      <c r="I373" s="50" t="s">
        <v>82</v>
      </c>
      <c r="J373" s="50" t="s">
        <v>4176</v>
      </c>
      <c r="K373" s="8" t="s">
        <v>1228</v>
      </c>
      <c r="L373" s="6" t="s">
        <v>1230</v>
      </c>
      <c r="M373" s="61" t="s">
        <v>5293</v>
      </c>
      <c r="N373" s="6" t="s">
        <v>5294</v>
      </c>
      <c r="O373" s="6" t="s">
        <v>5263</v>
      </c>
      <c r="P373" s="61">
        <v>30</v>
      </c>
      <c r="Q373" s="6" t="s">
        <v>139</v>
      </c>
      <c r="R373" s="50" t="s">
        <v>4319</v>
      </c>
      <c r="S373" s="50" t="s">
        <v>4215</v>
      </c>
      <c r="T373" s="50" t="s">
        <v>3506</v>
      </c>
      <c r="U373" s="6" t="s">
        <v>689</v>
      </c>
      <c r="V373" s="6"/>
      <c r="W373" s="6"/>
      <c r="X373" s="6"/>
      <c r="Y373" s="6"/>
      <c r="Z373" s="6"/>
      <c r="AA373" s="6"/>
      <c r="AB373" s="6"/>
      <c r="AC373" s="6"/>
      <c r="AD373" s="6"/>
      <c r="AE373" s="6"/>
      <c r="AF373" s="6"/>
      <c r="AG373" s="6"/>
    </row>
    <row r="374" ht="15.5" spans="1:33">
      <c r="A374" s="6" t="s">
        <v>872</v>
      </c>
      <c r="B374" s="7">
        <v>46175</v>
      </c>
      <c r="C374" s="6" t="str">
        <f t="shared" si="6"/>
        <v>2026年6月</v>
      </c>
      <c r="D374" s="40" t="s">
        <v>40</v>
      </c>
      <c r="E374" s="6" t="s">
        <v>5295</v>
      </c>
      <c r="F374" s="6" t="s">
        <v>10</v>
      </c>
      <c r="G374" s="50" t="s">
        <v>4169</v>
      </c>
      <c r="H374" s="40"/>
      <c r="I374" s="50" t="s">
        <v>82</v>
      </c>
      <c r="J374" s="50" t="s">
        <v>4176</v>
      </c>
      <c r="K374" s="71" t="s">
        <v>5296</v>
      </c>
      <c r="L374" s="6" t="s">
        <v>5297</v>
      </c>
      <c r="M374" s="61" t="s">
        <v>5298</v>
      </c>
      <c r="N374" s="6" t="s">
        <v>5299</v>
      </c>
      <c r="O374" s="6" t="s">
        <v>5300</v>
      </c>
      <c r="P374" s="61">
        <v>288</v>
      </c>
      <c r="Q374" s="6" t="s">
        <v>149</v>
      </c>
      <c r="R374" s="50" t="s">
        <v>4253</v>
      </c>
      <c r="S374" s="50" t="s">
        <v>4215</v>
      </c>
      <c r="T374" s="50" t="s">
        <v>3506</v>
      </c>
      <c r="U374" s="6" t="s">
        <v>689</v>
      </c>
      <c r="V374" s="6"/>
      <c r="W374" s="6"/>
      <c r="X374" s="6"/>
      <c r="Y374" s="6"/>
      <c r="Z374" s="6"/>
      <c r="AA374" s="6"/>
      <c r="AB374" s="6"/>
      <c r="AC374" s="6"/>
      <c r="AD374" s="6"/>
      <c r="AE374" s="6"/>
      <c r="AF374" s="6"/>
      <c r="AG374" s="6"/>
    </row>
    <row r="375" ht="15.5" spans="1:33">
      <c r="A375" s="6" t="s">
        <v>2352</v>
      </c>
      <c r="B375" s="7">
        <v>46177</v>
      </c>
      <c r="C375" s="6" t="str">
        <f t="shared" si="6"/>
        <v>2026年6月</v>
      </c>
      <c r="D375" s="40" t="s">
        <v>40</v>
      </c>
      <c r="E375" s="6" t="s">
        <v>5301</v>
      </c>
      <c r="F375" s="6" t="s">
        <v>10</v>
      </c>
      <c r="G375" s="50" t="s">
        <v>2954</v>
      </c>
      <c r="H375" s="40"/>
      <c r="I375" s="50" t="s">
        <v>82</v>
      </c>
      <c r="J375" s="50" t="s">
        <v>4176</v>
      </c>
      <c r="K375" s="8" t="s">
        <v>5296</v>
      </c>
      <c r="L375" s="29" t="s">
        <v>5297</v>
      </c>
      <c r="M375" s="61" t="s">
        <v>4527</v>
      </c>
      <c r="N375" s="6" t="s">
        <v>5302</v>
      </c>
      <c r="O375" s="6" t="s">
        <v>5303</v>
      </c>
      <c r="P375" s="61">
        <v>788</v>
      </c>
      <c r="Q375" s="6" t="s">
        <v>149</v>
      </c>
      <c r="R375" s="50" t="s">
        <v>4319</v>
      </c>
      <c r="S375" s="50" t="s">
        <v>4215</v>
      </c>
      <c r="T375" s="50" t="s">
        <v>3506</v>
      </c>
      <c r="U375" s="6" t="s">
        <v>689</v>
      </c>
      <c r="V375" s="6" t="s">
        <v>5272</v>
      </c>
      <c r="W375" s="6"/>
      <c r="X375" s="6"/>
      <c r="Y375" s="6"/>
      <c r="Z375" s="6"/>
      <c r="AA375" s="6"/>
      <c r="AB375" s="6"/>
      <c r="AC375" s="6"/>
      <c r="AD375" s="6"/>
      <c r="AE375" s="6"/>
      <c r="AF375" s="6"/>
      <c r="AG375" s="6"/>
    </row>
    <row r="376" ht="28" spans="1:33">
      <c r="A376" s="6" t="s">
        <v>872</v>
      </c>
      <c r="B376" s="7">
        <v>46183</v>
      </c>
      <c r="C376" s="6" t="str">
        <f t="shared" si="6"/>
        <v>2026年6月</v>
      </c>
      <c r="D376" s="40" t="s">
        <v>39</v>
      </c>
      <c r="E376" s="92" t="s">
        <v>5304</v>
      </c>
      <c r="F376" s="6" t="s">
        <v>11</v>
      </c>
      <c r="G376" s="50" t="s">
        <v>2954</v>
      </c>
      <c r="H376" s="40" t="s">
        <v>4256</v>
      </c>
      <c r="I376" s="50" t="s">
        <v>1058</v>
      </c>
      <c r="J376" s="50" t="s">
        <v>4176</v>
      </c>
      <c r="K376" s="8" t="s">
        <v>5305</v>
      </c>
      <c r="L376" s="6" t="s">
        <v>5306</v>
      </c>
      <c r="M376" s="61" t="s">
        <v>5307</v>
      </c>
      <c r="N376" s="6" t="s">
        <v>5308</v>
      </c>
      <c r="O376" s="6" t="s">
        <v>5309</v>
      </c>
      <c r="P376" s="76">
        <v>1268000</v>
      </c>
      <c r="Q376" s="6" t="s">
        <v>1062</v>
      </c>
      <c r="R376" s="50" t="s">
        <v>4319</v>
      </c>
      <c r="S376" s="50" t="s">
        <v>4215</v>
      </c>
      <c r="T376" s="50" t="s">
        <v>3557</v>
      </c>
      <c r="U376" s="6" t="s">
        <v>1724</v>
      </c>
      <c r="V376" s="41" t="s">
        <v>5310</v>
      </c>
      <c r="W376" s="6"/>
      <c r="X376" s="6"/>
      <c r="Y376" s="6"/>
      <c r="Z376" s="6"/>
      <c r="AA376" s="6"/>
      <c r="AB376" s="6"/>
      <c r="AC376" s="6"/>
      <c r="AD376" s="6"/>
      <c r="AE376" s="6"/>
      <c r="AF376" s="6"/>
      <c r="AG376" s="6"/>
    </row>
    <row r="377" ht="30" customHeight="1" spans="1:33">
      <c r="A377" s="6" t="s">
        <v>142</v>
      </c>
      <c r="B377" s="7">
        <v>46183</v>
      </c>
      <c r="C377" s="6" t="str">
        <f t="shared" si="6"/>
        <v>2026年6月</v>
      </c>
      <c r="D377" s="40" t="s">
        <v>5311</v>
      </c>
      <c r="E377" s="6" t="s">
        <v>5312</v>
      </c>
      <c r="F377" s="6" t="s">
        <v>10</v>
      </c>
      <c r="G377" s="50" t="s">
        <v>4169</v>
      </c>
      <c r="H377" s="40"/>
      <c r="I377" s="50" t="s">
        <v>82</v>
      </c>
      <c r="J377" s="50" t="s">
        <v>4176</v>
      </c>
      <c r="K377" s="8" t="s">
        <v>3262</v>
      </c>
      <c r="L377" s="6" t="s">
        <v>3263</v>
      </c>
      <c r="M377" s="98" t="s">
        <v>1014</v>
      </c>
      <c r="N377" s="41" t="s">
        <v>5313</v>
      </c>
      <c r="O377" s="6" t="s">
        <v>1016</v>
      </c>
      <c r="P377" s="61">
        <v>229.35</v>
      </c>
      <c r="Q377" s="6" t="s">
        <v>149</v>
      </c>
      <c r="R377" s="50" t="s">
        <v>4253</v>
      </c>
      <c r="S377" s="50" t="s">
        <v>4215</v>
      </c>
      <c r="T377" s="50" t="s">
        <v>3506</v>
      </c>
      <c r="U377" s="6"/>
      <c r="V377" s="6"/>
      <c r="W377" s="6"/>
      <c r="X377" s="6"/>
      <c r="Y377" s="6"/>
      <c r="Z377" s="6"/>
      <c r="AA377" s="6"/>
      <c r="AB377" s="6"/>
      <c r="AC377" s="6"/>
      <c r="AD377" s="6"/>
      <c r="AE377" s="6"/>
      <c r="AF377" s="6"/>
      <c r="AG377" s="6"/>
    </row>
    <row r="378" ht="30" customHeight="1" spans="1:33">
      <c r="A378" s="6" t="s">
        <v>142</v>
      </c>
      <c r="B378" s="7">
        <v>46183</v>
      </c>
      <c r="C378" s="6" t="str">
        <f t="shared" si="6"/>
        <v>2026年6月</v>
      </c>
      <c r="D378" s="40" t="s">
        <v>5311</v>
      </c>
      <c r="E378" s="6" t="s">
        <v>5314</v>
      </c>
      <c r="F378" s="6" t="s">
        <v>10</v>
      </c>
      <c r="G378" s="50" t="s">
        <v>4169</v>
      </c>
      <c r="H378" s="40"/>
      <c r="I378" s="50" t="s">
        <v>82</v>
      </c>
      <c r="J378" s="50" t="s">
        <v>4176</v>
      </c>
      <c r="K378" s="8" t="s">
        <v>3262</v>
      </c>
      <c r="L378" s="6" t="s">
        <v>3263</v>
      </c>
      <c r="M378" s="12"/>
      <c r="N378" s="41" t="s">
        <v>5315</v>
      </c>
      <c r="O378" s="6" t="s">
        <v>1016</v>
      </c>
      <c r="P378" s="61">
        <v>232.15</v>
      </c>
      <c r="Q378" s="6" t="s">
        <v>149</v>
      </c>
      <c r="R378" s="50" t="s">
        <v>4253</v>
      </c>
      <c r="S378" s="50" t="s">
        <v>4215</v>
      </c>
      <c r="T378" s="50" t="s">
        <v>3506</v>
      </c>
      <c r="U378" s="6"/>
      <c r="V378" s="6"/>
      <c r="W378" s="6"/>
      <c r="X378" s="6"/>
      <c r="Y378" s="6"/>
      <c r="Z378" s="6"/>
      <c r="AA378" s="6"/>
      <c r="AB378" s="6"/>
      <c r="AC378" s="6"/>
      <c r="AD378" s="6"/>
      <c r="AE378" s="6"/>
      <c r="AF378" s="6"/>
      <c r="AG378" s="6"/>
    </row>
    <row r="379" ht="18.75" customHeight="1" spans="1:33">
      <c r="A379" s="6" t="s">
        <v>142</v>
      </c>
      <c r="B379" s="7">
        <v>46183</v>
      </c>
      <c r="C379" s="6" t="str">
        <f t="shared" si="6"/>
        <v>2026年6月</v>
      </c>
      <c r="D379" s="40" t="s">
        <v>5311</v>
      </c>
      <c r="E379" s="6" t="s">
        <v>5316</v>
      </c>
      <c r="F379" s="6" t="s">
        <v>10</v>
      </c>
      <c r="G379" s="50" t="s">
        <v>4169</v>
      </c>
      <c r="H379" s="40"/>
      <c r="I379" s="50" t="s">
        <v>82</v>
      </c>
      <c r="J379" s="50" t="s">
        <v>4176</v>
      </c>
      <c r="K379" s="8" t="s">
        <v>3262</v>
      </c>
      <c r="L379" s="6" t="s">
        <v>3263</v>
      </c>
      <c r="M379" s="12"/>
      <c r="N379" s="6" t="s">
        <v>5317</v>
      </c>
      <c r="O379" s="6" t="s">
        <v>1016</v>
      </c>
      <c r="P379" s="61">
        <v>230.43</v>
      </c>
      <c r="Q379" s="6" t="s">
        <v>149</v>
      </c>
      <c r="R379" s="50" t="s">
        <v>4253</v>
      </c>
      <c r="S379" s="50" t="s">
        <v>4215</v>
      </c>
      <c r="T379" s="50" t="s">
        <v>3506</v>
      </c>
      <c r="U379" s="6"/>
      <c r="V379" s="6"/>
      <c r="W379" s="6"/>
      <c r="X379" s="6"/>
      <c r="Y379" s="6"/>
      <c r="Z379" s="6"/>
      <c r="AA379" s="6"/>
      <c r="AB379" s="6"/>
      <c r="AC379" s="6"/>
      <c r="AD379" s="6"/>
      <c r="AE379" s="6"/>
      <c r="AF379" s="6"/>
      <c r="AG379" s="6"/>
    </row>
    <row r="380" ht="30" customHeight="1" spans="1:33">
      <c r="A380" s="6" t="s">
        <v>142</v>
      </c>
      <c r="B380" s="7">
        <v>46183</v>
      </c>
      <c r="C380" s="6" t="str">
        <f t="shared" si="6"/>
        <v>2026年6月</v>
      </c>
      <c r="D380" s="40" t="s">
        <v>5311</v>
      </c>
      <c r="E380" s="6" t="s">
        <v>5318</v>
      </c>
      <c r="F380" s="6" t="s">
        <v>10</v>
      </c>
      <c r="G380" s="50" t="s">
        <v>4169</v>
      </c>
      <c r="H380" s="40"/>
      <c r="I380" s="50" t="s">
        <v>82</v>
      </c>
      <c r="J380" s="50" t="s">
        <v>4176</v>
      </c>
      <c r="K380" s="8" t="s">
        <v>3262</v>
      </c>
      <c r="L380" s="6" t="s">
        <v>3263</v>
      </c>
      <c r="M380" s="12"/>
      <c r="N380" s="41" t="s">
        <v>5319</v>
      </c>
      <c r="O380" s="6" t="s">
        <v>1016</v>
      </c>
      <c r="P380" s="61">
        <v>230.43</v>
      </c>
      <c r="Q380" s="6" t="s">
        <v>149</v>
      </c>
      <c r="R380" s="50" t="s">
        <v>4253</v>
      </c>
      <c r="S380" s="50" t="s">
        <v>4215</v>
      </c>
      <c r="T380" s="50" t="s">
        <v>3506</v>
      </c>
      <c r="U380" s="6"/>
      <c r="V380" s="6"/>
      <c r="W380" s="6"/>
      <c r="X380" s="6"/>
      <c r="Y380" s="6"/>
      <c r="Z380" s="6"/>
      <c r="AA380" s="6"/>
      <c r="AB380" s="6"/>
      <c r="AC380" s="6"/>
      <c r="AD380" s="6"/>
      <c r="AE380" s="6"/>
      <c r="AF380" s="6"/>
      <c r="AG380" s="6"/>
    </row>
    <row r="381" ht="30" customHeight="1" spans="1:33">
      <c r="A381" s="6" t="s">
        <v>142</v>
      </c>
      <c r="B381" s="7">
        <v>46183</v>
      </c>
      <c r="C381" s="6" t="str">
        <f t="shared" si="6"/>
        <v>2026年6月</v>
      </c>
      <c r="D381" s="40" t="s">
        <v>5311</v>
      </c>
      <c r="E381" s="6" t="s">
        <v>5318</v>
      </c>
      <c r="F381" s="6" t="s">
        <v>10</v>
      </c>
      <c r="G381" s="50" t="s">
        <v>4169</v>
      </c>
      <c r="H381" s="40"/>
      <c r="I381" s="50" t="s">
        <v>82</v>
      </c>
      <c r="J381" s="50" t="s">
        <v>4176</v>
      </c>
      <c r="K381" s="8" t="s">
        <v>3262</v>
      </c>
      <c r="L381" s="6" t="s">
        <v>3263</v>
      </c>
      <c r="M381" s="12"/>
      <c r="N381" s="41" t="s">
        <v>5320</v>
      </c>
      <c r="O381" s="6" t="s">
        <v>1016</v>
      </c>
      <c r="P381" s="61">
        <v>225.77</v>
      </c>
      <c r="Q381" s="6" t="s">
        <v>149</v>
      </c>
      <c r="R381" s="50" t="s">
        <v>4253</v>
      </c>
      <c r="S381" s="50" t="s">
        <v>4215</v>
      </c>
      <c r="T381" s="50" t="s">
        <v>3506</v>
      </c>
      <c r="U381" s="6"/>
      <c r="V381" s="6"/>
      <c r="W381" s="6"/>
      <c r="X381" s="6"/>
      <c r="Y381" s="6"/>
      <c r="Z381" s="6"/>
      <c r="AA381" s="6"/>
      <c r="AB381" s="6"/>
      <c r="AC381" s="6"/>
      <c r="AD381" s="6"/>
      <c r="AE381" s="6"/>
      <c r="AF381" s="6"/>
      <c r="AG381" s="6"/>
    </row>
    <row r="382" ht="18.75" customHeight="1" spans="1:33">
      <c r="A382" s="6" t="s">
        <v>142</v>
      </c>
      <c r="B382" s="7">
        <v>46183</v>
      </c>
      <c r="C382" s="6" t="str">
        <f t="shared" si="6"/>
        <v>2026年6月</v>
      </c>
      <c r="D382" s="40" t="s">
        <v>5311</v>
      </c>
      <c r="E382" s="6" t="s">
        <v>5318</v>
      </c>
      <c r="F382" s="6" t="s">
        <v>10</v>
      </c>
      <c r="G382" s="50" t="s">
        <v>4169</v>
      </c>
      <c r="H382" s="40"/>
      <c r="I382" s="50" t="s">
        <v>82</v>
      </c>
      <c r="J382" s="50" t="s">
        <v>4176</v>
      </c>
      <c r="K382" s="8" t="s">
        <v>3262</v>
      </c>
      <c r="L382" s="6" t="s">
        <v>3263</v>
      </c>
      <c r="M382" s="12"/>
      <c r="N382" s="6" t="s">
        <v>5321</v>
      </c>
      <c r="O382" s="6" t="s">
        <v>1016</v>
      </c>
      <c r="P382" s="61">
        <v>230.43</v>
      </c>
      <c r="Q382" s="6" t="s">
        <v>149</v>
      </c>
      <c r="R382" s="50" t="s">
        <v>4253</v>
      </c>
      <c r="S382" s="50" t="s">
        <v>4215</v>
      </c>
      <c r="T382" s="50" t="s">
        <v>3506</v>
      </c>
      <c r="U382" s="6"/>
      <c r="V382" s="6"/>
      <c r="W382" s="6"/>
      <c r="X382" s="6"/>
      <c r="Y382" s="6"/>
      <c r="Z382" s="6"/>
      <c r="AA382" s="6"/>
      <c r="AB382" s="6"/>
      <c r="AC382" s="6"/>
      <c r="AD382" s="6"/>
      <c r="AE382" s="6"/>
      <c r="AF382" s="6"/>
      <c r="AG382" s="6"/>
    </row>
    <row r="383" ht="30" customHeight="1" spans="1:33">
      <c r="A383" s="6" t="s">
        <v>142</v>
      </c>
      <c r="B383" s="7">
        <v>46183</v>
      </c>
      <c r="C383" s="6" t="str">
        <f t="shared" si="6"/>
        <v>2026年6月</v>
      </c>
      <c r="D383" s="40" t="s">
        <v>5311</v>
      </c>
      <c r="E383" s="6" t="s">
        <v>5322</v>
      </c>
      <c r="F383" s="6" t="s">
        <v>10</v>
      </c>
      <c r="G383" s="50" t="s">
        <v>4169</v>
      </c>
      <c r="H383" s="40"/>
      <c r="I383" s="50" t="s">
        <v>82</v>
      </c>
      <c r="J383" s="50" t="s">
        <v>4176</v>
      </c>
      <c r="K383" s="8" t="s">
        <v>3262</v>
      </c>
      <c r="L383" s="6" t="s">
        <v>3263</v>
      </c>
      <c r="M383" s="12"/>
      <c r="N383" s="41" t="s">
        <v>5323</v>
      </c>
      <c r="O383" s="6" t="s">
        <v>1016</v>
      </c>
      <c r="P383" s="61">
        <v>226.13</v>
      </c>
      <c r="Q383" s="6" t="s">
        <v>149</v>
      </c>
      <c r="R383" s="50" t="s">
        <v>4253</v>
      </c>
      <c r="S383" s="50" t="s">
        <v>4215</v>
      </c>
      <c r="T383" s="50" t="s">
        <v>3506</v>
      </c>
      <c r="U383" s="6"/>
      <c r="V383" s="6"/>
      <c r="W383" s="6"/>
      <c r="X383" s="6"/>
      <c r="Y383" s="6"/>
      <c r="Z383" s="6"/>
      <c r="AA383" s="6"/>
      <c r="AB383" s="6"/>
      <c r="AC383" s="6"/>
      <c r="AD383" s="6"/>
      <c r="AE383" s="6"/>
      <c r="AF383" s="6"/>
      <c r="AG383" s="6"/>
    </row>
    <row r="384" ht="18.75" customHeight="1" spans="1:33">
      <c r="A384" s="6" t="s">
        <v>142</v>
      </c>
      <c r="B384" s="7">
        <v>46183</v>
      </c>
      <c r="C384" s="6" t="str">
        <f t="shared" si="6"/>
        <v>2026年6月</v>
      </c>
      <c r="D384" s="40" t="s">
        <v>5311</v>
      </c>
      <c r="E384" s="6" t="s">
        <v>5322</v>
      </c>
      <c r="F384" s="6" t="s">
        <v>10</v>
      </c>
      <c r="G384" s="50" t="s">
        <v>4169</v>
      </c>
      <c r="H384" s="40"/>
      <c r="I384" s="50" t="s">
        <v>82</v>
      </c>
      <c r="J384" s="50" t="s">
        <v>4176</v>
      </c>
      <c r="K384" s="8" t="s">
        <v>3262</v>
      </c>
      <c r="L384" s="6" t="s">
        <v>3263</v>
      </c>
      <c r="M384" s="13"/>
      <c r="N384" s="6" t="s">
        <v>5324</v>
      </c>
      <c r="O384" s="6" t="s">
        <v>1016</v>
      </c>
      <c r="P384" s="61">
        <v>229.89</v>
      </c>
      <c r="Q384" s="6" t="s">
        <v>149</v>
      </c>
      <c r="R384" s="50" t="s">
        <v>4253</v>
      </c>
      <c r="S384" s="50" t="s">
        <v>4215</v>
      </c>
      <c r="T384" s="50" t="s">
        <v>3506</v>
      </c>
      <c r="U384" s="6"/>
      <c r="V384" s="6"/>
      <c r="W384" s="6"/>
      <c r="X384" s="6"/>
      <c r="Y384" s="6"/>
      <c r="Z384" s="6"/>
      <c r="AA384" s="6"/>
      <c r="AB384" s="6"/>
      <c r="AC384" s="6"/>
      <c r="AD384" s="6"/>
      <c r="AE384" s="6"/>
      <c r="AF384" s="6"/>
      <c r="AG384" s="6"/>
    </row>
    <row r="385" ht="15.5" spans="1:33">
      <c r="A385" s="6" t="s">
        <v>872</v>
      </c>
      <c r="B385" s="7">
        <v>46183</v>
      </c>
      <c r="C385" s="6" t="str">
        <f t="shared" si="6"/>
        <v>2026年6月</v>
      </c>
      <c r="D385" s="40" t="s">
        <v>40</v>
      </c>
      <c r="E385" s="6" t="s">
        <v>5325</v>
      </c>
      <c r="F385" s="6" t="s">
        <v>10</v>
      </c>
      <c r="G385" s="50" t="s">
        <v>4169</v>
      </c>
      <c r="H385" s="40"/>
      <c r="I385" s="50" t="s">
        <v>82</v>
      </c>
      <c r="J385" s="50" t="s">
        <v>4176</v>
      </c>
      <c r="K385" s="8" t="s">
        <v>5326</v>
      </c>
      <c r="L385" s="6" t="s">
        <v>5327</v>
      </c>
      <c r="M385" s="61" t="s">
        <v>5328</v>
      </c>
      <c r="N385" s="6" t="s">
        <v>5329</v>
      </c>
      <c r="O385" s="6" t="s">
        <v>5330</v>
      </c>
      <c r="P385" s="61">
        <v>68</v>
      </c>
      <c r="Q385" s="6" t="s">
        <v>149</v>
      </c>
      <c r="R385" s="50" t="s">
        <v>4319</v>
      </c>
      <c r="S385" s="50" t="s">
        <v>4215</v>
      </c>
      <c r="T385" s="50" t="s">
        <v>3557</v>
      </c>
      <c r="U385" s="6" t="s">
        <v>822</v>
      </c>
      <c r="V385" s="6" t="s">
        <v>5331</v>
      </c>
      <c r="W385" s="6"/>
      <c r="X385" s="6"/>
      <c r="Y385" s="6"/>
      <c r="Z385" s="6"/>
      <c r="AA385" s="6"/>
      <c r="AB385" s="6"/>
      <c r="AC385" s="6"/>
      <c r="AD385" s="6"/>
      <c r="AE385" s="6"/>
      <c r="AF385" s="6"/>
      <c r="AG385" s="6"/>
    </row>
    <row r="386" ht="15.5" spans="1:33">
      <c r="A386" s="6" t="s">
        <v>872</v>
      </c>
      <c r="B386" s="7">
        <v>46183</v>
      </c>
      <c r="C386" s="6" t="str">
        <f t="shared" si="6"/>
        <v>2026年6月</v>
      </c>
      <c r="D386" s="40" t="s">
        <v>40</v>
      </c>
      <c r="E386" s="6" t="s">
        <v>5332</v>
      </c>
      <c r="F386" s="6" t="s">
        <v>10</v>
      </c>
      <c r="G386" s="50" t="s">
        <v>2954</v>
      </c>
      <c r="H386" s="40"/>
      <c r="I386" s="50" t="s">
        <v>82</v>
      </c>
      <c r="J386" s="50" t="s">
        <v>4176</v>
      </c>
      <c r="K386" s="8" t="s">
        <v>4909</v>
      </c>
      <c r="L386" s="6" t="s">
        <v>4910</v>
      </c>
      <c r="M386" s="61"/>
      <c r="N386" s="6" t="s">
        <v>5333</v>
      </c>
      <c r="O386" s="6" t="s">
        <v>5334</v>
      </c>
      <c r="P386" s="61">
        <v>55</v>
      </c>
      <c r="Q386" s="6" t="s">
        <v>149</v>
      </c>
      <c r="R386" s="50" t="s">
        <v>4319</v>
      </c>
      <c r="S386" s="50" t="s">
        <v>4215</v>
      </c>
      <c r="T386" s="50" t="s">
        <v>3506</v>
      </c>
      <c r="U386" s="6" t="s">
        <v>822</v>
      </c>
      <c r="V386" s="6" t="s">
        <v>5272</v>
      </c>
      <c r="W386" s="6"/>
      <c r="X386" s="6"/>
      <c r="Y386" s="6"/>
      <c r="Z386" s="6"/>
      <c r="AA386" s="6"/>
      <c r="AB386" s="6"/>
      <c r="AC386" s="6"/>
      <c r="AD386" s="6"/>
      <c r="AE386" s="6"/>
      <c r="AF386" s="6"/>
      <c r="AG386" s="6"/>
    </row>
    <row r="387" ht="15.5" spans="1:33">
      <c r="A387" s="6" t="s">
        <v>872</v>
      </c>
      <c r="B387" s="7">
        <v>46183</v>
      </c>
      <c r="C387" s="6" t="str">
        <f t="shared" si="6"/>
        <v>2026年6月</v>
      </c>
      <c r="D387" s="40" t="s">
        <v>40</v>
      </c>
      <c r="E387" s="6" t="s">
        <v>5335</v>
      </c>
      <c r="F387" s="6" t="s">
        <v>10</v>
      </c>
      <c r="G387" s="50" t="s">
        <v>4169</v>
      </c>
      <c r="H387" s="40"/>
      <c r="I387" s="50" t="s">
        <v>82</v>
      </c>
      <c r="J387" s="50" t="s">
        <v>4176</v>
      </c>
      <c r="K387" s="8" t="s">
        <v>5336</v>
      </c>
      <c r="L387" s="6" t="s">
        <v>5337</v>
      </c>
      <c r="M387" s="61"/>
      <c r="N387" s="6" t="s">
        <v>5338</v>
      </c>
      <c r="O387" s="6" t="s">
        <v>5339</v>
      </c>
      <c r="P387" s="61">
        <v>44</v>
      </c>
      <c r="Q387" s="6" t="s">
        <v>149</v>
      </c>
      <c r="R387" s="50" t="s">
        <v>4319</v>
      </c>
      <c r="S387" s="50" t="s">
        <v>4215</v>
      </c>
      <c r="T387" s="50" t="s">
        <v>3506</v>
      </c>
      <c r="U387" s="6" t="s">
        <v>2469</v>
      </c>
      <c r="V387" s="6" t="s">
        <v>5340</v>
      </c>
      <c r="W387" s="6"/>
      <c r="X387" s="6"/>
      <c r="Y387" s="6"/>
      <c r="Z387" s="6"/>
      <c r="AA387" s="6"/>
      <c r="AB387" s="6"/>
      <c r="AC387" s="6"/>
      <c r="AD387" s="6"/>
      <c r="AE387" s="6"/>
      <c r="AF387" s="6"/>
      <c r="AG387" s="6"/>
    </row>
    <row r="388" ht="18.75" customHeight="1" spans="1:33">
      <c r="A388" s="6" t="s">
        <v>872</v>
      </c>
      <c r="B388" s="7">
        <v>46183</v>
      </c>
      <c r="C388" s="6" t="str">
        <f t="shared" si="6"/>
        <v>2026年6月</v>
      </c>
      <c r="D388" s="40" t="s">
        <v>5311</v>
      </c>
      <c r="E388" s="6" t="s">
        <v>5341</v>
      </c>
      <c r="F388" s="6" t="s">
        <v>10</v>
      </c>
      <c r="G388" s="50" t="s">
        <v>4169</v>
      </c>
      <c r="H388" s="40"/>
      <c r="I388" s="50" t="s">
        <v>82</v>
      </c>
      <c r="J388" s="50" t="s">
        <v>4176</v>
      </c>
      <c r="K388" s="97" t="s">
        <v>3262</v>
      </c>
      <c r="L388" s="11" t="s">
        <v>3263</v>
      </c>
      <c r="M388" s="98" t="s">
        <v>5232</v>
      </c>
      <c r="N388" s="6" t="s">
        <v>5342</v>
      </c>
      <c r="O388" s="11" t="s">
        <v>5291</v>
      </c>
      <c r="P388" s="61">
        <v>230.43</v>
      </c>
      <c r="Q388" s="6" t="s">
        <v>149</v>
      </c>
      <c r="R388" s="50" t="s">
        <v>4253</v>
      </c>
      <c r="S388" s="50" t="s">
        <v>4215</v>
      </c>
      <c r="T388" s="50" t="s">
        <v>3506</v>
      </c>
      <c r="U388" s="6"/>
      <c r="V388" s="6"/>
      <c r="W388" s="6"/>
      <c r="X388" s="6"/>
      <c r="Y388" s="6"/>
      <c r="Z388" s="6"/>
      <c r="AA388" s="6"/>
      <c r="AB388" s="6"/>
      <c r="AC388" s="6"/>
      <c r="AD388" s="6"/>
      <c r="AE388" s="6"/>
      <c r="AF388" s="6"/>
      <c r="AG388" s="6"/>
    </row>
    <row r="389" ht="15.5" spans="1:33">
      <c r="A389" s="6" t="s">
        <v>872</v>
      </c>
      <c r="B389" s="7">
        <v>46183</v>
      </c>
      <c r="C389" s="6" t="str">
        <f t="shared" si="6"/>
        <v>2026年6月</v>
      </c>
      <c r="D389" s="40" t="s">
        <v>5311</v>
      </c>
      <c r="E389" s="6" t="s">
        <v>5343</v>
      </c>
      <c r="F389" s="6" t="s">
        <v>10</v>
      </c>
      <c r="G389" s="50" t="s">
        <v>4169</v>
      </c>
      <c r="H389" s="40"/>
      <c r="I389" s="50" t="s">
        <v>82</v>
      </c>
      <c r="J389" s="50" t="s">
        <v>4176</v>
      </c>
      <c r="K389" s="12"/>
      <c r="L389" s="12"/>
      <c r="M389" s="12"/>
      <c r="N389" s="6" t="s">
        <v>5344</v>
      </c>
      <c r="O389" s="12"/>
      <c r="P389" s="61">
        <v>230.43</v>
      </c>
      <c r="Q389" s="6" t="s">
        <v>149</v>
      </c>
      <c r="R389" s="50" t="s">
        <v>4253</v>
      </c>
      <c r="S389" s="50" t="s">
        <v>4215</v>
      </c>
      <c r="T389" s="50" t="s">
        <v>3506</v>
      </c>
      <c r="U389" s="6"/>
      <c r="V389" s="6"/>
      <c r="W389" s="6"/>
      <c r="X389" s="6"/>
      <c r="Y389" s="6"/>
      <c r="Z389" s="6"/>
      <c r="AA389" s="6"/>
      <c r="AB389" s="6"/>
      <c r="AC389" s="6"/>
      <c r="AD389" s="6"/>
      <c r="AE389" s="6"/>
      <c r="AF389" s="6"/>
      <c r="AG389" s="6"/>
    </row>
    <row r="390" ht="15.5" spans="1:33">
      <c r="A390" s="6" t="s">
        <v>872</v>
      </c>
      <c r="B390" s="7">
        <v>46183</v>
      </c>
      <c r="C390" s="6" t="str">
        <f t="shared" si="6"/>
        <v>2026年6月</v>
      </c>
      <c r="D390" s="40" t="s">
        <v>5311</v>
      </c>
      <c r="E390" s="6" t="s">
        <v>5345</v>
      </c>
      <c r="F390" s="6" t="s">
        <v>10</v>
      </c>
      <c r="G390" s="50" t="s">
        <v>4169</v>
      </c>
      <c r="H390" s="40"/>
      <c r="I390" s="50" t="s">
        <v>82</v>
      </c>
      <c r="J390" s="50" t="s">
        <v>4176</v>
      </c>
      <c r="K390" s="12"/>
      <c r="L390" s="12"/>
      <c r="M390" s="12"/>
      <c r="N390" s="6" t="s">
        <v>5346</v>
      </c>
      <c r="O390" s="12"/>
      <c r="P390" s="61">
        <v>230.43</v>
      </c>
      <c r="Q390" s="6" t="s">
        <v>149</v>
      </c>
      <c r="R390" s="50" t="s">
        <v>4253</v>
      </c>
      <c r="S390" s="50" t="s">
        <v>4215</v>
      </c>
      <c r="T390" s="50" t="s">
        <v>3506</v>
      </c>
      <c r="U390" s="6"/>
      <c r="V390" s="6"/>
      <c r="W390" s="6"/>
      <c r="X390" s="6"/>
      <c r="Y390" s="6"/>
      <c r="Z390" s="6"/>
      <c r="AA390" s="6"/>
      <c r="AB390" s="6"/>
      <c r="AC390" s="6"/>
      <c r="AD390" s="6"/>
      <c r="AE390" s="6"/>
      <c r="AF390" s="6"/>
      <c r="AG390" s="6"/>
    </row>
    <row r="391" ht="15.5" spans="1:33">
      <c r="A391" s="6" t="s">
        <v>872</v>
      </c>
      <c r="B391" s="7">
        <v>46183</v>
      </c>
      <c r="C391" s="6" t="str">
        <f t="shared" si="6"/>
        <v>2026年6月</v>
      </c>
      <c r="D391" s="40" t="s">
        <v>5311</v>
      </c>
      <c r="E391" s="6" t="s">
        <v>5347</v>
      </c>
      <c r="F391" s="6" t="s">
        <v>10</v>
      </c>
      <c r="G391" s="50" t="s">
        <v>4169</v>
      </c>
      <c r="H391" s="40"/>
      <c r="I391" s="50" t="s">
        <v>82</v>
      </c>
      <c r="J391" s="50" t="s">
        <v>4176</v>
      </c>
      <c r="K391" s="13"/>
      <c r="L391" s="13"/>
      <c r="M391" s="13"/>
      <c r="N391" s="6" t="s">
        <v>5348</v>
      </c>
      <c r="O391" s="13"/>
      <c r="P391" s="61">
        <v>229.89</v>
      </c>
      <c r="Q391" s="6" t="s">
        <v>149</v>
      </c>
      <c r="R391" s="50" t="s">
        <v>4253</v>
      </c>
      <c r="S391" s="50" t="s">
        <v>4215</v>
      </c>
      <c r="T391" s="50" t="s">
        <v>3506</v>
      </c>
      <c r="U391" s="6"/>
      <c r="V391" s="6"/>
      <c r="W391" s="6"/>
      <c r="X391" s="6"/>
      <c r="Y391" s="6"/>
      <c r="Z391" s="6"/>
      <c r="AA391" s="6"/>
      <c r="AB391" s="6"/>
      <c r="AC391" s="6"/>
      <c r="AD391" s="6"/>
      <c r="AE391" s="6"/>
      <c r="AF391" s="6"/>
      <c r="AG391" s="6"/>
    </row>
    <row r="392" ht="15.5" spans="1:33">
      <c r="A392" s="6" t="s">
        <v>872</v>
      </c>
      <c r="B392" s="7">
        <v>46183</v>
      </c>
      <c r="C392" s="6" t="str">
        <f t="shared" si="6"/>
        <v>2026年6月</v>
      </c>
      <c r="D392" s="40" t="s">
        <v>48</v>
      </c>
      <c r="E392" s="99" t="s">
        <v>5349</v>
      </c>
      <c r="F392" s="6" t="s">
        <v>12</v>
      </c>
      <c r="G392" s="50" t="s">
        <v>2954</v>
      </c>
      <c r="H392" s="40"/>
      <c r="I392" s="50" t="s">
        <v>290</v>
      </c>
      <c r="J392" s="50" t="s">
        <v>4190</v>
      </c>
      <c r="K392" s="8" t="s">
        <v>5350</v>
      </c>
      <c r="L392" s="6" t="s">
        <v>5351</v>
      </c>
      <c r="M392" s="61" t="s">
        <v>5352</v>
      </c>
      <c r="N392" s="6" t="s">
        <v>5353</v>
      </c>
      <c r="O392" s="6" t="s">
        <v>5354</v>
      </c>
      <c r="P392" s="76">
        <v>18600</v>
      </c>
      <c r="Q392" s="6" t="s">
        <v>173</v>
      </c>
      <c r="R392" s="50" t="s">
        <v>4253</v>
      </c>
      <c r="S392" s="50" t="s">
        <v>4215</v>
      </c>
      <c r="T392" s="50" t="s">
        <v>3506</v>
      </c>
      <c r="U392" s="6" t="s">
        <v>5355</v>
      </c>
      <c r="V392" s="6"/>
      <c r="W392" s="6"/>
      <c r="X392" s="6"/>
      <c r="Y392" s="6"/>
      <c r="Z392" s="6"/>
      <c r="AA392" s="6"/>
      <c r="AB392" s="6"/>
      <c r="AC392" s="6"/>
      <c r="AD392" s="6"/>
      <c r="AE392" s="6"/>
      <c r="AF392" s="6"/>
      <c r="AG392" s="6"/>
    </row>
    <row r="393" ht="15.5" spans="1:33">
      <c r="A393" s="6" t="s">
        <v>872</v>
      </c>
      <c r="B393" s="7">
        <v>46184</v>
      </c>
      <c r="C393" s="6" t="str">
        <f t="shared" si="6"/>
        <v>2026年6月</v>
      </c>
      <c r="D393" s="40" t="s">
        <v>40</v>
      </c>
      <c r="E393" s="6" t="s">
        <v>5356</v>
      </c>
      <c r="F393" s="6" t="s">
        <v>11</v>
      </c>
      <c r="G393" s="50" t="s">
        <v>4169</v>
      </c>
      <c r="H393" s="40"/>
      <c r="I393" s="50" t="s">
        <v>82</v>
      </c>
      <c r="J393" s="50" t="s">
        <v>4190</v>
      </c>
      <c r="K393" s="8" t="s">
        <v>5357</v>
      </c>
      <c r="L393" s="6" t="s">
        <v>5358</v>
      </c>
      <c r="M393" s="61"/>
      <c r="N393" s="6" t="s">
        <v>5359</v>
      </c>
      <c r="O393" s="6" t="s">
        <v>5360</v>
      </c>
      <c r="P393" s="61">
        <v>700</v>
      </c>
      <c r="Q393" s="6" t="s">
        <v>149</v>
      </c>
      <c r="R393" s="50" t="s">
        <v>4319</v>
      </c>
      <c r="S393" s="50" t="s">
        <v>4215</v>
      </c>
      <c r="T393" s="50" t="s">
        <v>3506</v>
      </c>
      <c r="U393" s="6" t="s">
        <v>5361</v>
      </c>
      <c r="V393" s="6"/>
      <c r="W393" s="6"/>
      <c r="X393" s="6"/>
      <c r="Y393" s="6"/>
      <c r="Z393" s="6"/>
      <c r="AA393" s="6"/>
      <c r="AB393" s="6"/>
      <c r="AC393" s="6"/>
      <c r="AD393" s="6"/>
      <c r="AE393" s="6"/>
      <c r="AF393" s="6"/>
      <c r="AG393" s="6"/>
    </row>
    <row r="394" ht="15.5" spans="1:33">
      <c r="A394" s="6" t="s">
        <v>872</v>
      </c>
      <c r="B394" s="7">
        <v>46191</v>
      </c>
      <c r="C394" s="6" t="str">
        <f t="shared" si="6"/>
        <v>2026年6月</v>
      </c>
      <c r="D394" s="40" t="s">
        <v>5311</v>
      </c>
      <c r="E394" s="6" t="s">
        <v>5362</v>
      </c>
      <c r="F394" s="6" t="s">
        <v>10</v>
      </c>
      <c r="G394" s="50" t="s">
        <v>4169</v>
      </c>
      <c r="H394" s="40"/>
      <c r="I394" s="50" t="s">
        <v>290</v>
      </c>
      <c r="J394" s="50" t="s">
        <v>4190</v>
      </c>
      <c r="K394" s="8" t="s">
        <v>5363</v>
      </c>
      <c r="L394" s="6" t="s">
        <v>5364</v>
      </c>
      <c r="M394" s="61" t="s">
        <v>1089</v>
      </c>
      <c r="N394" s="6" t="s">
        <v>5365</v>
      </c>
      <c r="O394" s="6" t="s">
        <v>5291</v>
      </c>
      <c r="P394" s="61">
        <v>137</v>
      </c>
      <c r="Q394" s="6" t="s">
        <v>149</v>
      </c>
      <c r="R394" s="50" t="s">
        <v>4253</v>
      </c>
      <c r="S394" s="50" t="s">
        <v>4215</v>
      </c>
      <c r="T394" s="50" t="s">
        <v>3506</v>
      </c>
      <c r="U394" s="6" t="s">
        <v>800</v>
      </c>
      <c r="V394" s="6" t="s">
        <v>5366</v>
      </c>
      <c r="W394" s="6"/>
      <c r="X394" s="6"/>
      <c r="Y394" s="6"/>
      <c r="Z394" s="6"/>
      <c r="AA394" s="6"/>
      <c r="AB394" s="6"/>
      <c r="AC394" s="6"/>
      <c r="AD394" s="6"/>
      <c r="AE394" s="6"/>
      <c r="AF394" s="6"/>
      <c r="AG394" s="6"/>
    </row>
    <row r="395" ht="15.5" spans="1:33">
      <c r="A395" s="6" t="s">
        <v>872</v>
      </c>
      <c r="B395" s="7">
        <v>46191</v>
      </c>
      <c r="C395" s="6" t="str">
        <f t="shared" si="6"/>
        <v>2026年6月</v>
      </c>
      <c r="D395" s="40" t="s">
        <v>5311</v>
      </c>
      <c r="E395" s="6" t="s">
        <v>5367</v>
      </c>
      <c r="F395" s="6" t="s">
        <v>10</v>
      </c>
      <c r="G395" s="50" t="s">
        <v>4169</v>
      </c>
      <c r="H395" s="40"/>
      <c r="I395" s="50" t="s">
        <v>290</v>
      </c>
      <c r="J395" s="50" t="s">
        <v>4190</v>
      </c>
      <c r="K395" s="8" t="s">
        <v>5368</v>
      </c>
      <c r="L395" s="6" t="s">
        <v>5369</v>
      </c>
      <c r="M395" s="61" t="s">
        <v>1089</v>
      </c>
      <c r="N395" s="6" t="s">
        <v>5370</v>
      </c>
      <c r="O395" s="6" t="s">
        <v>5291</v>
      </c>
      <c r="P395" s="61">
        <v>35.3</v>
      </c>
      <c r="Q395" s="6" t="s">
        <v>149</v>
      </c>
      <c r="R395" s="50" t="s">
        <v>4319</v>
      </c>
      <c r="S395" s="50" t="s">
        <v>4215</v>
      </c>
      <c r="T395" s="50" t="s">
        <v>3506</v>
      </c>
      <c r="U395" s="6" t="s">
        <v>689</v>
      </c>
      <c r="V395" s="6" t="s">
        <v>5371</v>
      </c>
      <c r="W395" s="6"/>
      <c r="X395" s="6"/>
      <c r="Y395" s="6"/>
      <c r="Z395" s="6"/>
      <c r="AA395" s="6"/>
      <c r="AB395" s="6"/>
      <c r="AC395" s="6"/>
      <c r="AD395" s="6"/>
      <c r="AE395" s="6"/>
      <c r="AF395" s="6"/>
      <c r="AG395" s="6"/>
    </row>
    <row r="396" ht="15.5" spans="1:33">
      <c r="A396" s="6" t="s">
        <v>872</v>
      </c>
      <c r="B396" s="7">
        <v>46198</v>
      </c>
      <c r="C396" s="6" t="str">
        <f t="shared" si="6"/>
        <v>2026年6月</v>
      </c>
      <c r="D396" s="40" t="s">
        <v>40</v>
      </c>
      <c r="E396" s="6" t="s">
        <v>5372</v>
      </c>
      <c r="F396" s="6" t="s">
        <v>10</v>
      </c>
      <c r="G396" s="50" t="s">
        <v>2954</v>
      </c>
      <c r="H396" s="40"/>
      <c r="I396" s="50" t="s">
        <v>82</v>
      </c>
      <c r="J396" s="50" t="s">
        <v>4176</v>
      </c>
      <c r="K396" s="8" t="s">
        <v>5373</v>
      </c>
      <c r="L396" s="6" t="s">
        <v>5374</v>
      </c>
      <c r="M396" s="61" t="s">
        <v>5328</v>
      </c>
      <c r="N396" s="6" t="s">
        <v>5375</v>
      </c>
      <c r="O396" s="6" t="s">
        <v>5376</v>
      </c>
      <c r="P396" s="61">
        <v>685.89</v>
      </c>
      <c r="Q396" s="6" t="s">
        <v>149</v>
      </c>
      <c r="R396" s="50" t="s">
        <v>4319</v>
      </c>
      <c r="S396" s="50" t="s">
        <v>4215</v>
      </c>
      <c r="T396" s="50" t="s">
        <v>3506</v>
      </c>
      <c r="U396" s="6" t="s">
        <v>778</v>
      </c>
      <c r="V396" s="6" t="s">
        <v>5377</v>
      </c>
      <c r="W396" s="6"/>
      <c r="X396" s="6"/>
      <c r="Y396" s="6"/>
      <c r="Z396" s="6"/>
      <c r="AA396" s="6"/>
      <c r="AB396" s="6"/>
      <c r="AC396" s="6"/>
      <c r="AD396" s="6"/>
      <c r="AE396" s="6"/>
      <c r="AF396" s="6"/>
      <c r="AG396" s="6"/>
    </row>
    <row r="397" ht="15.5" spans="1:33">
      <c r="A397" s="6" t="s">
        <v>142</v>
      </c>
      <c r="B397" s="7">
        <v>46199</v>
      </c>
      <c r="C397" s="6" t="str">
        <f t="shared" si="6"/>
        <v>2026年6月</v>
      </c>
      <c r="D397" s="40" t="s">
        <v>40</v>
      </c>
      <c r="E397" s="6" t="s">
        <v>5378</v>
      </c>
      <c r="F397" s="6" t="s">
        <v>10</v>
      </c>
      <c r="G397" s="50" t="s">
        <v>4169</v>
      </c>
      <c r="H397" s="40"/>
      <c r="I397" s="50" t="s">
        <v>290</v>
      </c>
      <c r="J397" s="50" t="s">
        <v>4176</v>
      </c>
      <c r="K397" s="8" t="s">
        <v>5296</v>
      </c>
      <c r="L397" s="6" t="s">
        <v>5297</v>
      </c>
      <c r="M397" s="61" t="s">
        <v>4527</v>
      </c>
      <c r="N397" s="6" t="s">
        <v>5379</v>
      </c>
      <c r="O397" s="6" t="s">
        <v>5380</v>
      </c>
      <c r="P397" s="61">
        <v>4200</v>
      </c>
      <c r="Q397" s="6" t="s">
        <v>149</v>
      </c>
      <c r="S397" s="50" t="s">
        <v>4215</v>
      </c>
      <c r="T397" s="50" t="s">
        <v>3557</v>
      </c>
      <c r="U397" s="6" t="s">
        <v>689</v>
      </c>
      <c r="V397" s="6"/>
      <c r="W397" s="6"/>
      <c r="X397" s="6"/>
      <c r="Y397" s="6"/>
      <c r="Z397" s="6"/>
      <c r="AA397" s="6"/>
      <c r="AB397" s="6"/>
      <c r="AC397" s="6"/>
      <c r="AD397" s="6"/>
      <c r="AE397" s="6"/>
      <c r="AF397" s="6"/>
      <c r="AG397" s="6"/>
    </row>
    <row r="398" ht="15.5" spans="1:33">
      <c r="A398" s="6" t="s">
        <v>142</v>
      </c>
      <c r="B398" s="7">
        <v>46199</v>
      </c>
      <c r="C398" s="6" t="str">
        <f t="shared" si="6"/>
        <v>2026年6月</v>
      </c>
      <c r="D398" s="40" t="s">
        <v>40</v>
      </c>
      <c r="E398" s="6" t="s">
        <v>5381</v>
      </c>
      <c r="F398" s="6" t="s">
        <v>10</v>
      </c>
      <c r="G398" s="50" t="s">
        <v>4169</v>
      </c>
      <c r="H398" s="40"/>
      <c r="I398" s="50" t="s">
        <v>290</v>
      </c>
      <c r="J398" s="50" t="s">
        <v>4176</v>
      </c>
      <c r="K398" s="8" t="s">
        <v>5296</v>
      </c>
      <c r="L398" s="6" t="s">
        <v>5297</v>
      </c>
      <c r="M398" s="61" t="s">
        <v>4527</v>
      </c>
      <c r="N398" s="6" t="s">
        <v>5382</v>
      </c>
      <c r="O398" s="6" t="s">
        <v>5380</v>
      </c>
      <c r="P398" s="61">
        <v>10</v>
      </c>
      <c r="Q398" s="6" t="s">
        <v>149</v>
      </c>
      <c r="S398" s="50" t="s">
        <v>4215</v>
      </c>
      <c r="T398" s="50" t="s">
        <v>3557</v>
      </c>
      <c r="U398" s="6"/>
      <c r="V398" s="6"/>
      <c r="W398" s="6"/>
      <c r="X398" s="6"/>
      <c r="Y398" s="6"/>
      <c r="Z398" s="6"/>
      <c r="AA398" s="6"/>
      <c r="AB398" s="6"/>
      <c r="AC398" s="6"/>
      <c r="AD398" s="6"/>
      <c r="AE398" s="6"/>
      <c r="AF398" s="6"/>
      <c r="AG398" s="6"/>
    </row>
    <row r="399" ht="15.5" spans="1:33">
      <c r="A399" s="6" t="s">
        <v>872</v>
      </c>
      <c r="B399" s="7">
        <v>46202</v>
      </c>
      <c r="C399" s="6" t="str">
        <f t="shared" si="6"/>
        <v>2026年6月</v>
      </c>
      <c r="D399" s="40" t="s">
        <v>48</v>
      </c>
      <c r="E399" s="99" t="s">
        <v>5383</v>
      </c>
      <c r="F399" s="6" t="s">
        <v>11</v>
      </c>
      <c r="G399" s="50" t="s">
        <v>2954</v>
      </c>
      <c r="H399" s="40"/>
      <c r="I399" s="50" t="s">
        <v>290</v>
      </c>
      <c r="J399" s="50" t="s">
        <v>4176</v>
      </c>
      <c r="K399" s="8" t="s">
        <v>5384</v>
      </c>
      <c r="L399" s="6" t="s">
        <v>5385</v>
      </c>
      <c r="M399" s="61"/>
      <c r="N399" s="6" t="s">
        <v>5386</v>
      </c>
      <c r="O399" s="6" t="s">
        <v>5387</v>
      </c>
      <c r="P399" s="76">
        <v>15046</v>
      </c>
      <c r="Q399" s="6" t="s">
        <v>173</v>
      </c>
      <c r="S399" s="50" t="s">
        <v>4215</v>
      </c>
      <c r="T399" s="50" t="s">
        <v>3506</v>
      </c>
      <c r="U399" s="6" t="s">
        <v>5388</v>
      </c>
      <c r="V399" s="6" t="s">
        <v>5389</v>
      </c>
      <c r="W399" s="6"/>
      <c r="X399" s="6"/>
      <c r="Y399" s="6"/>
      <c r="Z399" s="6"/>
      <c r="AA399" s="6"/>
      <c r="AB399" s="6"/>
      <c r="AC399" s="6"/>
      <c r="AD399" s="6"/>
      <c r="AE399" s="6"/>
      <c r="AF399" s="6"/>
      <c r="AG399" s="6"/>
    </row>
    <row r="400" ht="15.5" spans="1:33">
      <c r="A400" s="6" t="s">
        <v>872</v>
      </c>
      <c r="B400" s="7">
        <v>46203</v>
      </c>
      <c r="C400" s="6" t="str">
        <f t="shared" si="6"/>
        <v>2026年6月</v>
      </c>
      <c r="D400" s="40" t="s">
        <v>48</v>
      </c>
      <c r="E400" s="99" t="s">
        <v>5390</v>
      </c>
      <c r="F400" s="6" t="s">
        <v>12</v>
      </c>
      <c r="G400" s="50" t="s">
        <v>2954</v>
      </c>
      <c r="H400" s="40"/>
      <c r="I400" s="50" t="s">
        <v>82</v>
      </c>
      <c r="J400" s="50" t="s">
        <v>4190</v>
      </c>
      <c r="K400" s="8" t="s">
        <v>919</v>
      </c>
      <c r="L400" s="6" t="s">
        <v>920</v>
      </c>
      <c r="M400" s="61"/>
      <c r="N400" s="6" t="s">
        <v>5391</v>
      </c>
      <c r="O400" s="6" t="s">
        <v>5392</v>
      </c>
      <c r="P400" s="76">
        <v>49300</v>
      </c>
      <c r="Q400" s="6" t="s">
        <v>173</v>
      </c>
      <c r="R400" s="50" t="s">
        <v>4319</v>
      </c>
      <c r="S400" s="50" t="s">
        <v>4215</v>
      </c>
      <c r="T400" s="50" t="s">
        <v>3506</v>
      </c>
      <c r="U400" s="6" t="s">
        <v>1914</v>
      </c>
      <c r="V400" s="6" t="s">
        <v>5393</v>
      </c>
      <c r="W400" s="6"/>
      <c r="X400" s="6"/>
      <c r="Y400" s="6"/>
      <c r="Z400" s="6"/>
      <c r="AA400" s="6"/>
      <c r="AB400" s="6"/>
      <c r="AC400" s="6"/>
      <c r="AD400" s="6"/>
      <c r="AE400" s="6"/>
      <c r="AF400" s="6"/>
      <c r="AG400" s="6"/>
    </row>
    <row r="401" ht="15.5" spans="1:33">
      <c r="A401" s="6" t="s">
        <v>872</v>
      </c>
      <c r="B401" s="7">
        <v>46205</v>
      </c>
      <c r="C401" s="6" t="str">
        <f t="shared" si="6"/>
        <v>2026年7月</v>
      </c>
      <c r="D401" s="40" t="s">
        <v>39</v>
      </c>
      <c r="E401" s="6" t="s">
        <v>5394</v>
      </c>
      <c r="F401" s="6" t="s">
        <v>11</v>
      </c>
      <c r="G401" s="50" t="s">
        <v>2954</v>
      </c>
      <c r="H401" s="40"/>
      <c r="I401" s="50" t="s">
        <v>290</v>
      </c>
      <c r="J401" s="50" t="s">
        <v>4176</v>
      </c>
      <c r="K401" s="8" t="s">
        <v>2690</v>
      </c>
      <c r="L401" s="6" t="s">
        <v>2692</v>
      </c>
      <c r="M401" s="61"/>
      <c r="N401" s="6" t="s">
        <v>5395</v>
      </c>
      <c r="O401" s="6" t="s">
        <v>5396</v>
      </c>
      <c r="P401" s="61">
        <v>344</v>
      </c>
      <c r="Q401" s="6" t="s">
        <v>173</v>
      </c>
      <c r="S401" s="50" t="s">
        <v>4215</v>
      </c>
      <c r="T401" s="50" t="s">
        <v>3506</v>
      </c>
      <c r="U401" s="6" t="s">
        <v>5397</v>
      </c>
      <c r="V401" s="6"/>
      <c r="W401" s="6"/>
      <c r="X401" s="6"/>
      <c r="Y401" s="6"/>
      <c r="Z401" s="6"/>
      <c r="AA401" s="6"/>
      <c r="AB401" s="6"/>
      <c r="AC401" s="6"/>
      <c r="AD401" s="6"/>
      <c r="AE401" s="6"/>
      <c r="AF401" s="6"/>
      <c r="AG401" s="6"/>
    </row>
    <row r="402" ht="14" spans="1:33">
      <c r="A402" s="61"/>
      <c r="B402" s="61"/>
      <c r="C402" s="6"/>
      <c r="D402" s="6"/>
      <c r="E402" s="6"/>
      <c r="F402" s="6"/>
      <c r="H402" s="40"/>
      <c r="K402" s="6"/>
      <c r="L402" s="6"/>
      <c r="M402" s="61"/>
      <c r="N402" s="6"/>
      <c r="O402" s="6"/>
      <c r="P402" s="61"/>
      <c r="Q402" s="6"/>
      <c r="U402" s="6"/>
      <c r="V402" s="6"/>
      <c r="W402" s="6"/>
      <c r="X402" s="6"/>
      <c r="Y402" s="6"/>
      <c r="Z402" s="6"/>
      <c r="AA402" s="6"/>
      <c r="AB402" s="6"/>
      <c r="AC402" s="6"/>
      <c r="AD402" s="6"/>
      <c r="AE402" s="6"/>
      <c r="AF402" s="6"/>
      <c r="AG402" s="6"/>
    </row>
    <row r="403" ht="14" spans="1:33">
      <c r="A403" s="61"/>
      <c r="B403" s="61"/>
      <c r="C403" s="6"/>
      <c r="D403" s="6"/>
      <c r="E403" s="6"/>
      <c r="F403" s="6"/>
      <c r="H403" s="40"/>
      <c r="K403" s="6"/>
      <c r="L403" s="6"/>
      <c r="M403" s="61"/>
      <c r="N403" s="6"/>
      <c r="O403" s="6"/>
      <c r="P403" s="61"/>
      <c r="Q403" s="6"/>
      <c r="U403" s="6"/>
      <c r="V403" s="6"/>
      <c r="W403" s="6"/>
      <c r="X403" s="6"/>
      <c r="Y403" s="6"/>
      <c r="Z403" s="6"/>
      <c r="AA403" s="6"/>
      <c r="AB403" s="6"/>
      <c r="AC403" s="6"/>
      <c r="AD403" s="6"/>
      <c r="AE403" s="6"/>
      <c r="AF403" s="6"/>
      <c r="AG403" s="6"/>
    </row>
    <row r="404" ht="14" spans="1:33">
      <c r="A404" s="61"/>
      <c r="B404" s="61"/>
      <c r="C404" s="6"/>
      <c r="D404" s="6"/>
      <c r="E404" s="6"/>
      <c r="F404" s="6"/>
      <c r="H404" s="40"/>
      <c r="K404" s="6"/>
      <c r="L404" s="6"/>
      <c r="M404" s="61"/>
      <c r="N404" s="6"/>
      <c r="O404" s="6"/>
      <c r="P404" s="61"/>
      <c r="Q404" s="6"/>
      <c r="U404" s="6"/>
      <c r="V404" s="6"/>
      <c r="W404" s="6"/>
      <c r="X404" s="6"/>
      <c r="Y404" s="6"/>
      <c r="Z404" s="6"/>
      <c r="AA404" s="6"/>
      <c r="AB404" s="6"/>
      <c r="AC404" s="6"/>
      <c r="AD404" s="6"/>
      <c r="AE404" s="6"/>
      <c r="AF404" s="6"/>
      <c r="AG404" s="6"/>
    </row>
    <row r="405" ht="14" spans="1:33">
      <c r="A405" s="61"/>
      <c r="B405" s="61"/>
      <c r="C405" s="6"/>
      <c r="D405" s="6"/>
      <c r="E405" s="6"/>
      <c r="F405" s="6"/>
      <c r="H405" s="40"/>
      <c r="K405" s="6"/>
      <c r="L405" s="6"/>
      <c r="M405" s="61"/>
      <c r="N405" s="6"/>
      <c r="O405" s="6"/>
      <c r="P405" s="61"/>
      <c r="Q405" s="6"/>
      <c r="U405" s="6"/>
      <c r="V405" s="6"/>
      <c r="W405" s="6"/>
      <c r="X405" s="6"/>
      <c r="Y405" s="6"/>
      <c r="Z405" s="6"/>
      <c r="AA405" s="6"/>
      <c r="AB405" s="6"/>
      <c r="AC405" s="6"/>
      <c r="AD405" s="6"/>
      <c r="AE405" s="6"/>
      <c r="AF405" s="6"/>
      <c r="AG405" s="6"/>
    </row>
    <row r="406" ht="14" spans="1:33">
      <c r="A406" s="61"/>
      <c r="B406" s="61"/>
      <c r="C406" s="6"/>
      <c r="D406" s="6"/>
      <c r="E406" s="6"/>
      <c r="F406" s="6"/>
      <c r="H406" s="40"/>
      <c r="K406" s="6"/>
      <c r="L406" s="6"/>
      <c r="M406" s="61"/>
      <c r="N406" s="6"/>
      <c r="O406" s="6"/>
      <c r="P406" s="61"/>
      <c r="Q406" s="6"/>
      <c r="U406" s="6"/>
      <c r="V406" s="6"/>
      <c r="W406" s="6"/>
      <c r="X406" s="6"/>
      <c r="Y406" s="6"/>
      <c r="Z406" s="6"/>
      <c r="AA406" s="6"/>
      <c r="AB406" s="6"/>
      <c r="AC406" s="6"/>
      <c r="AD406" s="6"/>
      <c r="AE406" s="6"/>
      <c r="AF406" s="6"/>
      <c r="AG406" s="6"/>
    </row>
    <row r="407" ht="14" spans="1:33">
      <c r="A407" s="61"/>
      <c r="B407" s="61"/>
      <c r="C407" s="6"/>
      <c r="D407" s="6"/>
      <c r="E407" s="6"/>
      <c r="F407" s="6"/>
      <c r="H407" s="40"/>
      <c r="K407" s="6"/>
      <c r="L407" s="6"/>
      <c r="M407" s="61"/>
      <c r="N407" s="6"/>
      <c r="O407" s="6"/>
      <c r="P407" s="61"/>
      <c r="Q407" s="6"/>
      <c r="U407" s="6"/>
      <c r="V407" s="6"/>
      <c r="W407" s="6"/>
      <c r="X407" s="6"/>
      <c r="Y407" s="6"/>
      <c r="Z407" s="6"/>
      <c r="AA407" s="6"/>
      <c r="AB407" s="6"/>
      <c r="AC407" s="6"/>
      <c r="AD407" s="6"/>
      <c r="AE407" s="6"/>
      <c r="AF407" s="6"/>
      <c r="AG407" s="6"/>
    </row>
    <row r="408" ht="14" spans="1:33">
      <c r="A408" s="61"/>
      <c r="B408" s="61"/>
      <c r="C408" s="6"/>
      <c r="D408" s="6"/>
      <c r="E408" s="6"/>
      <c r="F408" s="6"/>
      <c r="H408" s="40"/>
      <c r="K408" s="6"/>
      <c r="L408" s="6"/>
      <c r="M408" s="61"/>
      <c r="N408" s="6"/>
      <c r="O408" s="6"/>
      <c r="P408" s="61"/>
      <c r="Q408" s="6"/>
      <c r="U408" s="6"/>
      <c r="V408" s="6"/>
      <c r="W408" s="6"/>
      <c r="X408" s="6"/>
      <c r="Y408" s="6"/>
      <c r="Z408" s="6"/>
      <c r="AA408" s="6"/>
      <c r="AB408" s="6"/>
      <c r="AC408" s="6"/>
      <c r="AD408" s="6"/>
      <c r="AE408" s="6"/>
      <c r="AF408" s="6"/>
      <c r="AG408" s="6"/>
    </row>
    <row r="409" ht="14" spans="1:33">
      <c r="A409" s="61"/>
      <c r="B409" s="61"/>
      <c r="C409" s="6"/>
      <c r="D409" s="6"/>
      <c r="E409" s="6"/>
      <c r="F409" s="6"/>
      <c r="H409" s="40"/>
      <c r="K409" s="6"/>
      <c r="L409" s="6"/>
      <c r="M409" s="61"/>
      <c r="N409" s="6"/>
      <c r="O409" s="6"/>
      <c r="P409" s="61"/>
      <c r="Q409" s="6"/>
      <c r="U409" s="6"/>
      <c r="V409" s="6"/>
      <c r="W409" s="6"/>
      <c r="X409" s="6"/>
      <c r="Y409" s="6"/>
      <c r="Z409" s="6"/>
      <c r="AA409" s="6"/>
      <c r="AB409" s="6"/>
      <c r="AC409" s="6"/>
      <c r="AD409" s="6"/>
      <c r="AE409" s="6"/>
      <c r="AF409" s="6"/>
      <c r="AG409" s="6"/>
    </row>
    <row r="410" ht="14" spans="1:33">
      <c r="A410" s="61"/>
      <c r="B410" s="61"/>
      <c r="C410" s="6"/>
      <c r="D410" s="6"/>
      <c r="E410" s="6"/>
      <c r="F410" s="6"/>
      <c r="H410" s="40"/>
      <c r="K410" s="6"/>
      <c r="L410" s="6"/>
      <c r="M410" s="61"/>
      <c r="N410" s="6"/>
      <c r="O410" s="6"/>
      <c r="P410" s="61"/>
      <c r="Q410" s="6"/>
      <c r="U410" s="6"/>
      <c r="V410" s="6"/>
      <c r="W410" s="6"/>
      <c r="X410" s="6"/>
      <c r="Y410" s="6"/>
      <c r="Z410" s="6"/>
      <c r="AA410" s="6"/>
      <c r="AB410" s="6"/>
      <c r="AC410" s="6"/>
      <c r="AD410" s="6"/>
      <c r="AE410" s="6"/>
      <c r="AF410" s="6"/>
      <c r="AG410" s="6"/>
    </row>
    <row r="411" ht="14" spans="1:33">
      <c r="A411" s="61"/>
      <c r="B411" s="61"/>
      <c r="C411" s="6"/>
      <c r="D411" s="6"/>
      <c r="E411" s="6"/>
      <c r="F411" s="6"/>
      <c r="H411" s="40"/>
      <c r="K411" s="6"/>
      <c r="L411" s="6"/>
      <c r="M411" s="61"/>
      <c r="N411" s="6"/>
      <c r="O411" s="6"/>
      <c r="P411" s="61"/>
      <c r="Q411" s="6"/>
      <c r="U411" s="6"/>
      <c r="V411" s="6"/>
      <c r="W411" s="6"/>
      <c r="X411" s="6"/>
      <c r="Y411" s="6"/>
      <c r="Z411" s="6"/>
      <c r="AA411" s="6"/>
      <c r="AB411" s="6"/>
      <c r="AC411" s="6"/>
      <c r="AD411" s="6"/>
      <c r="AE411" s="6"/>
      <c r="AF411" s="6"/>
      <c r="AG411" s="6"/>
    </row>
    <row r="412" ht="14" spans="1:33">
      <c r="A412" s="61"/>
      <c r="B412" s="61"/>
      <c r="C412" s="6"/>
      <c r="D412" s="6"/>
      <c r="E412" s="6"/>
      <c r="F412" s="6"/>
      <c r="H412" s="40"/>
      <c r="K412" s="6"/>
      <c r="L412" s="6"/>
      <c r="M412" s="61"/>
      <c r="N412" s="6"/>
      <c r="O412" s="6"/>
      <c r="P412" s="61"/>
      <c r="Q412" s="6"/>
      <c r="U412" s="6"/>
      <c r="V412" s="6"/>
      <c r="W412" s="6"/>
      <c r="X412" s="6"/>
      <c r="Y412" s="6"/>
      <c r="Z412" s="6"/>
      <c r="AA412" s="6"/>
      <c r="AB412" s="6"/>
      <c r="AC412" s="6"/>
      <c r="AD412" s="6"/>
      <c r="AE412" s="6"/>
      <c r="AF412" s="6"/>
      <c r="AG412" s="6"/>
    </row>
    <row r="413" ht="14" spans="1:33">
      <c r="A413" s="61"/>
      <c r="B413" s="61"/>
      <c r="C413" s="6"/>
      <c r="D413" s="6"/>
      <c r="E413" s="6"/>
      <c r="F413" s="6"/>
      <c r="H413" s="40"/>
      <c r="K413" s="6"/>
      <c r="L413" s="6"/>
      <c r="M413" s="61"/>
      <c r="N413" s="6"/>
      <c r="O413" s="6"/>
      <c r="P413" s="61"/>
      <c r="Q413" s="6"/>
      <c r="U413" s="6"/>
      <c r="V413" s="6"/>
      <c r="W413" s="6"/>
      <c r="X413" s="6"/>
      <c r="Y413" s="6"/>
      <c r="Z413" s="6"/>
      <c r="AA413" s="6"/>
      <c r="AB413" s="6"/>
      <c r="AC413" s="6"/>
      <c r="AD413" s="6"/>
      <c r="AE413" s="6"/>
      <c r="AF413" s="6"/>
      <c r="AG413" s="6"/>
    </row>
    <row r="414" ht="14" spans="1:33">
      <c r="A414" s="61"/>
      <c r="B414" s="61"/>
      <c r="C414" s="6"/>
      <c r="D414" s="6"/>
      <c r="E414" s="6"/>
      <c r="F414" s="6"/>
      <c r="H414" s="40"/>
      <c r="K414" s="6"/>
      <c r="L414" s="6"/>
      <c r="M414" s="61"/>
      <c r="N414" s="6"/>
      <c r="O414" s="6"/>
      <c r="P414" s="61"/>
      <c r="Q414" s="6"/>
      <c r="U414" s="6"/>
      <c r="V414" s="6"/>
      <c r="W414" s="6"/>
      <c r="X414" s="6"/>
      <c r="Y414" s="6"/>
      <c r="Z414" s="6"/>
      <c r="AA414" s="6"/>
      <c r="AB414" s="6"/>
      <c r="AC414" s="6"/>
      <c r="AD414" s="6"/>
      <c r="AE414" s="6"/>
      <c r="AF414" s="6"/>
      <c r="AG414" s="6"/>
    </row>
    <row r="415" ht="14" spans="1:33">
      <c r="A415" s="61"/>
      <c r="B415" s="61"/>
      <c r="C415" s="6"/>
      <c r="D415" s="6"/>
      <c r="E415" s="6"/>
      <c r="F415" s="6"/>
      <c r="H415" s="40"/>
      <c r="K415" s="6"/>
      <c r="L415" s="6"/>
      <c r="M415" s="61"/>
      <c r="N415" s="6"/>
      <c r="O415" s="6"/>
      <c r="P415" s="61"/>
      <c r="Q415" s="6"/>
      <c r="U415" s="6"/>
      <c r="V415" s="6"/>
      <c r="W415" s="6"/>
      <c r="X415" s="6"/>
      <c r="Y415" s="6"/>
      <c r="Z415" s="6"/>
      <c r="AA415" s="6"/>
      <c r="AB415" s="6"/>
      <c r="AC415" s="6"/>
      <c r="AD415" s="6"/>
      <c r="AE415" s="6"/>
      <c r="AF415" s="6"/>
      <c r="AG415" s="6"/>
    </row>
    <row r="416" ht="14" spans="1:33">
      <c r="A416" s="61"/>
      <c r="B416" s="61"/>
      <c r="C416" s="6"/>
      <c r="D416" s="6"/>
      <c r="E416" s="6"/>
      <c r="F416" s="6"/>
      <c r="H416" s="40"/>
      <c r="K416" s="6"/>
      <c r="L416" s="6"/>
      <c r="M416" s="61"/>
      <c r="N416" s="6"/>
      <c r="O416" s="6"/>
      <c r="P416" s="61"/>
      <c r="Q416" s="6"/>
      <c r="U416" s="6"/>
      <c r="V416" s="6"/>
      <c r="W416" s="6"/>
      <c r="X416" s="6"/>
      <c r="Y416" s="6"/>
      <c r="Z416" s="6"/>
      <c r="AA416" s="6"/>
      <c r="AB416" s="6"/>
      <c r="AC416" s="6"/>
      <c r="AD416" s="6"/>
      <c r="AE416" s="6"/>
      <c r="AF416" s="6"/>
      <c r="AG416" s="6"/>
    </row>
    <row r="417" ht="14" spans="1:33">
      <c r="A417" s="61"/>
      <c r="B417" s="61"/>
      <c r="C417" s="6"/>
      <c r="D417" s="6"/>
      <c r="E417" s="6"/>
      <c r="F417" s="6"/>
      <c r="H417" s="40"/>
      <c r="K417" s="6"/>
      <c r="L417" s="6"/>
      <c r="M417" s="61"/>
      <c r="N417" s="6"/>
      <c r="O417" s="6"/>
      <c r="P417" s="61"/>
      <c r="Q417" s="6"/>
      <c r="U417" s="6"/>
      <c r="V417" s="6"/>
      <c r="W417" s="6"/>
      <c r="X417" s="6"/>
      <c r="Y417" s="6"/>
      <c r="Z417" s="6"/>
      <c r="AA417" s="6"/>
      <c r="AB417" s="6"/>
      <c r="AC417" s="6"/>
      <c r="AD417" s="6"/>
      <c r="AE417" s="6"/>
      <c r="AF417" s="6"/>
      <c r="AG417" s="6"/>
    </row>
    <row r="418" ht="14" spans="1:33">
      <c r="A418" s="61"/>
      <c r="B418" s="61"/>
      <c r="C418" s="6"/>
      <c r="D418" s="6"/>
      <c r="E418" s="6"/>
      <c r="F418" s="6"/>
      <c r="H418" s="40"/>
      <c r="K418" s="6"/>
      <c r="L418" s="6"/>
      <c r="M418" s="61"/>
      <c r="N418" s="6"/>
      <c r="O418" s="6"/>
      <c r="P418" s="61"/>
      <c r="Q418" s="6"/>
      <c r="U418" s="6"/>
      <c r="V418" s="6"/>
      <c r="W418" s="6"/>
      <c r="X418" s="6"/>
      <c r="Y418" s="6"/>
      <c r="Z418" s="6"/>
      <c r="AA418" s="6"/>
      <c r="AB418" s="6"/>
      <c r="AC418" s="6"/>
      <c r="AD418" s="6"/>
      <c r="AE418" s="6"/>
      <c r="AF418" s="6"/>
      <c r="AG418" s="6"/>
    </row>
    <row r="419" ht="14" spans="1:33">
      <c r="A419" s="61"/>
      <c r="B419" s="61"/>
      <c r="C419" s="6"/>
      <c r="D419" s="6"/>
      <c r="E419" s="6"/>
      <c r="F419" s="6"/>
      <c r="H419" s="40"/>
      <c r="K419" s="6"/>
      <c r="L419" s="6"/>
      <c r="M419" s="61"/>
      <c r="N419" s="6"/>
      <c r="O419" s="6"/>
      <c r="P419" s="61"/>
      <c r="Q419" s="6"/>
      <c r="U419" s="6"/>
      <c r="V419" s="6"/>
      <c r="W419" s="6"/>
      <c r="X419" s="6"/>
      <c r="Y419" s="6"/>
      <c r="Z419" s="6"/>
      <c r="AA419" s="6"/>
      <c r="AB419" s="6"/>
      <c r="AC419" s="6"/>
      <c r="AD419" s="6"/>
      <c r="AE419" s="6"/>
      <c r="AF419" s="6"/>
      <c r="AG419" s="6"/>
    </row>
    <row r="420" ht="14" spans="1:33">
      <c r="A420" s="61"/>
      <c r="B420" s="61"/>
      <c r="C420" s="6"/>
      <c r="D420" s="6"/>
      <c r="E420" s="6"/>
      <c r="F420" s="6"/>
      <c r="H420" s="40"/>
      <c r="K420" s="6"/>
      <c r="L420" s="6"/>
      <c r="M420" s="61"/>
      <c r="N420" s="6"/>
      <c r="O420" s="6"/>
      <c r="P420" s="61"/>
      <c r="Q420" s="6"/>
      <c r="U420" s="6"/>
      <c r="V420" s="6"/>
      <c r="W420" s="6"/>
      <c r="X420" s="6"/>
      <c r="Y420" s="6"/>
      <c r="Z420" s="6"/>
      <c r="AA420" s="6"/>
      <c r="AB420" s="6"/>
      <c r="AC420" s="6"/>
      <c r="AD420" s="6"/>
      <c r="AE420" s="6"/>
      <c r="AF420" s="6"/>
      <c r="AG420" s="6"/>
    </row>
    <row r="421" ht="14" spans="1:33">
      <c r="A421" s="61"/>
      <c r="B421" s="61"/>
      <c r="C421" s="6"/>
      <c r="D421" s="6"/>
      <c r="E421" s="6"/>
      <c r="F421" s="6"/>
      <c r="H421" s="40"/>
      <c r="K421" s="6"/>
      <c r="L421" s="6"/>
      <c r="M421" s="61"/>
      <c r="N421" s="6"/>
      <c r="O421" s="6"/>
      <c r="P421" s="61"/>
      <c r="Q421" s="6"/>
      <c r="U421" s="6"/>
      <c r="V421" s="6"/>
      <c r="W421" s="6"/>
      <c r="X421" s="6"/>
      <c r="Y421" s="6"/>
      <c r="Z421" s="6"/>
      <c r="AA421" s="6"/>
      <c r="AB421" s="6"/>
      <c r="AC421" s="6"/>
      <c r="AD421" s="6"/>
      <c r="AE421" s="6"/>
      <c r="AF421" s="6"/>
      <c r="AG421" s="6"/>
    </row>
    <row r="422" ht="14" spans="1:33">
      <c r="A422" s="61"/>
      <c r="B422" s="61"/>
      <c r="C422" s="6"/>
      <c r="D422" s="6"/>
      <c r="E422" s="6"/>
      <c r="F422" s="6"/>
      <c r="H422" s="40"/>
      <c r="K422" s="6"/>
      <c r="L422" s="6"/>
      <c r="M422" s="61"/>
      <c r="N422" s="6"/>
      <c r="O422" s="6"/>
      <c r="P422" s="61"/>
      <c r="Q422" s="6"/>
      <c r="U422" s="6"/>
      <c r="V422" s="6"/>
      <c r="W422" s="6"/>
      <c r="X422" s="6"/>
      <c r="Y422" s="6"/>
      <c r="Z422" s="6"/>
      <c r="AA422" s="6"/>
      <c r="AB422" s="6"/>
      <c r="AC422" s="6"/>
      <c r="AD422" s="6"/>
      <c r="AE422" s="6"/>
      <c r="AF422" s="6"/>
      <c r="AG422" s="6"/>
    </row>
    <row r="423" ht="14" spans="1:33">
      <c r="A423" s="61"/>
      <c r="B423" s="61"/>
      <c r="C423" s="6"/>
      <c r="D423" s="6"/>
      <c r="E423" s="6"/>
      <c r="F423" s="6"/>
      <c r="H423" s="40"/>
      <c r="K423" s="6"/>
      <c r="L423" s="6"/>
      <c r="M423" s="61"/>
      <c r="N423" s="6"/>
      <c r="O423" s="6"/>
      <c r="P423" s="61"/>
      <c r="Q423" s="6"/>
      <c r="U423" s="6"/>
      <c r="V423" s="6"/>
      <c r="W423" s="6"/>
      <c r="X423" s="6"/>
      <c r="Y423" s="6"/>
      <c r="Z423" s="6"/>
      <c r="AA423" s="6"/>
      <c r="AB423" s="6"/>
      <c r="AC423" s="6"/>
      <c r="AD423" s="6"/>
      <c r="AE423" s="6"/>
      <c r="AF423" s="6"/>
      <c r="AG423" s="6"/>
    </row>
    <row r="424" ht="14" spans="1:33">
      <c r="A424" s="61"/>
      <c r="B424" s="61"/>
      <c r="C424" s="6"/>
      <c r="D424" s="6"/>
      <c r="E424" s="6"/>
      <c r="F424" s="6"/>
      <c r="H424" s="40"/>
      <c r="K424" s="6"/>
      <c r="L424" s="6"/>
      <c r="M424" s="61"/>
      <c r="N424" s="6"/>
      <c r="O424" s="6"/>
      <c r="P424" s="61"/>
      <c r="Q424" s="6"/>
      <c r="U424" s="6"/>
      <c r="V424" s="6"/>
      <c r="W424" s="6"/>
      <c r="X424" s="6"/>
      <c r="Y424" s="6"/>
      <c r="Z424" s="6"/>
      <c r="AA424" s="6"/>
      <c r="AB424" s="6"/>
      <c r="AC424" s="6"/>
      <c r="AD424" s="6"/>
      <c r="AE424" s="6"/>
      <c r="AF424" s="6"/>
      <c r="AG424" s="6"/>
    </row>
    <row r="425" ht="14" spans="1:33">
      <c r="A425" s="61"/>
      <c r="B425" s="61"/>
      <c r="C425" s="6"/>
      <c r="D425" s="6"/>
      <c r="E425" s="6"/>
      <c r="F425" s="6"/>
      <c r="H425" s="40"/>
      <c r="K425" s="6"/>
      <c r="L425" s="6"/>
      <c r="M425" s="61"/>
      <c r="N425" s="6"/>
      <c r="O425" s="6"/>
      <c r="P425" s="61"/>
      <c r="Q425" s="6"/>
      <c r="U425" s="6"/>
      <c r="V425" s="6"/>
      <c r="W425" s="6"/>
      <c r="X425" s="6"/>
      <c r="Y425" s="6"/>
      <c r="Z425" s="6"/>
      <c r="AA425" s="6"/>
      <c r="AB425" s="6"/>
      <c r="AC425" s="6"/>
      <c r="AD425" s="6"/>
      <c r="AE425" s="6"/>
      <c r="AF425" s="6"/>
      <c r="AG425" s="6"/>
    </row>
    <row r="426" ht="14" spans="1:33">
      <c r="A426" s="61"/>
      <c r="B426" s="61"/>
      <c r="C426" s="6"/>
      <c r="D426" s="6"/>
      <c r="E426" s="6"/>
      <c r="F426" s="6"/>
      <c r="H426" s="40"/>
      <c r="K426" s="6"/>
      <c r="L426" s="6"/>
      <c r="M426" s="61"/>
      <c r="N426" s="6"/>
      <c r="O426" s="6"/>
      <c r="P426" s="61"/>
      <c r="Q426" s="6"/>
      <c r="U426" s="6"/>
      <c r="V426" s="6"/>
      <c r="W426" s="6"/>
      <c r="X426" s="6"/>
      <c r="Y426" s="6"/>
      <c r="Z426" s="6"/>
      <c r="AA426" s="6"/>
      <c r="AB426" s="6"/>
      <c r="AC426" s="6"/>
      <c r="AD426" s="6"/>
      <c r="AE426" s="6"/>
      <c r="AF426" s="6"/>
      <c r="AG426" s="6"/>
    </row>
    <row r="427" ht="14" spans="1:33">
      <c r="A427" s="61"/>
      <c r="B427" s="61"/>
      <c r="C427" s="6"/>
      <c r="D427" s="6"/>
      <c r="E427" s="6"/>
      <c r="F427" s="6"/>
      <c r="H427" s="40"/>
      <c r="K427" s="6"/>
      <c r="L427" s="6"/>
      <c r="M427" s="61"/>
      <c r="N427" s="6"/>
      <c r="O427" s="6"/>
      <c r="P427" s="61"/>
      <c r="Q427" s="6"/>
      <c r="U427" s="6"/>
      <c r="V427" s="6"/>
      <c r="W427" s="6"/>
      <c r="X427" s="6"/>
      <c r="Y427" s="6"/>
      <c r="Z427" s="6"/>
      <c r="AA427" s="6"/>
      <c r="AB427" s="6"/>
      <c r="AC427" s="6"/>
      <c r="AD427" s="6"/>
      <c r="AE427" s="6"/>
      <c r="AF427" s="6"/>
      <c r="AG427" s="6"/>
    </row>
    <row r="428" ht="14" spans="1:33">
      <c r="A428" s="61"/>
      <c r="B428" s="61"/>
      <c r="C428" s="6"/>
      <c r="D428" s="6"/>
      <c r="E428" s="6"/>
      <c r="F428" s="6"/>
      <c r="H428" s="40"/>
      <c r="K428" s="6"/>
      <c r="L428" s="6"/>
      <c r="M428" s="61"/>
      <c r="N428" s="6"/>
      <c r="O428" s="6"/>
      <c r="P428" s="61"/>
      <c r="Q428" s="6"/>
      <c r="U428" s="6"/>
      <c r="V428" s="6"/>
      <c r="W428" s="6"/>
      <c r="X428" s="6"/>
      <c r="Y428" s="6"/>
      <c r="Z428" s="6"/>
      <c r="AA428" s="6"/>
      <c r="AB428" s="6"/>
      <c r="AC428" s="6"/>
      <c r="AD428" s="6"/>
      <c r="AE428" s="6"/>
      <c r="AF428" s="6"/>
      <c r="AG428" s="6"/>
    </row>
    <row r="429" ht="14" spans="1:33">
      <c r="A429" s="61"/>
      <c r="B429" s="61"/>
      <c r="C429" s="6"/>
      <c r="D429" s="6"/>
      <c r="E429" s="6"/>
      <c r="F429" s="6"/>
      <c r="H429" s="40"/>
      <c r="K429" s="6"/>
      <c r="L429" s="6"/>
      <c r="M429" s="61"/>
      <c r="N429" s="6"/>
      <c r="O429" s="6"/>
      <c r="P429" s="61"/>
      <c r="Q429" s="6"/>
      <c r="U429" s="6"/>
      <c r="V429" s="6"/>
      <c r="W429" s="6"/>
      <c r="X429" s="6"/>
      <c r="Y429" s="6"/>
      <c r="Z429" s="6"/>
      <c r="AA429" s="6"/>
      <c r="AB429" s="6"/>
      <c r="AC429" s="6"/>
      <c r="AD429" s="6"/>
      <c r="AE429" s="6"/>
      <c r="AF429" s="6"/>
      <c r="AG429" s="6"/>
    </row>
    <row r="430" ht="14" spans="1:33">
      <c r="A430" s="61"/>
      <c r="B430" s="61"/>
      <c r="C430" s="6"/>
      <c r="D430" s="6"/>
      <c r="E430" s="6"/>
      <c r="F430" s="6"/>
      <c r="H430" s="40"/>
      <c r="K430" s="6"/>
      <c r="L430" s="6"/>
      <c r="M430" s="61"/>
      <c r="N430" s="6"/>
      <c r="O430" s="6"/>
      <c r="P430" s="61"/>
      <c r="Q430" s="6"/>
      <c r="U430" s="6"/>
      <c r="V430" s="6"/>
      <c r="W430" s="6"/>
      <c r="X430" s="6"/>
      <c r="Y430" s="6"/>
      <c r="Z430" s="6"/>
      <c r="AA430" s="6"/>
      <c r="AB430" s="6"/>
      <c r="AC430" s="6"/>
      <c r="AD430" s="6"/>
      <c r="AE430" s="6"/>
      <c r="AF430" s="6"/>
      <c r="AG430" s="6"/>
    </row>
    <row r="431" ht="14" spans="1:33">
      <c r="A431" s="61"/>
      <c r="B431" s="61"/>
      <c r="C431" s="6"/>
      <c r="D431" s="6"/>
      <c r="E431" s="6"/>
      <c r="F431" s="6"/>
      <c r="H431" s="40"/>
      <c r="K431" s="6"/>
      <c r="L431" s="6"/>
      <c r="M431" s="61"/>
      <c r="N431" s="6"/>
      <c r="O431" s="6"/>
      <c r="P431" s="61"/>
      <c r="Q431" s="6"/>
      <c r="U431" s="6"/>
      <c r="V431" s="6"/>
      <c r="W431" s="6"/>
      <c r="X431" s="6"/>
      <c r="Y431" s="6"/>
      <c r="Z431" s="6"/>
      <c r="AA431" s="6"/>
      <c r="AB431" s="6"/>
      <c r="AC431" s="6"/>
      <c r="AD431" s="6"/>
      <c r="AE431" s="6"/>
      <c r="AF431" s="6"/>
      <c r="AG431" s="6"/>
    </row>
    <row r="432" ht="14" spans="1:33">
      <c r="A432" s="61"/>
      <c r="B432" s="61"/>
      <c r="C432" s="6"/>
      <c r="D432" s="6"/>
      <c r="E432" s="6"/>
      <c r="F432" s="6"/>
      <c r="H432" s="40"/>
      <c r="K432" s="6"/>
      <c r="L432" s="6"/>
      <c r="M432" s="61"/>
      <c r="N432" s="6"/>
      <c r="O432" s="6"/>
      <c r="P432" s="61"/>
      <c r="Q432" s="6"/>
      <c r="U432" s="6"/>
      <c r="V432" s="6"/>
      <c r="W432" s="6"/>
      <c r="X432" s="6"/>
      <c r="Y432" s="6"/>
      <c r="Z432" s="6"/>
      <c r="AA432" s="6"/>
      <c r="AB432" s="6"/>
      <c r="AC432" s="6"/>
      <c r="AD432" s="6"/>
      <c r="AE432" s="6"/>
      <c r="AF432" s="6"/>
      <c r="AG432" s="6"/>
    </row>
    <row r="433" ht="14" spans="1:33">
      <c r="A433" s="61"/>
      <c r="B433" s="61"/>
      <c r="C433" s="6"/>
      <c r="D433" s="6"/>
      <c r="E433" s="6"/>
      <c r="F433" s="6"/>
      <c r="H433" s="40"/>
      <c r="K433" s="6"/>
      <c r="L433" s="6"/>
      <c r="M433" s="61"/>
      <c r="N433" s="6"/>
      <c r="O433" s="6"/>
      <c r="P433" s="61"/>
      <c r="Q433" s="6"/>
      <c r="U433" s="6"/>
      <c r="V433" s="6"/>
      <c r="W433" s="6"/>
      <c r="X433" s="6"/>
      <c r="Y433" s="6"/>
      <c r="Z433" s="6"/>
      <c r="AA433" s="6"/>
      <c r="AB433" s="6"/>
      <c r="AC433" s="6"/>
      <c r="AD433" s="6"/>
      <c r="AE433" s="6"/>
      <c r="AF433" s="6"/>
      <c r="AG433" s="6"/>
    </row>
    <row r="434" ht="14" spans="1:33">
      <c r="A434" s="61"/>
      <c r="B434" s="61"/>
      <c r="C434" s="6"/>
      <c r="D434" s="6"/>
      <c r="E434" s="6"/>
      <c r="F434" s="6"/>
      <c r="H434" s="40"/>
      <c r="K434" s="6"/>
      <c r="L434" s="6"/>
      <c r="M434" s="61"/>
      <c r="N434" s="6"/>
      <c r="O434" s="6"/>
      <c r="P434" s="61"/>
      <c r="Q434" s="6"/>
      <c r="U434" s="6"/>
      <c r="V434" s="6"/>
      <c r="W434" s="6"/>
      <c r="X434" s="6"/>
      <c r="Y434" s="6"/>
      <c r="Z434" s="6"/>
      <c r="AA434" s="6"/>
      <c r="AB434" s="6"/>
      <c r="AC434" s="6"/>
      <c r="AD434" s="6"/>
      <c r="AE434" s="6"/>
      <c r="AF434" s="6"/>
      <c r="AG434" s="6"/>
    </row>
    <row r="435" ht="14" spans="1:33">
      <c r="A435" s="61"/>
      <c r="B435" s="61"/>
      <c r="C435" s="6"/>
      <c r="D435" s="6"/>
      <c r="E435" s="6"/>
      <c r="F435" s="6"/>
      <c r="H435" s="40"/>
      <c r="K435" s="6"/>
      <c r="L435" s="6"/>
      <c r="M435" s="61"/>
      <c r="N435" s="6"/>
      <c r="O435" s="6"/>
      <c r="P435" s="61"/>
      <c r="Q435" s="6"/>
      <c r="U435" s="6"/>
      <c r="V435" s="6"/>
      <c r="W435" s="6"/>
      <c r="X435" s="6"/>
      <c r="Y435" s="6"/>
      <c r="Z435" s="6"/>
      <c r="AA435" s="6"/>
      <c r="AB435" s="6"/>
      <c r="AC435" s="6"/>
      <c r="AD435" s="6"/>
      <c r="AE435" s="6"/>
      <c r="AF435" s="6"/>
      <c r="AG435" s="6"/>
    </row>
    <row r="436" ht="14" spans="1:33">
      <c r="A436" s="61"/>
      <c r="B436" s="61"/>
      <c r="C436" s="6"/>
      <c r="D436" s="6"/>
      <c r="E436" s="6"/>
      <c r="F436" s="6"/>
      <c r="H436" s="40"/>
      <c r="K436" s="6"/>
      <c r="L436" s="6"/>
      <c r="M436" s="61"/>
      <c r="N436" s="6"/>
      <c r="O436" s="6"/>
      <c r="P436" s="61"/>
      <c r="Q436" s="6"/>
      <c r="U436" s="6"/>
      <c r="V436" s="6"/>
      <c r="W436" s="6"/>
      <c r="X436" s="6"/>
      <c r="Y436" s="6"/>
      <c r="Z436" s="6"/>
      <c r="AA436" s="6"/>
      <c r="AB436" s="6"/>
      <c r="AC436" s="6"/>
      <c r="AD436" s="6"/>
      <c r="AE436" s="6"/>
      <c r="AF436" s="6"/>
      <c r="AG436" s="6"/>
    </row>
    <row r="437" ht="14" spans="1:33">
      <c r="A437" s="61"/>
      <c r="B437" s="61"/>
      <c r="C437" s="6"/>
      <c r="D437" s="6"/>
      <c r="E437" s="6"/>
      <c r="F437" s="6"/>
      <c r="H437" s="40"/>
      <c r="K437" s="6"/>
      <c r="L437" s="6"/>
      <c r="M437" s="61"/>
      <c r="N437" s="6"/>
      <c r="O437" s="6"/>
      <c r="P437" s="61"/>
      <c r="Q437" s="6"/>
      <c r="U437" s="6"/>
      <c r="V437" s="6"/>
      <c r="W437" s="6"/>
      <c r="X437" s="6"/>
      <c r="Y437" s="6"/>
      <c r="Z437" s="6"/>
      <c r="AA437" s="6"/>
      <c r="AB437" s="6"/>
      <c r="AC437" s="6"/>
      <c r="AD437" s="6"/>
      <c r="AE437" s="6"/>
      <c r="AF437" s="6"/>
      <c r="AG437" s="6"/>
    </row>
    <row r="438" ht="14" spans="1:33">
      <c r="A438" s="61"/>
      <c r="B438" s="61"/>
      <c r="C438" s="6"/>
      <c r="D438" s="6"/>
      <c r="E438" s="6"/>
      <c r="F438" s="6"/>
      <c r="H438" s="40"/>
      <c r="K438" s="6"/>
      <c r="L438" s="6"/>
      <c r="M438" s="61"/>
      <c r="N438" s="6"/>
      <c r="O438" s="6"/>
      <c r="P438" s="61"/>
      <c r="Q438" s="6"/>
      <c r="U438" s="6"/>
      <c r="V438" s="6"/>
      <c r="W438" s="6"/>
      <c r="X438" s="6"/>
      <c r="Y438" s="6"/>
      <c r="Z438" s="6"/>
      <c r="AA438" s="6"/>
      <c r="AB438" s="6"/>
      <c r="AC438" s="6"/>
      <c r="AD438" s="6"/>
      <c r="AE438" s="6"/>
      <c r="AF438" s="6"/>
      <c r="AG438" s="6"/>
    </row>
    <row r="439" ht="14" spans="1:33">
      <c r="A439" s="61"/>
      <c r="B439" s="61"/>
      <c r="C439" s="6"/>
      <c r="D439" s="6"/>
      <c r="E439" s="6"/>
      <c r="F439" s="6"/>
      <c r="H439" s="40"/>
      <c r="K439" s="6"/>
      <c r="L439" s="6"/>
      <c r="M439" s="61"/>
      <c r="N439" s="6"/>
      <c r="O439" s="6"/>
      <c r="P439" s="61"/>
      <c r="Q439" s="6"/>
      <c r="U439" s="6"/>
      <c r="V439" s="6"/>
      <c r="W439" s="6"/>
      <c r="X439" s="6"/>
      <c r="Y439" s="6"/>
      <c r="Z439" s="6"/>
      <c r="AA439" s="6"/>
      <c r="AB439" s="6"/>
      <c r="AC439" s="6"/>
      <c r="AD439" s="6"/>
      <c r="AE439" s="6"/>
      <c r="AF439" s="6"/>
      <c r="AG439" s="6"/>
    </row>
    <row r="440" ht="14" spans="1:33">
      <c r="A440" s="61"/>
      <c r="B440" s="61"/>
      <c r="C440" s="6"/>
      <c r="D440" s="6"/>
      <c r="E440" s="6"/>
      <c r="F440" s="6"/>
      <c r="H440" s="40"/>
      <c r="K440" s="6"/>
      <c r="L440" s="6"/>
      <c r="M440" s="61"/>
      <c r="N440" s="6"/>
      <c r="O440" s="6"/>
      <c r="P440" s="61"/>
      <c r="Q440" s="6"/>
      <c r="U440" s="6"/>
      <c r="V440" s="6"/>
      <c r="W440" s="6"/>
      <c r="X440" s="6"/>
      <c r="Y440" s="6"/>
      <c r="Z440" s="6"/>
      <c r="AA440" s="6"/>
      <c r="AB440" s="6"/>
      <c r="AC440" s="6"/>
      <c r="AD440" s="6"/>
      <c r="AE440" s="6"/>
      <c r="AF440" s="6"/>
      <c r="AG440" s="6"/>
    </row>
    <row r="441" ht="14" spans="1:33">
      <c r="A441" s="61"/>
      <c r="B441" s="61"/>
      <c r="C441" s="6"/>
      <c r="D441" s="6"/>
      <c r="E441" s="6"/>
      <c r="F441" s="6"/>
      <c r="H441" s="40"/>
      <c r="K441" s="6"/>
      <c r="L441" s="6"/>
      <c r="M441" s="61"/>
      <c r="N441" s="6"/>
      <c r="O441" s="6"/>
      <c r="P441" s="61"/>
      <c r="Q441" s="6"/>
      <c r="U441" s="6"/>
      <c r="V441" s="6"/>
      <c r="W441" s="6"/>
      <c r="X441" s="6"/>
      <c r="Y441" s="6"/>
      <c r="Z441" s="6"/>
      <c r="AA441" s="6"/>
      <c r="AB441" s="6"/>
      <c r="AC441" s="6"/>
      <c r="AD441" s="6"/>
      <c r="AE441" s="6"/>
      <c r="AF441" s="6"/>
      <c r="AG441" s="6"/>
    </row>
    <row r="442" ht="14" spans="1:33">
      <c r="A442" s="61"/>
      <c r="B442" s="61"/>
      <c r="C442" s="6"/>
      <c r="D442" s="6"/>
      <c r="E442" s="6"/>
      <c r="F442" s="6"/>
      <c r="H442" s="40"/>
      <c r="K442" s="6"/>
      <c r="L442" s="6"/>
      <c r="M442" s="61"/>
      <c r="N442" s="6"/>
      <c r="O442" s="6"/>
      <c r="P442" s="61"/>
      <c r="Q442" s="6"/>
      <c r="U442" s="6"/>
      <c r="V442" s="6"/>
      <c r="W442" s="6"/>
      <c r="X442" s="6"/>
      <c r="Y442" s="6"/>
      <c r="Z442" s="6"/>
      <c r="AA442" s="6"/>
      <c r="AB442" s="6"/>
      <c r="AC442" s="6"/>
      <c r="AD442" s="6"/>
      <c r="AE442" s="6"/>
      <c r="AF442" s="6"/>
      <c r="AG442" s="6"/>
    </row>
    <row r="443" ht="14" spans="1:33">
      <c r="A443" s="61"/>
      <c r="B443" s="61"/>
      <c r="C443" s="6"/>
      <c r="D443" s="6"/>
      <c r="E443" s="6"/>
      <c r="F443" s="6"/>
      <c r="H443" s="40"/>
      <c r="K443" s="6"/>
      <c r="L443" s="6"/>
      <c r="M443" s="61"/>
      <c r="N443" s="6"/>
      <c r="O443" s="6"/>
      <c r="P443" s="61"/>
      <c r="Q443" s="6"/>
      <c r="U443" s="6"/>
      <c r="V443" s="6"/>
      <c r="W443" s="6"/>
      <c r="X443" s="6"/>
      <c r="Y443" s="6"/>
      <c r="Z443" s="6"/>
      <c r="AA443" s="6"/>
      <c r="AB443" s="6"/>
      <c r="AC443" s="6"/>
      <c r="AD443" s="6"/>
      <c r="AE443" s="6"/>
      <c r="AF443" s="6"/>
      <c r="AG443" s="6"/>
    </row>
    <row r="444" ht="14" spans="1:33">
      <c r="A444" s="61"/>
      <c r="B444" s="61"/>
      <c r="C444" s="6"/>
      <c r="D444" s="6"/>
      <c r="E444" s="6"/>
      <c r="F444" s="6"/>
      <c r="H444" s="40"/>
      <c r="K444" s="6"/>
      <c r="L444" s="6"/>
      <c r="M444" s="61"/>
      <c r="N444" s="6"/>
      <c r="O444" s="6"/>
      <c r="P444" s="61"/>
      <c r="Q444" s="6"/>
      <c r="U444" s="6"/>
      <c r="V444" s="6"/>
      <c r="W444" s="6"/>
      <c r="X444" s="6"/>
      <c r="Y444" s="6"/>
      <c r="Z444" s="6"/>
      <c r="AA444" s="6"/>
      <c r="AB444" s="6"/>
      <c r="AC444" s="6"/>
      <c r="AD444" s="6"/>
      <c r="AE444" s="6"/>
      <c r="AF444" s="6"/>
      <c r="AG444" s="6"/>
    </row>
    <row r="445" ht="14" spans="1:33">
      <c r="A445" s="61"/>
      <c r="B445" s="61"/>
      <c r="C445" s="6"/>
      <c r="D445" s="6"/>
      <c r="E445" s="6"/>
      <c r="F445" s="6"/>
      <c r="H445" s="40"/>
      <c r="K445" s="6"/>
      <c r="L445" s="6"/>
      <c r="M445" s="61"/>
      <c r="N445" s="6"/>
      <c r="O445" s="6"/>
      <c r="P445" s="61"/>
      <c r="Q445" s="6"/>
      <c r="U445" s="6"/>
      <c r="V445" s="6"/>
      <c r="W445" s="6"/>
      <c r="X445" s="6"/>
      <c r="Y445" s="6"/>
      <c r="Z445" s="6"/>
      <c r="AA445" s="6"/>
      <c r="AB445" s="6"/>
      <c r="AC445" s="6"/>
      <c r="AD445" s="6"/>
      <c r="AE445" s="6"/>
      <c r="AF445" s="6"/>
      <c r="AG445" s="6"/>
    </row>
    <row r="446" ht="14" spans="1:33">
      <c r="A446" s="61"/>
      <c r="B446" s="61"/>
      <c r="C446" s="6"/>
      <c r="D446" s="6"/>
      <c r="E446" s="6"/>
      <c r="F446" s="6"/>
      <c r="H446" s="40"/>
      <c r="K446" s="6"/>
      <c r="L446" s="6"/>
      <c r="M446" s="61"/>
      <c r="N446" s="6"/>
      <c r="O446" s="6"/>
      <c r="P446" s="61"/>
      <c r="Q446" s="6"/>
      <c r="U446" s="6"/>
      <c r="V446" s="6"/>
      <c r="W446" s="6"/>
      <c r="X446" s="6"/>
      <c r="Y446" s="6"/>
      <c r="Z446" s="6"/>
      <c r="AA446" s="6"/>
      <c r="AB446" s="6"/>
      <c r="AC446" s="6"/>
      <c r="AD446" s="6"/>
      <c r="AE446" s="6"/>
      <c r="AF446" s="6"/>
      <c r="AG446" s="6"/>
    </row>
    <row r="447" ht="14" spans="1:33">
      <c r="A447" s="61"/>
      <c r="B447" s="61"/>
      <c r="C447" s="6"/>
      <c r="D447" s="6"/>
      <c r="E447" s="6"/>
      <c r="F447" s="6"/>
      <c r="H447" s="40"/>
      <c r="K447" s="6"/>
      <c r="L447" s="6"/>
      <c r="M447" s="61"/>
      <c r="N447" s="6"/>
      <c r="O447" s="6"/>
      <c r="P447" s="61"/>
      <c r="Q447" s="6"/>
      <c r="U447" s="6"/>
      <c r="V447" s="6"/>
      <c r="W447" s="6"/>
      <c r="X447" s="6"/>
      <c r="Y447" s="6"/>
      <c r="Z447" s="6"/>
      <c r="AA447" s="6"/>
      <c r="AB447" s="6"/>
      <c r="AC447" s="6"/>
      <c r="AD447" s="6"/>
      <c r="AE447" s="6"/>
      <c r="AF447" s="6"/>
      <c r="AG447" s="6"/>
    </row>
    <row r="448" ht="14" spans="1:33">
      <c r="A448" s="61"/>
      <c r="B448" s="61"/>
      <c r="C448" s="6"/>
      <c r="D448" s="6"/>
      <c r="E448" s="6"/>
      <c r="F448" s="6"/>
      <c r="H448" s="40"/>
      <c r="K448" s="6"/>
      <c r="L448" s="6"/>
      <c r="M448" s="61"/>
      <c r="N448" s="6"/>
      <c r="O448" s="6"/>
      <c r="P448" s="61"/>
      <c r="Q448" s="6"/>
      <c r="U448" s="6"/>
      <c r="V448" s="6"/>
      <c r="W448" s="6"/>
      <c r="X448" s="6"/>
      <c r="Y448" s="6"/>
      <c r="Z448" s="6"/>
      <c r="AA448" s="6"/>
      <c r="AB448" s="6"/>
      <c r="AC448" s="6"/>
      <c r="AD448" s="6"/>
      <c r="AE448" s="6"/>
      <c r="AF448" s="6"/>
      <c r="AG448" s="6"/>
    </row>
    <row r="449" ht="14" spans="1:33">
      <c r="A449" s="61"/>
      <c r="B449" s="61"/>
      <c r="C449" s="6"/>
      <c r="D449" s="6"/>
      <c r="E449" s="6"/>
      <c r="F449" s="6"/>
      <c r="H449" s="40"/>
      <c r="K449" s="6"/>
      <c r="L449" s="6"/>
      <c r="M449" s="61"/>
      <c r="N449" s="6"/>
      <c r="O449" s="6"/>
      <c r="P449" s="61"/>
      <c r="Q449" s="6"/>
      <c r="U449" s="6"/>
      <c r="V449" s="6"/>
      <c r="W449" s="6"/>
      <c r="X449" s="6"/>
      <c r="Y449" s="6"/>
      <c r="Z449" s="6"/>
      <c r="AA449" s="6"/>
      <c r="AB449" s="6"/>
      <c r="AC449" s="6"/>
      <c r="AD449" s="6"/>
      <c r="AE449" s="6"/>
      <c r="AF449" s="6"/>
      <c r="AG449" s="6"/>
    </row>
    <row r="450" ht="14" spans="1:33">
      <c r="A450" s="61"/>
      <c r="B450" s="61"/>
      <c r="C450" s="6"/>
      <c r="D450" s="6"/>
      <c r="E450" s="6"/>
      <c r="F450" s="6"/>
      <c r="H450" s="40"/>
      <c r="K450" s="6"/>
      <c r="L450" s="6"/>
      <c r="M450" s="61"/>
      <c r="N450" s="6"/>
      <c r="O450" s="6"/>
      <c r="P450" s="61"/>
      <c r="Q450" s="6"/>
      <c r="U450" s="6"/>
      <c r="V450" s="6"/>
      <c r="W450" s="6"/>
      <c r="X450" s="6"/>
      <c r="Y450" s="6"/>
      <c r="Z450" s="6"/>
      <c r="AA450" s="6"/>
      <c r="AB450" s="6"/>
      <c r="AC450" s="6"/>
      <c r="AD450" s="6"/>
      <c r="AE450" s="6"/>
      <c r="AF450" s="6"/>
      <c r="AG450" s="6"/>
    </row>
    <row r="451" ht="14" spans="1:33">
      <c r="A451" s="61"/>
      <c r="B451" s="61"/>
      <c r="C451" s="6"/>
      <c r="D451" s="6"/>
      <c r="E451" s="6"/>
      <c r="F451" s="6"/>
      <c r="H451" s="40"/>
      <c r="K451" s="6"/>
      <c r="L451" s="6"/>
      <c r="M451" s="61"/>
      <c r="N451" s="6"/>
      <c r="O451" s="6"/>
      <c r="P451" s="61"/>
      <c r="Q451" s="6"/>
      <c r="U451" s="6"/>
      <c r="V451" s="6"/>
      <c r="W451" s="6"/>
      <c r="X451" s="6"/>
      <c r="Y451" s="6"/>
      <c r="Z451" s="6"/>
      <c r="AA451" s="6"/>
      <c r="AB451" s="6"/>
      <c r="AC451" s="6"/>
      <c r="AD451" s="6"/>
      <c r="AE451" s="6"/>
      <c r="AF451" s="6"/>
      <c r="AG451" s="6"/>
    </row>
    <row r="452" ht="14" spans="1:33">
      <c r="A452" s="61"/>
      <c r="B452" s="61"/>
      <c r="C452" s="6"/>
      <c r="D452" s="6"/>
      <c r="E452" s="6"/>
      <c r="F452" s="6"/>
      <c r="H452" s="40"/>
      <c r="K452" s="6"/>
      <c r="L452" s="6"/>
      <c r="M452" s="61"/>
      <c r="N452" s="6"/>
      <c r="O452" s="6"/>
      <c r="P452" s="61"/>
      <c r="Q452" s="6"/>
      <c r="U452" s="6"/>
      <c r="V452" s="6"/>
      <c r="W452" s="6"/>
      <c r="X452" s="6"/>
      <c r="Y452" s="6"/>
      <c r="Z452" s="6"/>
      <c r="AA452" s="6"/>
      <c r="AB452" s="6"/>
      <c r="AC452" s="6"/>
      <c r="AD452" s="6"/>
      <c r="AE452" s="6"/>
      <c r="AF452" s="6"/>
      <c r="AG452" s="6"/>
    </row>
  </sheetData>
  <mergeCells count="63">
    <mergeCell ref="A1:AA1"/>
    <mergeCell ref="A82:A88"/>
    <mergeCell ref="A90:A91"/>
    <mergeCell ref="A95:A96"/>
    <mergeCell ref="G82:G88"/>
    <mergeCell ref="G90:G91"/>
    <mergeCell ref="G341:G348"/>
    <mergeCell ref="G349:G363"/>
    <mergeCell ref="I172:I174"/>
    <mergeCell ref="I186:I191"/>
    <mergeCell ref="I341:I348"/>
    <mergeCell ref="I349:I363"/>
    <mergeCell ref="I370:I371"/>
    <mergeCell ref="J337:J340"/>
    <mergeCell ref="K71:K72"/>
    <mergeCell ref="K90:K91"/>
    <mergeCell ref="K172:K174"/>
    <mergeCell ref="K341:K348"/>
    <mergeCell ref="K349:K363"/>
    <mergeCell ref="K366:K368"/>
    <mergeCell ref="K388:K391"/>
    <mergeCell ref="L71:L72"/>
    <mergeCell ref="L90:L91"/>
    <mergeCell ref="L172:L174"/>
    <mergeCell ref="L341:L348"/>
    <mergeCell ref="L349:L363"/>
    <mergeCell ref="L366:L368"/>
    <mergeCell ref="L388:L391"/>
    <mergeCell ref="M71:M72"/>
    <mergeCell ref="M90:M91"/>
    <mergeCell ref="M341:M348"/>
    <mergeCell ref="M349:M363"/>
    <mergeCell ref="M366:M368"/>
    <mergeCell ref="M377:M384"/>
    <mergeCell ref="M388:M391"/>
    <mergeCell ref="N71:N72"/>
    <mergeCell ref="O71:O72"/>
    <mergeCell ref="O172:O174"/>
    <mergeCell ref="O341:O348"/>
    <mergeCell ref="O349:O363"/>
    <mergeCell ref="O366:O368"/>
    <mergeCell ref="O388:O391"/>
    <mergeCell ref="R71:R72"/>
    <mergeCell ref="R186:R191"/>
    <mergeCell ref="S71:S72"/>
    <mergeCell ref="S172:S174"/>
    <mergeCell ref="S186:S191"/>
    <mergeCell ref="S349:S363"/>
    <mergeCell ref="S366:S368"/>
    <mergeCell ref="T71:T72"/>
    <mergeCell ref="T172:T174"/>
    <mergeCell ref="T186:T191"/>
    <mergeCell ref="T349:T363"/>
    <mergeCell ref="T366:T368"/>
    <mergeCell ref="U71:U72"/>
    <mergeCell ref="U172:U174"/>
    <mergeCell ref="U186:U191"/>
    <mergeCell ref="U349:U363"/>
    <mergeCell ref="U366:U368"/>
    <mergeCell ref="V78:V80"/>
    <mergeCell ref="V82:V88"/>
    <mergeCell ref="V186:V191"/>
    <mergeCell ref="AA105:AA106"/>
  </mergeCells>
  <conditionalFormatting sqref="L1:L349 K2 L364:L373">
    <cfRule type="duplicateValues" dxfId="0" priority="1"/>
  </conditionalFormatting>
  <conditionalFormatting sqref="K1:K349 K364:K374">
    <cfRule type="duplicateValues" dxfId="0" priority="2"/>
  </conditionalFormatting>
  <dataValidations count="14">
    <dataValidation type="date" operator="between" allowBlank="1" showInputMessage="1" showErrorMessage="1" sqref="Y65:Z65 W68 W72 W223 B2:B1048576 W82:W84 W87:W88"/>
    <dataValidation type="list" allowBlank="1" showInputMessage="1" showErrorMessage="1" sqref="A2:A1048576">
      <formula1>"李凯,戈燕,高诗颖,李源,王伊丽,陈一涵,蔡丽娜,"</formula1>
    </dataValidation>
    <dataValidation type="list" allowBlank="1" showInputMessage="1" showErrorMessage="1" sqref="C$1:C$1048576">
      <formula1>"DBS,PINGPONG,CITI,CC,GME,BC,THUNES,MDAQ,汇付,警方协查,"</formula1>
    </dataValidation>
    <dataValidation type="list" showInputMessage="1" showErrorMessage="1" sqref="D3:D27">
      <formula1>"DBS,PINGPONG,CITI,CC,GME,BC,THUNES,MDAQ,汇付,警方协查,"</formula1>
    </dataValidation>
    <dataValidation type="list" allowBlank="1" showInputMessage="1" showErrorMessage="1" sqref="D28:D336 D341:D401">
      <formula1>"DBS,PINGPONG,CITI,CC,GME,Banking Circle,THUNES,MDAQ,汇付,警方协查,IBC,OpenPayd,SCB,"</formula1>
    </dataValidation>
    <dataValidation type="list" allowBlank="1" showInputMessage="1" showErrorMessage="1" sqref="D337:D340">
      <formula1>"平安银行,Banking Circle,DBS,Thunes,CC,Pyvio,PING PONG,M-DAQ,QBC,GME,TransferMate,IBC,Sentbe,Nium,"</formula1>
    </dataValidation>
    <dataValidation type="list" allowBlank="1" showInputMessage="1" showErrorMessage="1" sqref="F$1:F$1048576">
      <formula1>"B2B,电商,服贸汇兑,"</formula1>
    </dataValidation>
    <dataValidation type="list" allowBlank="1" showInputMessage="1" showErrorMessage="1" sqref="G2:G1048576">
      <formula1>"欺诈召回,召回,"</formula1>
    </dataValidation>
    <dataValidation type="list" allowBlank="1" showInputMessage="1" showErrorMessage="1" sqref="H2:H1048576">
      <formula1>"买家欺诈,商户欺诈,三方欺诈,联合欺诈,平台违规,贸易纠纷,付款人打错款,暂无风险,其他,错币种入账,"</formula1>
    </dataValidation>
    <dataValidation type="list" allowBlank="1" showInputMessage="1" showErrorMessage="1" sqref="I2:I1048576">
      <formula1>"目前状态,已经回复,待BD回复,无需处理,客户要求取消,回复超时,"</formula1>
    </dataValidation>
    <dataValidation type="list" allowBlank="1" showInputMessage="1" showErrorMessage="1" sqref="J2:J1048576">
      <formula1>"无资损,可能存在资损,资损,商户与此付款人无交易，已回复渠道,"</formula1>
    </dataValidation>
    <dataValidation type="list" allowBlank="1" showInputMessage="1" showErrorMessage="1" sqref="R2:R1048576">
      <formula1>"同意召回,拒绝召回,回复超时,"</formula1>
    </dataValidation>
    <dataValidation type="list" allowBlank="1" showInputMessage="1" showErrorMessage="1" sqref="S2:S1048576">
      <formula1>"未关户,已关户,"</formula1>
    </dataValidation>
    <dataValidation type="list" allowBlank="1" showInputMessage="1" showErrorMessage="1" sqref="T2:T1048576">
      <formula1>"不可结算,可结算,"</formula1>
    </dataValidation>
  </dataValidations>
  <hyperlinks>
    <hyperlink ref="A1" r:id="rId2" display="涉及DBS的recall需同步登记到【DBS风险事件】，冻结情况+调单记录一起登记。DBS风险事件"/>
    <hyperlink ref="AA64" r:id="rId3" display="DA letter-1513II6809806.pdf"/>
    <hyperlink ref="AA105" r:id="rId4" display="Signed DA letter-1513II6803267、1513II6943389.pdf"/>
    <hyperlink ref="AA107" r:id="rId5" display="Signed DA letter-2409270902391RKCI229.pdf"/>
    <hyperlink ref="AA109" r:id="rId6" display="Signed DA 1513IT8419979.pdf"/>
    <hyperlink ref="AA127" r:id="rId7" display="Signed DA-1513II7213284.pdf"/>
    <hyperlink ref="AA141" r:id="rId8" display="Signed DA-1513IT9374752.pdf"/>
    <hyperlink ref="AA147" r:id="rId9" display="Signed DA-1513II7601485.pdf"/>
    <hyperlink ref="AA150" r:id="rId10" display="Signed DA-15131T9468312.pdf"/>
    <hyperlink ref="AA151" r:id="rId11" display="Signed DA-1513IT9282732.pdf"/>
  </hyperlinks>
  <pageMargins left="0.75" right="0.75" top="1" bottom="1" header="0.5" footer="0.5"/>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内部调单">
    <tabColor rgb="FFFFFFFF"/>
  </sheetPr>
  <dimension ref="A1:AA238"/>
  <sheetViews>
    <sheetView workbookViewId="0">
      <pane ySplit="1" topLeftCell="A2" activePane="bottomLeft" state="frozen"/>
      <selection/>
      <selection pane="bottomLeft" activeCell="A1" sqref="A1"/>
    </sheetView>
  </sheetViews>
  <sheetFormatPr defaultColWidth="9.81818181818182" defaultRowHeight="14"/>
  <cols>
    <col min="3" max="3" width="22.7090909090909" style="29" customWidth="1"/>
    <col min="4" max="4" width="26.9181818181818" style="29" customWidth="1"/>
    <col min="5" max="5" width="13.2090909090909" style="6" customWidth="1"/>
    <col min="6" max="6" width="66.9" style="29" customWidth="1"/>
    <col min="7" max="7" width="18.4818181818182" style="29" customWidth="1"/>
    <col min="8" max="8" width="21.3090909090909" style="29" customWidth="1"/>
    <col min="9" max="9" width="21.8545454545455" style="29" customWidth="1"/>
    <col min="10" max="10" width="62.9909090909091" style="30" customWidth="1"/>
    <col min="11" max="11" width="25.3545454545455" customWidth="1"/>
  </cols>
  <sheetData>
    <row r="1" ht="15" spans="1:27">
      <c r="A1" s="31" t="s">
        <v>56</v>
      </c>
      <c r="B1" s="32" t="s">
        <v>5398</v>
      </c>
      <c r="C1" s="33" t="s">
        <v>66</v>
      </c>
      <c r="D1" s="33" t="s">
        <v>67</v>
      </c>
      <c r="E1" s="3" t="s">
        <v>59</v>
      </c>
      <c r="F1" s="33" t="s">
        <v>5399</v>
      </c>
      <c r="G1" s="34" t="s">
        <v>64</v>
      </c>
      <c r="H1" s="34" t="s">
        <v>69</v>
      </c>
      <c r="I1" s="35" t="s">
        <v>5400</v>
      </c>
      <c r="J1" s="35" t="s">
        <v>71</v>
      </c>
      <c r="K1" s="36" t="s">
        <v>5401</v>
      </c>
      <c r="L1" s="36"/>
      <c r="M1" s="36"/>
      <c r="N1" s="36"/>
      <c r="O1" s="36"/>
      <c r="P1" s="36"/>
      <c r="Q1" s="36"/>
      <c r="R1" s="36"/>
      <c r="S1" s="36"/>
      <c r="T1" s="36"/>
      <c r="U1" s="36"/>
      <c r="V1" s="36"/>
      <c r="W1" s="36"/>
      <c r="X1" s="36"/>
      <c r="Y1" s="36"/>
      <c r="Z1" s="36"/>
      <c r="AA1" s="36"/>
    </row>
    <row r="2" ht="21" customHeight="1" spans="1:27">
      <c r="A2" s="6" t="s">
        <v>142</v>
      </c>
      <c r="B2" s="7">
        <v>45623</v>
      </c>
      <c r="C2" s="37" t="s">
        <v>5402</v>
      </c>
      <c r="D2" s="38" t="s">
        <v>5403</v>
      </c>
      <c r="E2" s="6" t="s">
        <v>11</v>
      </c>
      <c r="F2" s="38" t="s">
        <v>5404</v>
      </c>
      <c r="G2" s="6" t="s">
        <v>3433</v>
      </c>
      <c r="H2" s="39" t="s">
        <v>5405</v>
      </c>
      <c r="I2" s="40"/>
      <c r="J2" s="41" t="s">
        <v>5406</v>
      </c>
    </row>
    <row r="3" ht="21" customHeight="1" spans="1:27">
      <c r="A3" s="6" t="s">
        <v>142</v>
      </c>
      <c r="B3" s="7">
        <v>45623</v>
      </c>
      <c r="C3" s="37" t="s">
        <v>5407</v>
      </c>
      <c r="D3" s="38" t="s">
        <v>5408</v>
      </c>
      <c r="E3" s="6" t="s">
        <v>11</v>
      </c>
      <c r="F3" s="38" t="s">
        <v>5409</v>
      </c>
      <c r="G3" s="6" t="s">
        <v>3433</v>
      </c>
      <c r="H3" s="39" t="s">
        <v>5405</v>
      </c>
      <c r="I3" s="39"/>
      <c r="J3" s="42" t="s">
        <v>5410</v>
      </c>
    </row>
    <row r="4" ht="21" customHeight="1" spans="1:27">
      <c r="A4" s="6" t="s">
        <v>142</v>
      </c>
      <c r="B4" s="7">
        <v>45638</v>
      </c>
      <c r="C4" s="8" t="s">
        <v>5411</v>
      </c>
      <c r="D4" s="6" t="s">
        <v>5412</v>
      </c>
      <c r="F4" s="37" t="s">
        <v>5413</v>
      </c>
      <c r="G4" s="6" t="s">
        <v>290</v>
      </c>
      <c r="H4" s="40" t="s">
        <v>5414</v>
      </c>
      <c r="I4" s="40"/>
      <c r="J4" s="41" t="s">
        <v>5415</v>
      </c>
    </row>
    <row r="5" ht="28" spans="1:27">
      <c r="A5" s="6" t="s">
        <v>142</v>
      </c>
      <c r="B5" s="7">
        <v>45630</v>
      </c>
      <c r="C5" s="8" t="s">
        <v>5416</v>
      </c>
      <c r="D5" s="6" t="s">
        <v>5417</v>
      </c>
      <c r="F5" s="37" t="s">
        <v>5418</v>
      </c>
      <c r="G5" s="6" t="s">
        <v>3433</v>
      </c>
      <c r="H5" s="40" t="s">
        <v>5414</v>
      </c>
      <c r="I5" s="40"/>
      <c r="J5" s="41" t="s">
        <v>5419</v>
      </c>
    </row>
    <row r="6" ht="21" customHeight="1" spans="1:27">
      <c r="A6" s="6" t="s">
        <v>142</v>
      </c>
      <c r="B6" s="7">
        <v>45645</v>
      </c>
      <c r="C6" s="8" t="s">
        <v>5420</v>
      </c>
      <c r="D6" s="6" t="s">
        <v>5421</v>
      </c>
      <c r="F6" s="6" t="s">
        <v>5422</v>
      </c>
      <c r="G6" s="6" t="s">
        <v>3433</v>
      </c>
      <c r="H6" s="40" t="s">
        <v>5423</v>
      </c>
      <c r="I6" s="40"/>
      <c r="J6" s="41"/>
    </row>
    <row r="7" ht="31.5" customHeight="1" spans="1:27">
      <c r="A7" s="6" t="s">
        <v>5424</v>
      </c>
      <c r="B7" s="7">
        <v>45652</v>
      </c>
      <c r="C7" s="8" t="s">
        <v>2227</v>
      </c>
      <c r="D7" s="6" t="s">
        <v>2229</v>
      </c>
      <c r="F7" s="41" t="s">
        <v>5425</v>
      </c>
      <c r="G7" s="6" t="s">
        <v>3433</v>
      </c>
      <c r="H7" s="40" t="s">
        <v>5423</v>
      </c>
      <c r="I7" s="40"/>
      <c r="J7" s="41" t="s">
        <v>5426</v>
      </c>
    </row>
    <row r="8" ht="21" customHeight="1" spans="1:27">
      <c r="A8" s="6" t="s">
        <v>207</v>
      </c>
      <c r="B8" s="7">
        <v>45660</v>
      </c>
      <c r="C8" s="8" t="s">
        <v>5427</v>
      </c>
      <c r="D8" s="6" t="s">
        <v>5428</v>
      </c>
      <c r="F8" s="6" t="s">
        <v>5429</v>
      </c>
      <c r="G8" s="6" t="s">
        <v>3433</v>
      </c>
      <c r="H8" s="40" t="s">
        <v>5423</v>
      </c>
      <c r="I8" s="40"/>
      <c r="J8" s="41" t="s">
        <v>5430</v>
      </c>
    </row>
    <row r="9" ht="168" spans="1:27">
      <c r="A9" s="6" t="s">
        <v>5424</v>
      </c>
      <c r="B9" s="7">
        <v>45666</v>
      </c>
      <c r="C9" s="8" t="s">
        <v>5431</v>
      </c>
      <c r="D9" s="6" t="s">
        <v>5432</v>
      </c>
      <c r="F9" s="6" t="s">
        <v>5433</v>
      </c>
      <c r="G9" s="6" t="s">
        <v>3433</v>
      </c>
      <c r="H9" s="40" t="s">
        <v>5423</v>
      </c>
      <c r="I9" s="40"/>
      <c r="J9" s="41" t="s">
        <v>5434</v>
      </c>
    </row>
    <row r="10" ht="21" customHeight="1" spans="1:27">
      <c r="A10" s="6" t="s">
        <v>142</v>
      </c>
      <c r="B10" s="7">
        <v>45700</v>
      </c>
      <c r="C10" s="8" t="s">
        <v>5435</v>
      </c>
      <c r="D10" s="8" t="s">
        <v>5436</v>
      </c>
      <c r="F10" s="6" t="s">
        <v>5437</v>
      </c>
      <c r="G10" s="6" t="s">
        <v>3433</v>
      </c>
      <c r="H10" s="40" t="s">
        <v>5414</v>
      </c>
      <c r="I10" s="40"/>
      <c r="J10" s="41"/>
    </row>
    <row r="11" ht="21" customHeight="1" spans="1:27">
      <c r="A11" s="6" t="s">
        <v>142</v>
      </c>
      <c r="B11" s="7">
        <v>45702</v>
      </c>
      <c r="C11" s="8" t="s">
        <v>5438</v>
      </c>
      <c r="D11" s="6" t="s">
        <v>5439</v>
      </c>
      <c r="F11" s="6" t="s">
        <v>5440</v>
      </c>
      <c r="G11" s="6" t="s">
        <v>3433</v>
      </c>
      <c r="H11" s="40" t="s">
        <v>5414</v>
      </c>
      <c r="I11" s="40"/>
      <c r="J11" s="41"/>
    </row>
    <row r="12" ht="21" customHeight="1" spans="1:27">
      <c r="A12" s="6" t="s">
        <v>142</v>
      </c>
      <c r="B12" s="7">
        <v>45713</v>
      </c>
      <c r="C12" s="8" t="s">
        <v>5441</v>
      </c>
      <c r="D12" s="6" t="s">
        <v>5442</v>
      </c>
      <c r="F12" s="6" t="s">
        <v>5443</v>
      </c>
      <c r="G12" s="6" t="s">
        <v>3433</v>
      </c>
      <c r="H12" s="40" t="s">
        <v>5414</v>
      </c>
      <c r="I12" s="40"/>
      <c r="J12" s="41"/>
    </row>
    <row r="13" ht="21" customHeight="1" spans="1:27">
      <c r="A13" s="6" t="s">
        <v>142</v>
      </c>
      <c r="B13" s="7">
        <v>45713</v>
      </c>
      <c r="C13" s="8" t="s">
        <v>5444</v>
      </c>
      <c r="D13" s="6" t="s">
        <v>5445</v>
      </c>
      <c r="F13" s="6" t="s">
        <v>5446</v>
      </c>
      <c r="G13" s="6" t="s">
        <v>290</v>
      </c>
      <c r="H13" s="40"/>
      <c r="I13" s="40"/>
      <c r="J13" s="41"/>
      <c r="K13" s="10" t="s">
        <v>5447</v>
      </c>
    </row>
    <row r="14" ht="21" customHeight="1" spans="1:27">
      <c r="A14" s="6" t="s">
        <v>142</v>
      </c>
      <c r="B14" s="7">
        <v>45728</v>
      </c>
      <c r="C14" s="6" t="str">
        <f t="shared" ref="C14:C20" si="0">MID(F14,7,19)</f>
        <v>5181231010000930808</v>
      </c>
      <c r="D14" s="6" t="str">
        <f>RIGHT(F14,3)</f>
        <v>刘佳翱</v>
      </c>
      <c r="F14" s="6" t="s">
        <v>5448</v>
      </c>
      <c r="G14" s="6"/>
      <c r="H14" s="40"/>
      <c r="I14" s="40"/>
      <c r="J14" s="41"/>
    </row>
    <row r="15" ht="21" customHeight="1" spans="1:27">
      <c r="A15" s="6" t="s">
        <v>142</v>
      </c>
      <c r="B15" s="7">
        <v>45733</v>
      </c>
      <c r="C15" s="6" t="str">
        <f t="shared" si="0"/>
        <v>5181240307002338678</v>
      </c>
      <c r="D15" s="6" t="s">
        <v>5449</v>
      </c>
      <c r="F15" s="6" t="s">
        <v>5450</v>
      </c>
      <c r="G15" s="6"/>
      <c r="H15" s="40"/>
      <c r="I15" s="40"/>
      <c r="J15" s="41"/>
    </row>
    <row r="16" ht="42" spans="1:27">
      <c r="A16" s="6" t="s">
        <v>142</v>
      </c>
      <c r="B16" s="7"/>
      <c r="C16" s="6" t="str">
        <f t="shared" si="0"/>
        <v>5181250418040570078</v>
      </c>
      <c r="D16" s="6"/>
      <c r="F16" s="41" t="s">
        <v>5451</v>
      </c>
      <c r="G16" s="6"/>
      <c r="H16" s="40"/>
      <c r="I16" s="40"/>
      <c r="J16" s="41"/>
    </row>
    <row r="17" ht="21" customHeight="1" spans="1:11">
      <c r="A17" s="6" t="s">
        <v>142</v>
      </c>
      <c r="B17" s="7"/>
      <c r="C17" s="6" t="str">
        <f t="shared" si="0"/>
        <v>5181250109037176228</v>
      </c>
      <c r="D17" s="6"/>
      <c r="F17" s="6" t="s">
        <v>5452</v>
      </c>
      <c r="G17" s="6"/>
      <c r="H17" s="40" t="s">
        <v>5453</v>
      </c>
      <c r="I17" s="40"/>
      <c r="J17" s="41"/>
      <c r="K17" s="10" t="s">
        <v>5454</v>
      </c>
    </row>
    <row r="18" ht="21" customHeight="1" spans="1:11">
      <c r="A18" s="6" t="s">
        <v>142</v>
      </c>
      <c r="B18" s="7"/>
      <c r="C18" s="6" t="str">
        <f t="shared" si="0"/>
        <v>5181230915000806438</v>
      </c>
      <c r="D18" s="6"/>
      <c r="F18" s="6" t="s">
        <v>5455</v>
      </c>
      <c r="G18" s="6"/>
      <c r="H18" s="40"/>
      <c r="I18" s="40"/>
      <c r="J18" s="41"/>
      <c r="K18" s="10" t="s">
        <v>5454</v>
      </c>
    </row>
    <row r="19" ht="21" customHeight="1" spans="1:11">
      <c r="A19" s="6" t="s">
        <v>142</v>
      </c>
      <c r="B19" s="7"/>
      <c r="C19" s="6" t="str">
        <f t="shared" si="0"/>
        <v>5181241014032026828</v>
      </c>
      <c r="D19" s="6"/>
      <c r="F19" s="41" t="s">
        <v>5456</v>
      </c>
      <c r="G19" s="6"/>
      <c r="H19" s="40"/>
      <c r="I19" s="40"/>
      <c r="J19" s="41"/>
      <c r="K19" s="10" t="s">
        <v>5454</v>
      </c>
    </row>
    <row r="20" ht="21" customHeight="1" spans="1:11">
      <c r="A20" s="6" t="s">
        <v>142</v>
      </c>
      <c r="B20" s="7"/>
      <c r="C20" s="6" t="str">
        <f t="shared" si="0"/>
        <v>5181250416040393978</v>
      </c>
      <c r="D20" s="6"/>
      <c r="F20" s="6" t="s">
        <v>5457</v>
      </c>
      <c r="G20" s="6"/>
      <c r="H20" s="40" t="s">
        <v>5423</v>
      </c>
      <c r="I20" s="40"/>
      <c r="J20" s="41"/>
    </row>
    <row r="21" ht="21" customHeight="1" spans="1:11">
      <c r="A21" s="6" t="s">
        <v>142</v>
      </c>
      <c r="B21" s="7">
        <v>45817</v>
      </c>
      <c r="C21" s="6" t="str">
        <f>MID(F21,18,19)</f>
        <v>5181230224003206098</v>
      </c>
      <c r="D21" s="6"/>
      <c r="E21" s="6" t="s">
        <v>5458</v>
      </c>
      <c r="F21" s="6" t="s">
        <v>5459</v>
      </c>
      <c r="G21" s="6" t="s">
        <v>290</v>
      </c>
      <c r="H21" s="40" t="s">
        <v>5453</v>
      </c>
      <c r="I21" s="40"/>
      <c r="J21" s="41"/>
    </row>
    <row r="22" ht="21" customHeight="1" spans="1:11">
      <c r="A22" s="6" t="s">
        <v>142</v>
      </c>
      <c r="B22" s="7">
        <v>45818</v>
      </c>
      <c r="C22" s="43" t="s">
        <v>5460</v>
      </c>
      <c r="D22" s="44"/>
      <c r="E22" s="6" t="s">
        <v>5458</v>
      </c>
      <c r="F22" s="6" t="s">
        <v>5461</v>
      </c>
      <c r="G22" s="6" t="s">
        <v>290</v>
      </c>
      <c r="H22" s="40" t="s">
        <v>5423</v>
      </c>
      <c r="I22" s="40"/>
      <c r="J22" s="41"/>
      <c r="K22" s="10" t="s">
        <v>5462</v>
      </c>
    </row>
    <row r="23" ht="21" customHeight="1" spans="1:11">
      <c r="A23" s="6"/>
      <c r="B23" s="7"/>
      <c r="C23" s="6" t="str">
        <f>MID(F23,7,19)</f>
        <v>2025-06-11】51812405</v>
      </c>
      <c r="D23" s="6"/>
      <c r="F23" s="6" t="s">
        <v>5463</v>
      </c>
      <c r="G23" s="6"/>
      <c r="H23" s="40"/>
      <c r="I23" s="40"/>
      <c r="J23" s="41"/>
    </row>
    <row r="24" ht="21" customHeight="1" spans="1:11">
      <c r="A24" s="6" t="s">
        <v>207</v>
      </c>
      <c r="B24" s="7">
        <v>45884</v>
      </c>
      <c r="C24" s="6" t="str">
        <f>MID(F24,7,19)</f>
        <v>5181250325039427188</v>
      </c>
      <c r="D24" s="6" t="s">
        <v>5464</v>
      </c>
      <c r="E24" s="6" t="s">
        <v>11</v>
      </c>
      <c r="F24" s="6" t="s">
        <v>5465</v>
      </c>
      <c r="G24" s="6" t="s">
        <v>3433</v>
      </c>
      <c r="H24" s="40" t="s">
        <v>5466</v>
      </c>
      <c r="I24" s="40"/>
      <c r="J24" s="41" t="s">
        <v>5467</v>
      </c>
    </row>
    <row r="25" ht="21" customHeight="1" spans="1:11">
      <c r="A25" s="6"/>
      <c r="B25" s="7"/>
      <c r="C25" s="6" t="str">
        <f>MID(F25,7,19)</f>
        <v/>
      </c>
      <c r="D25" s="6"/>
      <c r="F25" s="6"/>
      <c r="G25" s="6"/>
      <c r="H25" s="40"/>
      <c r="I25" s="40"/>
      <c r="J25" s="41"/>
    </row>
    <row r="26" ht="21" customHeight="1" spans="1:11">
      <c r="A26" s="6"/>
      <c r="B26" s="7"/>
      <c r="C26" s="6" t="str">
        <f>MID(F26,7,19)</f>
        <v/>
      </c>
      <c r="D26" s="6"/>
      <c r="F26" s="6"/>
      <c r="G26" s="6"/>
      <c r="H26" s="40"/>
      <c r="I26" s="40"/>
      <c r="J26" s="41"/>
    </row>
    <row r="27" ht="21" customHeight="1" spans="1:11">
      <c r="A27" s="6"/>
      <c r="B27" s="7"/>
      <c r="C27" s="6"/>
      <c r="D27" s="6"/>
      <c r="F27" s="6"/>
      <c r="G27" s="6"/>
      <c r="H27" s="40"/>
      <c r="I27" s="40"/>
      <c r="J27" s="41"/>
    </row>
    <row r="28" ht="21" customHeight="1" spans="1:11">
      <c r="A28" s="6"/>
      <c r="B28" s="7"/>
      <c r="C28" s="6"/>
      <c r="D28" s="6"/>
      <c r="F28" s="6"/>
      <c r="G28" s="6"/>
      <c r="H28" s="40"/>
      <c r="I28" s="40"/>
      <c r="J28" s="41"/>
    </row>
    <row r="29" ht="21" customHeight="1" spans="1:11">
      <c r="A29" s="6"/>
      <c r="B29" s="7"/>
      <c r="C29" s="6"/>
      <c r="D29" s="6"/>
      <c r="F29" s="6"/>
      <c r="G29" s="6"/>
      <c r="H29" s="40"/>
      <c r="I29" s="40"/>
      <c r="J29" s="41"/>
    </row>
    <row r="30" ht="21" customHeight="1" spans="1:11">
      <c r="A30" s="6"/>
      <c r="B30" s="7"/>
      <c r="C30" s="6"/>
      <c r="D30" s="6"/>
      <c r="F30" s="6"/>
      <c r="G30" s="6"/>
      <c r="H30" s="40"/>
      <c r="I30" s="40"/>
      <c r="J30" s="41"/>
    </row>
    <row r="31" ht="21" customHeight="1" spans="1:11">
      <c r="A31" s="6"/>
      <c r="B31" s="7"/>
      <c r="C31" s="6"/>
      <c r="D31" s="6"/>
      <c r="F31" s="6"/>
      <c r="G31" s="6"/>
      <c r="H31" s="40"/>
      <c r="I31" s="40"/>
      <c r="J31" s="41"/>
    </row>
    <row r="32" ht="21" customHeight="1" spans="1:11">
      <c r="A32" s="6"/>
      <c r="B32" s="7"/>
      <c r="C32" s="6"/>
      <c r="D32" s="6"/>
      <c r="F32" s="6"/>
      <c r="G32" s="6"/>
      <c r="H32" s="40"/>
      <c r="I32" s="40"/>
      <c r="J32" s="41"/>
    </row>
    <row r="33" ht="21" customHeight="1" spans="1:10">
      <c r="A33" s="6"/>
      <c r="B33" s="7"/>
      <c r="C33" s="6"/>
      <c r="D33" s="6"/>
      <c r="F33" s="6"/>
      <c r="G33" s="6"/>
      <c r="H33" s="40"/>
      <c r="I33" s="40"/>
      <c r="J33" s="41"/>
    </row>
    <row r="34" ht="21" customHeight="1" spans="1:10">
      <c r="A34" s="6"/>
      <c r="B34" s="7"/>
      <c r="C34" s="6"/>
      <c r="D34" s="6"/>
      <c r="F34" s="6"/>
      <c r="G34" s="6"/>
      <c r="H34" s="40"/>
      <c r="I34" s="40"/>
      <c r="J34" s="41"/>
    </row>
    <row r="35" ht="21" customHeight="1" spans="1:10">
      <c r="A35" s="6"/>
      <c r="B35" s="7"/>
      <c r="C35" s="6"/>
      <c r="D35" s="6"/>
      <c r="F35" s="6"/>
      <c r="G35" s="6"/>
      <c r="H35" s="40"/>
      <c r="I35" s="40"/>
      <c r="J35" s="41"/>
    </row>
    <row r="36" ht="21" customHeight="1" spans="1:10">
      <c r="A36" s="6"/>
      <c r="B36" s="7"/>
      <c r="C36" s="6"/>
      <c r="D36" s="6"/>
      <c r="F36" s="6"/>
      <c r="G36" s="6"/>
      <c r="H36" s="40"/>
      <c r="I36" s="40"/>
      <c r="J36" s="41"/>
    </row>
    <row r="37" ht="21" customHeight="1" spans="1:10">
      <c r="A37" s="6"/>
      <c r="B37" s="7"/>
      <c r="C37" s="6"/>
      <c r="D37" s="6"/>
      <c r="F37" s="6"/>
      <c r="G37" s="6"/>
      <c r="H37" s="40"/>
      <c r="I37" s="40"/>
      <c r="J37" s="41"/>
    </row>
    <row r="38" ht="21" customHeight="1" spans="1:10">
      <c r="A38" s="6"/>
      <c r="B38" s="7"/>
      <c r="C38" s="6"/>
      <c r="D38" s="6"/>
      <c r="F38" s="6"/>
      <c r="G38" s="6"/>
      <c r="H38" s="40"/>
      <c r="I38" s="40"/>
      <c r="J38" s="41"/>
    </row>
    <row r="39" ht="21" customHeight="1" spans="1:10">
      <c r="A39" s="6"/>
      <c r="B39" s="7"/>
      <c r="C39" s="6"/>
      <c r="D39" s="6"/>
      <c r="F39" s="6"/>
      <c r="G39" s="6"/>
      <c r="H39" s="40"/>
      <c r="I39" s="40"/>
      <c r="J39" s="41"/>
    </row>
    <row r="40" ht="21" customHeight="1" spans="1:10">
      <c r="A40" s="6"/>
      <c r="B40" s="7"/>
      <c r="C40" s="6"/>
      <c r="D40" s="6"/>
      <c r="F40" s="6"/>
      <c r="G40" s="6"/>
      <c r="H40" s="40"/>
      <c r="I40" s="40"/>
      <c r="J40" s="41"/>
    </row>
    <row r="41" ht="21" customHeight="1" spans="1:10">
      <c r="A41" s="6"/>
      <c r="B41" s="7"/>
      <c r="C41" s="6"/>
      <c r="D41" s="6"/>
      <c r="F41" s="6"/>
      <c r="G41" s="6"/>
      <c r="H41" s="40"/>
      <c r="I41" s="40"/>
      <c r="J41" s="41"/>
    </row>
    <row r="42" ht="21" customHeight="1" spans="1:10">
      <c r="A42" s="6"/>
      <c r="B42" s="7"/>
      <c r="C42" s="6"/>
      <c r="D42" s="6"/>
      <c r="F42" s="6"/>
      <c r="G42" s="6"/>
      <c r="H42" s="40"/>
      <c r="I42" s="40"/>
      <c r="J42" s="41"/>
    </row>
    <row r="43" ht="21" customHeight="1" spans="1:10">
      <c r="A43" s="6"/>
      <c r="B43" s="7"/>
      <c r="C43" s="6"/>
      <c r="D43" s="6"/>
      <c r="F43" s="6"/>
      <c r="G43" s="6"/>
      <c r="H43" s="40"/>
      <c r="I43" s="40"/>
      <c r="J43" s="41"/>
    </row>
    <row r="44" ht="21" customHeight="1" spans="1:10">
      <c r="A44" s="6"/>
      <c r="B44" s="7"/>
      <c r="C44" s="6"/>
      <c r="D44" s="6"/>
      <c r="F44" s="6"/>
      <c r="G44" s="6"/>
      <c r="H44" s="40"/>
      <c r="I44" s="40"/>
      <c r="J44" s="41"/>
    </row>
    <row r="45" ht="21" customHeight="1" spans="1:10">
      <c r="A45" s="6"/>
      <c r="B45" s="7"/>
      <c r="C45" s="6"/>
      <c r="D45" s="6"/>
      <c r="F45" s="6"/>
      <c r="G45" s="6"/>
      <c r="H45" s="40"/>
      <c r="I45" s="40"/>
      <c r="J45" s="41"/>
    </row>
    <row r="46" ht="21" customHeight="1" spans="1:10">
      <c r="A46" s="6"/>
      <c r="B46" s="7"/>
      <c r="C46" s="6"/>
      <c r="D46" s="6"/>
      <c r="F46" s="6"/>
      <c r="G46" s="6"/>
      <c r="H46" s="40"/>
      <c r="I46" s="40"/>
      <c r="J46" s="41"/>
    </row>
    <row r="47" ht="21" customHeight="1" spans="1:10">
      <c r="A47" s="6"/>
      <c r="B47" s="7"/>
      <c r="C47" s="6"/>
      <c r="D47" s="6"/>
      <c r="F47" s="6"/>
      <c r="G47" s="6"/>
      <c r="H47" s="40"/>
      <c r="I47" s="40"/>
      <c r="J47" s="41"/>
    </row>
    <row r="48" ht="21" customHeight="1" spans="1:10">
      <c r="A48" s="6"/>
      <c r="B48" s="7"/>
      <c r="C48" s="6"/>
      <c r="D48" s="6"/>
      <c r="F48" s="6"/>
      <c r="G48" s="6"/>
      <c r="H48" s="40"/>
      <c r="I48" s="40"/>
      <c r="J48" s="41"/>
    </row>
    <row r="49" ht="21" customHeight="1" spans="1:10">
      <c r="A49" s="6"/>
      <c r="B49" s="7"/>
      <c r="C49" s="6"/>
      <c r="D49" s="6"/>
      <c r="F49" s="6"/>
      <c r="G49" s="6"/>
      <c r="H49" s="40"/>
      <c r="I49" s="40"/>
      <c r="J49" s="41"/>
    </row>
    <row r="50" ht="21" customHeight="1" spans="1:10">
      <c r="A50" s="6"/>
      <c r="B50" s="7"/>
      <c r="C50" s="6"/>
      <c r="D50" s="6"/>
      <c r="F50" s="6"/>
      <c r="G50" s="6"/>
      <c r="H50" s="40"/>
      <c r="I50" s="40"/>
      <c r="J50" s="41"/>
    </row>
    <row r="51" ht="21" customHeight="1" spans="1:10">
      <c r="A51" s="6"/>
      <c r="B51" s="7"/>
      <c r="C51" s="6"/>
      <c r="D51" s="6"/>
      <c r="F51" s="6"/>
      <c r="G51" s="6"/>
      <c r="H51" s="40"/>
      <c r="I51" s="40"/>
      <c r="J51" s="41"/>
    </row>
    <row r="52" ht="21" customHeight="1" spans="1:10">
      <c r="A52" s="6"/>
      <c r="B52" s="7"/>
      <c r="C52" s="6"/>
      <c r="D52" s="6"/>
      <c r="F52" s="6"/>
      <c r="G52" s="6"/>
      <c r="H52" s="40"/>
      <c r="I52" s="40"/>
      <c r="J52" s="41"/>
    </row>
    <row r="53" ht="21" customHeight="1" spans="1:10">
      <c r="A53" s="6"/>
      <c r="B53" s="7"/>
      <c r="C53" s="6"/>
      <c r="D53" s="6"/>
      <c r="F53" s="6"/>
      <c r="G53" s="6"/>
      <c r="H53" s="40"/>
      <c r="I53" s="40"/>
      <c r="J53" s="41"/>
    </row>
    <row r="54" ht="21" customHeight="1" spans="1:10">
      <c r="A54" s="6"/>
      <c r="B54" s="7"/>
      <c r="C54" s="6"/>
      <c r="D54" s="6"/>
      <c r="F54" s="6"/>
      <c r="G54" s="6"/>
      <c r="H54" s="40"/>
      <c r="I54" s="40"/>
      <c r="J54" s="41"/>
    </row>
    <row r="55" ht="21" customHeight="1" spans="1:10">
      <c r="A55" s="6"/>
      <c r="B55" s="7"/>
      <c r="C55" s="6"/>
      <c r="D55" s="6"/>
      <c r="F55" s="6"/>
      <c r="G55" s="6"/>
      <c r="H55" s="40"/>
      <c r="I55" s="40"/>
      <c r="J55" s="41"/>
    </row>
    <row r="56" ht="21" customHeight="1" spans="1:10">
      <c r="A56" s="6"/>
      <c r="B56" s="7"/>
      <c r="C56" s="6"/>
      <c r="D56" s="6"/>
      <c r="F56" s="6"/>
      <c r="G56" s="6"/>
      <c r="H56" s="40"/>
      <c r="I56" s="40"/>
      <c r="J56" s="41"/>
    </row>
    <row r="57" ht="21" customHeight="1" spans="1:10">
      <c r="A57" s="6"/>
      <c r="B57" s="7"/>
      <c r="C57" s="6"/>
      <c r="D57" s="6"/>
      <c r="F57" s="6"/>
      <c r="G57" s="6"/>
      <c r="H57" s="40"/>
      <c r="I57" s="40"/>
      <c r="J57" s="41"/>
    </row>
    <row r="58" ht="21" customHeight="1" spans="1:10">
      <c r="A58" s="6"/>
      <c r="B58" s="7"/>
      <c r="C58" s="6"/>
      <c r="D58" s="6"/>
      <c r="F58" s="6"/>
      <c r="G58" s="6"/>
      <c r="H58" s="40"/>
      <c r="I58" s="40"/>
      <c r="J58" s="41"/>
    </row>
    <row r="59" ht="21" customHeight="1" spans="1:10">
      <c r="A59" s="6"/>
      <c r="B59" s="6"/>
      <c r="C59" s="6"/>
      <c r="D59" s="6"/>
      <c r="F59" s="6"/>
      <c r="G59" s="6"/>
      <c r="H59" s="40"/>
      <c r="I59" s="40"/>
      <c r="J59" s="41"/>
    </row>
    <row r="60" ht="21" customHeight="1" spans="1:10">
      <c r="A60" s="6"/>
      <c r="B60" s="6"/>
      <c r="C60" s="6"/>
      <c r="D60" s="6"/>
      <c r="F60" s="6"/>
      <c r="G60" s="6"/>
      <c r="H60" s="40"/>
      <c r="I60" s="40"/>
      <c r="J60" s="41"/>
    </row>
    <row r="61" ht="21" customHeight="1" spans="1:10">
      <c r="A61" s="6"/>
      <c r="B61" s="6"/>
      <c r="C61" s="6"/>
      <c r="D61" s="6"/>
      <c r="F61" s="6"/>
      <c r="G61" s="6"/>
      <c r="H61" s="40"/>
      <c r="I61" s="40"/>
      <c r="J61" s="41"/>
    </row>
    <row r="62" ht="21" customHeight="1" spans="1:10">
      <c r="A62" s="6"/>
      <c r="B62" s="6"/>
      <c r="C62" s="6"/>
      <c r="D62" s="6"/>
      <c r="F62" s="6"/>
      <c r="G62" s="6"/>
      <c r="H62" s="40"/>
      <c r="I62" s="40"/>
      <c r="J62" s="41"/>
    </row>
    <row r="63" ht="21" customHeight="1" spans="1:10">
      <c r="A63" s="6"/>
      <c r="B63" s="6"/>
      <c r="C63" s="6"/>
      <c r="D63" s="6"/>
      <c r="F63" s="6"/>
      <c r="G63" s="6"/>
      <c r="H63" s="40"/>
      <c r="I63" s="40"/>
      <c r="J63" s="41"/>
    </row>
    <row r="64" ht="21" customHeight="1" spans="1:10">
      <c r="A64" s="6"/>
      <c r="B64" s="6"/>
      <c r="C64" s="6"/>
      <c r="D64" s="6"/>
      <c r="F64" s="6"/>
      <c r="G64" s="6"/>
      <c r="H64" s="40"/>
      <c r="I64" s="40"/>
      <c r="J64" s="41"/>
    </row>
    <row r="65" ht="21" customHeight="1" spans="1:10">
      <c r="A65" s="6"/>
      <c r="B65" s="6"/>
      <c r="C65" s="6"/>
      <c r="D65" s="6"/>
      <c r="F65" s="6"/>
      <c r="G65" s="6"/>
      <c r="H65" s="40"/>
      <c r="I65" s="40"/>
      <c r="J65" s="41"/>
    </row>
    <row r="66" ht="21" customHeight="1" spans="1:10">
      <c r="A66" s="6"/>
      <c r="B66" s="6"/>
      <c r="C66" s="6"/>
      <c r="D66" s="6"/>
      <c r="F66" s="6"/>
      <c r="G66" s="6"/>
      <c r="H66" s="40"/>
      <c r="I66" s="40"/>
      <c r="J66" s="41"/>
    </row>
    <row r="67" ht="21" customHeight="1" spans="1:10">
      <c r="A67" s="6"/>
      <c r="B67" s="6"/>
      <c r="C67" s="6"/>
      <c r="D67" s="6"/>
      <c r="F67" s="6"/>
      <c r="G67" s="6"/>
      <c r="H67" s="40"/>
      <c r="I67" s="40"/>
      <c r="J67" s="41"/>
    </row>
    <row r="68" ht="21" customHeight="1" spans="1:10">
      <c r="A68" s="6"/>
      <c r="B68" s="6"/>
      <c r="C68" s="6"/>
      <c r="D68" s="6"/>
      <c r="F68" s="6"/>
      <c r="G68" s="6"/>
      <c r="H68" s="40"/>
      <c r="I68" s="40"/>
      <c r="J68" s="41"/>
    </row>
    <row r="69" ht="21" customHeight="1" spans="1:10">
      <c r="A69" s="6"/>
      <c r="B69" s="6"/>
      <c r="C69" s="6"/>
      <c r="D69" s="6"/>
      <c r="F69" s="6"/>
      <c r="G69" s="6"/>
      <c r="H69" s="40"/>
      <c r="I69" s="40"/>
      <c r="J69" s="41"/>
    </row>
    <row r="70" ht="21" customHeight="1" spans="1:10">
      <c r="A70" s="6"/>
      <c r="B70" s="6"/>
      <c r="C70" s="6"/>
      <c r="D70" s="6"/>
      <c r="E70" s="11"/>
      <c r="F70" s="6"/>
      <c r="G70" s="6"/>
      <c r="H70" s="40"/>
      <c r="I70" s="40"/>
      <c r="J70" s="41"/>
    </row>
    <row r="71" ht="21" customHeight="1" spans="1:10">
      <c r="A71" s="6"/>
      <c r="B71" s="6"/>
      <c r="C71" s="6"/>
      <c r="D71" s="6"/>
      <c r="E71" s="45"/>
      <c r="F71" s="6"/>
      <c r="G71" s="6"/>
      <c r="H71" s="40"/>
      <c r="I71" s="40"/>
      <c r="J71" s="41"/>
    </row>
    <row r="72" ht="21" customHeight="1" spans="1:10">
      <c r="A72" s="6"/>
      <c r="B72" s="6"/>
      <c r="C72" s="6"/>
      <c r="D72" s="6"/>
      <c r="F72" s="6"/>
      <c r="G72" s="6"/>
      <c r="H72" s="40"/>
      <c r="I72" s="40"/>
      <c r="J72" s="41"/>
    </row>
    <row r="73" ht="21" customHeight="1" spans="1:10">
      <c r="A73" s="6"/>
      <c r="B73" s="6"/>
      <c r="C73" s="6"/>
      <c r="D73" s="6"/>
      <c r="F73" s="6"/>
      <c r="G73" s="6"/>
      <c r="H73" s="40"/>
      <c r="I73" s="40"/>
      <c r="J73" s="41"/>
    </row>
    <row r="74" ht="21" customHeight="1" spans="1:10">
      <c r="A74" s="6"/>
      <c r="B74" s="6"/>
      <c r="C74" s="6"/>
      <c r="D74" s="6"/>
      <c r="F74" s="6"/>
      <c r="G74" s="6"/>
      <c r="H74" s="40"/>
      <c r="I74" s="40"/>
      <c r="J74" s="41"/>
    </row>
    <row r="75" ht="21" customHeight="1" spans="1:10">
      <c r="A75" s="6"/>
      <c r="B75" s="6"/>
      <c r="C75" s="6"/>
      <c r="D75" s="6"/>
      <c r="F75" s="6"/>
      <c r="G75" s="6"/>
      <c r="H75" s="40"/>
      <c r="I75" s="40"/>
      <c r="J75" s="41"/>
    </row>
    <row r="76" ht="21" customHeight="1" spans="1:10">
      <c r="A76" s="6"/>
      <c r="B76" s="6"/>
      <c r="C76" s="6"/>
      <c r="D76" s="6"/>
      <c r="F76" s="6"/>
      <c r="G76" s="6"/>
      <c r="H76" s="40"/>
      <c r="I76" s="40"/>
      <c r="J76" s="41"/>
    </row>
    <row r="77" ht="21" customHeight="1" spans="1:10">
      <c r="A77" s="6"/>
      <c r="B77" s="6"/>
      <c r="C77" s="6"/>
      <c r="D77" s="6"/>
      <c r="F77" s="6"/>
      <c r="G77" s="6"/>
      <c r="H77" s="40"/>
      <c r="I77" s="40"/>
      <c r="J77" s="41"/>
    </row>
    <row r="78" ht="21" customHeight="1" spans="1:10">
      <c r="A78" s="6"/>
      <c r="B78" s="6"/>
      <c r="C78" s="6"/>
      <c r="D78" s="6"/>
      <c r="F78" s="6"/>
      <c r="G78" s="6"/>
      <c r="H78" s="40"/>
      <c r="I78" s="40"/>
      <c r="J78" s="41"/>
    </row>
    <row r="79" ht="21" customHeight="1" spans="1:10">
      <c r="A79" s="6"/>
      <c r="B79" s="6"/>
      <c r="C79" s="6"/>
      <c r="D79" s="6"/>
      <c r="F79" s="6"/>
      <c r="G79" s="6"/>
      <c r="H79" s="40"/>
      <c r="I79" s="40"/>
      <c r="J79" s="41"/>
    </row>
    <row r="80" ht="21" customHeight="1" spans="1:10">
      <c r="A80" s="6"/>
      <c r="B80" s="6"/>
      <c r="C80" s="6"/>
      <c r="D80" s="6"/>
      <c r="F80" s="6"/>
      <c r="G80" s="6"/>
      <c r="H80" s="40"/>
      <c r="I80" s="40"/>
      <c r="J80" s="41"/>
    </row>
    <row r="81" ht="21" customHeight="1" spans="1:10">
      <c r="A81" s="6"/>
      <c r="B81" s="6"/>
      <c r="C81" s="6"/>
      <c r="D81" s="6"/>
      <c r="F81" s="6"/>
      <c r="G81" s="6"/>
      <c r="H81" s="40"/>
      <c r="I81" s="40"/>
      <c r="J81" s="41"/>
    </row>
    <row r="82" ht="21" customHeight="1" spans="1:10">
      <c r="A82" s="6"/>
      <c r="B82" s="6"/>
      <c r="C82" s="6"/>
      <c r="D82" s="6"/>
      <c r="E82" s="11"/>
      <c r="F82" s="6"/>
      <c r="G82" s="6"/>
      <c r="H82" s="40"/>
      <c r="I82" s="40"/>
      <c r="J82" s="41"/>
    </row>
    <row r="83" ht="21" customHeight="1" spans="1:10">
      <c r="A83" s="6"/>
      <c r="B83" s="6"/>
      <c r="C83" s="6"/>
      <c r="D83" s="6"/>
      <c r="E83" s="46"/>
      <c r="F83" s="6"/>
      <c r="G83" s="6"/>
      <c r="H83" s="40"/>
      <c r="I83" s="40"/>
      <c r="J83" s="41"/>
    </row>
    <row r="84" ht="21" customHeight="1" spans="1:10">
      <c r="A84" s="6"/>
      <c r="B84" s="6"/>
      <c r="C84" s="6"/>
      <c r="D84" s="6"/>
      <c r="E84" s="46"/>
      <c r="F84" s="6"/>
      <c r="G84" s="6"/>
      <c r="H84" s="40"/>
      <c r="I84" s="40"/>
      <c r="J84" s="41"/>
    </row>
    <row r="85" ht="21" customHeight="1" spans="1:10">
      <c r="A85" s="6"/>
      <c r="B85" s="6"/>
      <c r="C85" s="6"/>
      <c r="D85" s="6"/>
      <c r="E85" s="46"/>
      <c r="F85" s="6"/>
      <c r="G85" s="6"/>
      <c r="H85" s="40"/>
      <c r="I85" s="40"/>
      <c r="J85" s="41"/>
    </row>
    <row r="86" ht="21" customHeight="1" spans="1:10">
      <c r="A86" s="6"/>
      <c r="B86" s="6"/>
      <c r="C86" s="6"/>
      <c r="D86" s="6"/>
      <c r="E86" s="46"/>
      <c r="F86" s="6"/>
      <c r="G86" s="6"/>
      <c r="H86" s="40"/>
      <c r="I86" s="40"/>
      <c r="J86" s="41"/>
    </row>
    <row r="87" ht="21" customHeight="1" spans="1:10">
      <c r="A87" s="6"/>
      <c r="B87" s="6"/>
      <c r="C87" s="6"/>
      <c r="D87" s="6"/>
      <c r="E87" s="46"/>
      <c r="F87" s="6"/>
      <c r="G87" s="6"/>
      <c r="H87" s="40"/>
      <c r="I87" s="40"/>
      <c r="J87" s="41"/>
    </row>
    <row r="88" ht="21" customHeight="1" spans="1:10">
      <c r="A88" s="6"/>
      <c r="B88" s="6"/>
      <c r="C88" s="6"/>
      <c r="D88" s="6"/>
      <c r="E88" s="45"/>
      <c r="F88" s="6"/>
      <c r="G88" s="6"/>
      <c r="H88" s="40"/>
      <c r="I88" s="40"/>
      <c r="J88" s="41"/>
    </row>
    <row r="89" ht="21" customHeight="1" spans="1:10">
      <c r="A89" s="6"/>
      <c r="B89" s="6"/>
      <c r="C89" s="6"/>
      <c r="D89" s="6"/>
      <c r="F89" s="6"/>
      <c r="G89" s="6"/>
      <c r="H89" s="40"/>
      <c r="I89" s="40"/>
      <c r="J89" s="41"/>
    </row>
    <row r="90" ht="21" customHeight="1" spans="1:10">
      <c r="A90" s="6"/>
      <c r="B90" s="6"/>
      <c r="C90" s="6"/>
      <c r="D90" s="6"/>
      <c r="E90" s="11"/>
      <c r="F90" s="6"/>
      <c r="G90" s="6"/>
      <c r="H90" s="40"/>
      <c r="I90" s="40"/>
      <c r="J90" s="41"/>
    </row>
    <row r="91" ht="21" customHeight="1" spans="1:10">
      <c r="A91" s="6"/>
      <c r="B91" s="6"/>
      <c r="C91" s="6"/>
      <c r="D91" s="6"/>
      <c r="E91" s="45"/>
      <c r="F91" s="6"/>
      <c r="G91" s="6"/>
      <c r="H91" s="40"/>
      <c r="I91" s="40"/>
      <c r="J91" s="41"/>
    </row>
    <row r="92" ht="21" customHeight="1" spans="1:10">
      <c r="A92" s="6"/>
      <c r="B92" s="6"/>
      <c r="C92" s="6"/>
      <c r="D92" s="6"/>
      <c r="F92" s="6"/>
      <c r="G92" s="6"/>
      <c r="H92" s="40"/>
      <c r="I92" s="40"/>
      <c r="J92" s="41"/>
    </row>
    <row r="93" ht="21" customHeight="1" spans="1:10">
      <c r="A93" s="6"/>
      <c r="B93" s="6"/>
      <c r="C93" s="6"/>
      <c r="D93" s="6"/>
      <c r="F93" s="6"/>
      <c r="G93" s="6"/>
      <c r="H93" s="40"/>
      <c r="I93" s="40"/>
      <c r="J93" s="41"/>
    </row>
    <row r="94" ht="21" customHeight="1" spans="1:10">
      <c r="A94" s="6"/>
      <c r="B94" s="6"/>
      <c r="C94" s="6"/>
      <c r="D94" s="6"/>
      <c r="F94" s="6"/>
      <c r="G94" s="6"/>
      <c r="H94" s="40"/>
      <c r="I94" s="40"/>
      <c r="J94" s="41"/>
    </row>
    <row r="95" ht="21" customHeight="1" spans="1:10">
      <c r="A95" s="6"/>
      <c r="B95" s="6"/>
      <c r="C95" s="6"/>
      <c r="D95" s="6"/>
      <c r="E95" s="11"/>
      <c r="F95" s="6"/>
      <c r="G95" s="6"/>
      <c r="H95" s="40"/>
      <c r="I95" s="40"/>
      <c r="J95" s="41"/>
    </row>
    <row r="96" ht="21" customHeight="1" spans="1:10">
      <c r="A96" s="6"/>
      <c r="B96" s="6"/>
      <c r="C96" s="6"/>
      <c r="D96" s="6"/>
      <c r="E96" s="45"/>
      <c r="F96" s="6"/>
      <c r="G96" s="6"/>
      <c r="H96" s="40"/>
      <c r="I96" s="40"/>
      <c r="J96" s="41"/>
    </row>
    <row r="97" ht="21" customHeight="1" spans="1:10">
      <c r="A97" s="6"/>
      <c r="B97" s="6"/>
      <c r="C97" s="6"/>
      <c r="D97" s="6"/>
      <c r="F97" s="6"/>
      <c r="G97" s="6"/>
      <c r="H97" s="40"/>
      <c r="I97" s="40"/>
      <c r="J97" s="41"/>
    </row>
    <row r="98" ht="21" customHeight="1" spans="1:10">
      <c r="A98" s="6"/>
      <c r="B98" s="6"/>
      <c r="C98" s="6"/>
      <c r="D98" s="6"/>
      <c r="F98" s="6"/>
      <c r="G98" s="6"/>
      <c r="H98" s="40"/>
      <c r="I98" s="40"/>
      <c r="J98" s="41"/>
    </row>
    <row r="99" ht="21" customHeight="1" spans="1:10">
      <c r="A99" s="6"/>
      <c r="B99" s="6"/>
      <c r="C99" s="6"/>
      <c r="D99" s="6"/>
      <c r="F99" s="6"/>
      <c r="G99" s="6"/>
      <c r="H99" s="40"/>
      <c r="I99" s="40"/>
      <c r="J99" s="41"/>
    </row>
    <row r="100" ht="21" customHeight="1" spans="1:10">
      <c r="A100" s="6"/>
      <c r="B100" s="6"/>
      <c r="C100" s="6"/>
      <c r="D100" s="6"/>
      <c r="F100" s="6"/>
      <c r="G100" s="6"/>
      <c r="H100" s="40"/>
      <c r="I100" s="40"/>
      <c r="J100" s="41"/>
    </row>
    <row r="101" ht="21" customHeight="1" spans="1:10">
      <c r="A101" s="6"/>
      <c r="B101" s="6"/>
      <c r="C101" s="6"/>
      <c r="D101" s="6"/>
      <c r="F101" s="6"/>
      <c r="G101" s="6"/>
      <c r="H101" s="40"/>
      <c r="I101" s="40"/>
      <c r="J101" s="41"/>
    </row>
    <row r="102" ht="21" customHeight="1" spans="1:10">
      <c r="A102" s="6"/>
      <c r="B102" s="6"/>
      <c r="C102" s="6"/>
      <c r="D102" s="6"/>
      <c r="F102" s="6"/>
      <c r="G102" s="6"/>
      <c r="H102" s="40"/>
      <c r="I102" s="40"/>
      <c r="J102" s="41"/>
    </row>
    <row r="103" ht="21" customHeight="1" spans="1:10">
      <c r="A103" s="6"/>
      <c r="B103" s="6"/>
      <c r="C103" s="6"/>
      <c r="D103" s="6"/>
      <c r="F103" s="6"/>
      <c r="G103" s="6"/>
      <c r="H103" s="40"/>
      <c r="I103" s="40"/>
      <c r="J103" s="41"/>
    </row>
    <row r="104" ht="21" customHeight="1" spans="1:10">
      <c r="A104" s="6"/>
      <c r="B104" s="6"/>
      <c r="C104" s="6"/>
      <c r="D104" s="6"/>
      <c r="F104" s="6"/>
      <c r="G104" s="6"/>
      <c r="H104" s="40"/>
      <c r="I104" s="40"/>
      <c r="J104" s="41"/>
    </row>
    <row r="105" ht="21" customHeight="1" spans="1:10">
      <c r="A105" s="6"/>
      <c r="B105" s="6"/>
      <c r="C105" s="6"/>
      <c r="D105" s="6"/>
      <c r="F105" s="6"/>
      <c r="G105" s="6"/>
      <c r="H105" s="40"/>
      <c r="I105" s="40"/>
      <c r="J105" s="41"/>
    </row>
    <row r="106" ht="21" customHeight="1" spans="1:10">
      <c r="A106" s="6"/>
      <c r="B106" s="6"/>
      <c r="C106" s="6"/>
      <c r="D106" s="6"/>
      <c r="F106" s="6"/>
      <c r="G106" s="6"/>
      <c r="H106" s="40"/>
      <c r="I106" s="40"/>
      <c r="J106" s="41"/>
    </row>
    <row r="107" ht="21" customHeight="1" spans="1:10">
      <c r="A107" s="6"/>
      <c r="B107" s="6"/>
      <c r="C107" s="6"/>
      <c r="D107" s="6"/>
      <c r="F107" s="6"/>
      <c r="G107" s="6"/>
      <c r="H107" s="40"/>
      <c r="I107" s="40"/>
      <c r="J107" s="41"/>
    </row>
    <row r="108" ht="21" customHeight="1" spans="1:10">
      <c r="A108" s="6"/>
      <c r="B108" s="6"/>
      <c r="C108" s="6"/>
      <c r="D108" s="6"/>
      <c r="F108" s="6"/>
      <c r="G108" s="6"/>
      <c r="H108" s="40"/>
      <c r="I108" s="40"/>
      <c r="J108" s="41"/>
    </row>
    <row r="109" ht="21" customHeight="1" spans="1:10">
      <c r="A109" s="6"/>
      <c r="B109" s="6"/>
      <c r="C109" s="6"/>
      <c r="D109" s="6"/>
      <c r="F109" s="6"/>
      <c r="G109" s="6"/>
      <c r="H109" s="40"/>
      <c r="I109" s="40"/>
      <c r="J109" s="41"/>
    </row>
    <row r="110" ht="21" customHeight="1" spans="1:10">
      <c r="A110" s="6"/>
      <c r="B110" s="6"/>
      <c r="C110" s="6"/>
      <c r="D110" s="6"/>
      <c r="F110" s="6"/>
      <c r="G110" s="6"/>
      <c r="H110" s="40"/>
      <c r="I110" s="40"/>
      <c r="J110" s="41"/>
    </row>
    <row r="111" ht="21" customHeight="1" spans="1:10">
      <c r="A111" s="6"/>
      <c r="B111" s="6"/>
      <c r="C111" s="6"/>
      <c r="D111" s="6"/>
      <c r="F111" s="6"/>
      <c r="G111" s="6"/>
      <c r="H111" s="40"/>
      <c r="I111" s="40"/>
      <c r="J111" s="41"/>
    </row>
    <row r="112" ht="21" customHeight="1" spans="1:10">
      <c r="A112" s="6"/>
      <c r="B112" s="6"/>
      <c r="C112" s="6"/>
      <c r="D112" s="6"/>
      <c r="F112" s="6"/>
      <c r="G112" s="6"/>
      <c r="H112" s="40"/>
      <c r="I112" s="40"/>
      <c r="J112" s="41"/>
    </row>
    <row r="113" ht="21" customHeight="1" spans="1:10">
      <c r="A113" s="6"/>
      <c r="B113" s="6"/>
      <c r="C113" s="6"/>
      <c r="D113" s="6"/>
      <c r="F113" s="6"/>
      <c r="G113" s="6"/>
      <c r="H113" s="40"/>
      <c r="I113" s="40"/>
      <c r="J113" s="41"/>
    </row>
    <row r="114" ht="21" customHeight="1" spans="1:10">
      <c r="A114" s="6"/>
      <c r="B114" s="6"/>
      <c r="C114" s="6"/>
      <c r="D114" s="6"/>
      <c r="F114" s="6"/>
      <c r="G114" s="6"/>
      <c r="H114" s="40"/>
      <c r="I114" s="40"/>
      <c r="J114" s="41"/>
    </row>
    <row r="115" ht="21" customHeight="1" spans="1:10">
      <c r="A115" s="6"/>
      <c r="B115" s="6"/>
      <c r="C115" s="6"/>
      <c r="D115" s="6"/>
      <c r="F115" s="6"/>
      <c r="G115" s="6"/>
      <c r="H115" s="40"/>
      <c r="I115" s="40"/>
      <c r="J115" s="41"/>
    </row>
    <row r="116" ht="21" customHeight="1" spans="1:10">
      <c r="A116" s="6"/>
      <c r="B116" s="6"/>
      <c r="C116" s="6"/>
      <c r="D116" s="6"/>
      <c r="F116" s="6"/>
      <c r="G116" s="6"/>
      <c r="H116" s="40"/>
      <c r="I116" s="40"/>
      <c r="J116" s="41"/>
    </row>
    <row r="117" ht="21" customHeight="1" spans="1:10">
      <c r="A117" s="6"/>
      <c r="B117" s="6"/>
      <c r="C117" s="6"/>
      <c r="D117" s="6"/>
      <c r="F117" s="6"/>
      <c r="G117" s="6"/>
      <c r="H117" s="40"/>
      <c r="I117" s="40"/>
      <c r="J117" s="41"/>
    </row>
    <row r="118" ht="21" customHeight="1" spans="1:10">
      <c r="A118" s="6"/>
      <c r="B118" s="6"/>
      <c r="C118" s="6"/>
      <c r="D118" s="6"/>
      <c r="F118" s="6"/>
      <c r="G118" s="6"/>
      <c r="H118" s="40"/>
      <c r="I118" s="40"/>
      <c r="J118" s="41"/>
    </row>
    <row r="119" ht="21" customHeight="1" spans="1:10">
      <c r="A119" s="6"/>
      <c r="B119" s="6"/>
      <c r="C119" s="6"/>
      <c r="D119" s="6"/>
      <c r="F119" s="6"/>
      <c r="G119" s="6"/>
      <c r="H119" s="40"/>
      <c r="I119" s="40"/>
      <c r="J119" s="41"/>
    </row>
    <row r="120" ht="21" customHeight="1" spans="1:10">
      <c r="A120" s="6"/>
      <c r="B120" s="6"/>
      <c r="C120" s="6"/>
      <c r="D120" s="6"/>
      <c r="F120" s="6"/>
      <c r="G120" s="6"/>
      <c r="H120" s="40"/>
      <c r="I120" s="40"/>
      <c r="J120" s="41"/>
    </row>
    <row r="121" ht="21" customHeight="1" spans="1:10">
      <c r="A121" s="6"/>
      <c r="B121" s="6"/>
      <c r="C121" s="6"/>
      <c r="D121" s="6"/>
      <c r="F121" s="6"/>
      <c r="G121" s="6"/>
      <c r="H121" s="40"/>
      <c r="I121" s="40"/>
      <c r="J121" s="41"/>
    </row>
    <row r="122" ht="21" customHeight="1" spans="1:10">
      <c r="A122" s="6"/>
      <c r="B122" s="6"/>
      <c r="C122" s="6"/>
      <c r="D122" s="6"/>
      <c r="F122" s="6"/>
      <c r="G122" s="6"/>
      <c r="H122" s="40"/>
      <c r="I122" s="40"/>
      <c r="J122" s="41"/>
    </row>
    <row r="123" ht="21" customHeight="1" spans="1:10">
      <c r="A123" s="6"/>
      <c r="B123" s="6"/>
      <c r="C123" s="6"/>
      <c r="D123" s="6"/>
      <c r="F123" s="6"/>
      <c r="G123" s="6"/>
      <c r="H123" s="40"/>
      <c r="I123" s="40"/>
      <c r="J123" s="41"/>
    </row>
    <row r="124" ht="21" customHeight="1" spans="1:10">
      <c r="A124" s="6"/>
      <c r="B124" s="6"/>
      <c r="C124" s="6"/>
      <c r="D124" s="6"/>
      <c r="F124" s="6"/>
      <c r="G124" s="6"/>
      <c r="H124" s="40"/>
      <c r="I124" s="40"/>
      <c r="J124" s="41"/>
    </row>
    <row r="125" ht="21" customHeight="1" spans="1:10">
      <c r="A125" s="6"/>
      <c r="B125" s="6"/>
      <c r="C125" s="6"/>
      <c r="D125" s="6"/>
      <c r="F125" s="6"/>
      <c r="G125" s="6"/>
      <c r="H125" s="40"/>
      <c r="I125" s="40"/>
      <c r="J125" s="41"/>
    </row>
    <row r="126" ht="21" customHeight="1" spans="1:10">
      <c r="A126" s="6"/>
      <c r="B126" s="6"/>
      <c r="C126" s="6"/>
      <c r="D126" s="6"/>
      <c r="F126" s="6"/>
      <c r="G126" s="6"/>
      <c r="H126" s="40"/>
      <c r="I126" s="40"/>
      <c r="J126" s="41"/>
    </row>
    <row r="127" ht="21" customHeight="1" spans="1:10">
      <c r="A127" s="6"/>
      <c r="B127" s="6"/>
      <c r="C127" s="6"/>
      <c r="D127" s="6"/>
      <c r="F127" s="6"/>
      <c r="G127" s="6"/>
      <c r="H127" s="40"/>
      <c r="I127" s="40"/>
      <c r="J127" s="41"/>
    </row>
    <row r="128" ht="21" customHeight="1" spans="1:10">
      <c r="A128" s="6"/>
      <c r="B128" s="6"/>
      <c r="C128" s="6"/>
      <c r="D128" s="6"/>
      <c r="F128" s="6"/>
      <c r="G128" s="6"/>
      <c r="H128" s="40"/>
      <c r="I128" s="40"/>
      <c r="J128" s="41"/>
    </row>
    <row r="129" ht="21" customHeight="1" spans="1:10">
      <c r="A129" s="6"/>
      <c r="B129" s="6"/>
      <c r="C129" s="6"/>
      <c r="D129" s="6"/>
      <c r="F129" s="6"/>
      <c r="G129" s="6"/>
      <c r="H129" s="40"/>
      <c r="I129" s="40"/>
      <c r="J129" s="41"/>
    </row>
    <row r="130" ht="21" customHeight="1" spans="1:10">
      <c r="A130" s="6"/>
      <c r="B130" s="6"/>
      <c r="C130" s="6"/>
      <c r="D130" s="6"/>
      <c r="F130" s="6"/>
      <c r="G130" s="6"/>
      <c r="H130" s="40"/>
      <c r="I130" s="40"/>
      <c r="J130" s="41"/>
    </row>
    <row r="131" ht="21" customHeight="1" spans="1:10">
      <c r="A131" s="6"/>
      <c r="B131" s="6"/>
      <c r="C131" s="6"/>
      <c r="D131" s="6"/>
      <c r="F131" s="6"/>
      <c r="G131" s="6"/>
      <c r="H131" s="40"/>
      <c r="I131" s="40"/>
      <c r="J131" s="41"/>
    </row>
    <row r="132" ht="21" customHeight="1" spans="1:10">
      <c r="A132" s="6"/>
      <c r="B132" s="6"/>
      <c r="C132" s="6"/>
      <c r="D132" s="6"/>
      <c r="F132" s="6"/>
      <c r="G132" s="6"/>
      <c r="H132" s="40"/>
      <c r="I132" s="40"/>
      <c r="J132" s="41"/>
    </row>
    <row r="133" ht="21" customHeight="1" spans="1:10">
      <c r="A133" s="6"/>
      <c r="B133" s="6"/>
      <c r="C133" s="6"/>
      <c r="D133" s="6"/>
      <c r="F133" s="6"/>
      <c r="G133" s="6"/>
      <c r="H133" s="40"/>
      <c r="I133" s="40"/>
      <c r="J133" s="41"/>
    </row>
    <row r="134" ht="21" customHeight="1" spans="1:10">
      <c r="A134" s="6"/>
      <c r="B134" s="6"/>
      <c r="C134" s="6"/>
      <c r="D134" s="6"/>
      <c r="F134" s="6"/>
      <c r="G134" s="6"/>
      <c r="H134" s="40"/>
      <c r="I134" s="40"/>
      <c r="J134" s="41"/>
    </row>
    <row r="135" ht="21" customHeight="1" spans="1:10">
      <c r="A135" s="6"/>
      <c r="B135" s="6"/>
      <c r="C135" s="6"/>
      <c r="D135" s="6"/>
      <c r="F135" s="6"/>
      <c r="G135" s="6"/>
      <c r="H135" s="40"/>
      <c r="I135" s="40"/>
      <c r="J135" s="41"/>
    </row>
    <row r="136" ht="21" customHeight="1" spans="1:10">
      <c r="A136" s="6"/>
      <c r="B136" s="6"/>
      <c r="C136" s="6"/>
      <c r="D136" s="6"/>
      <c r="F136" s="6"/>
      <c r="G136" s="6"/>
      <c r="H136" s="40"/>
      <c r="I136" s="40"/>
      <c r="J136" s="41"/>
    </row>
    <row r="137" ht="21" customHeight="1" spans="1:10">
      <c r="A137" s="6"/>
      <c r="B137" s="6"/>
      <c r="C137" s="6"/>
      <c r="D137" s="6"/>
      <c r="F137" s="6"/>
      <c r="G137" s="6"/>
      <c r="H137" s="40"/>
      <c r="I137" s="40"/>
      <c r="J137" s="41"/>
    </row>
    <row r="138" ht="21" customHeight="1" spans="1:10">
      <c r="A138" s="6"/>
      <c r="B138" s="6"/>
      <c r="C138" s="6"/>
      <c r="D138" s="6"/>
      <c r="F138" s="6"/>
      <c r="G138" s="6"/>
      <c r="H138" s="40"/>
      <c r="I138" s="40"/>
      <c r="J138" s="41"/>
    </row>
    <row r="139" ht="21" customHeight="1" spans="1:10">
      <c r="A139" s="6"/>
      <c r="B139" s="6"/>
      <c r="C139" s="6"/>
      <c r="D139" s="6"/>
      <c r="F139" s="6"/>
      <c r="G139" s="6"/>
      <c r="H139" s="40"/>
      <c r="I139" s="40"/>
      <c r="J139" s="41"/>
    </row>
    <row r="140" ht="21" customHeight="1" spans="1:10">
      <c r="A140" s="6"/>
      <c r="B140" s="6"/>
      <c r="C140" s="6"/>
      <c r="D140" s="6"/>
      <c r="F140" s="6"/>
      <c r="G140" s="6"/>
      <c r="H140" s="40"/>
      <c r="I140" s="40"/>
      <c r="J140" s="41"/>
    </row>
    <row r="141" ht="21" customHeight="1" spans="1:10">
      <c r="A141" s="6"/>
      <c r="B141" s="6"/>
      <c r="C141" s="6"/>
      <c r="D141" s="6"/>
      <c r="F141" s="6"/>
      <c r="G141" s="6"/>
      <c r="H141" s="40"/>
      <c r="I141" s="40"/>
      <c r="J141" s="41"/>
    </row>
    <row r="142" ht="21" customHeight="1" spans="1:10">
      <c r="A142" s="6"/>
      <c r="B142" s="6"/>
      <c r="C142" s="6"/>
      <c r="D142" s="6"/>
      <c r="F142" s="6"/>
      <c r="G142" s="6"/>
      <c r="H142" s="40"/>
      <c r="I142" s="40"/>
      <c r="J142" s="41"/>
    </row>
    <row r="143" ht="21" customHeight="1" spans="1:10">
      <c r="A143" s="6"/>
      <c r="B143" s="6"/>
      <c r="C143" s="6"/>
      <c r="D143" s="6"/>
      <c r="F143" s="6"/>
      <c r="G143" s="6"/>
      <c r="H143" s="40"/>
      <c r="I143" s="40"/>
      <c r="J143" s="41"/>
    </row>
    <row r="144" ht="21" customHeight="1" spans="1:10">
      <c r="A144" s="6"/>
      <c r="B144" s="6"/>
      <c r="C144" s="6"/>
      <c r="D144" s="6"/>
      <c r="F144" s="6"/>
      <c r="G144" s="6"/>
      <c r="H144" s="40"/>
      <c r="I144" s="40"/>
      <c r="J144" s="41"/>
    </row>
    <row r="145" ht="21" customHeight="1" spans="1:10">
      <c r="A145" s="6"/>
      <c r="B145" s="6"/>
      <c r="C145" s="6"/>
      <c r="D145" s="6"/>
      <c r="F145" s="6"/>
      <c r="G145" s="6"/>
      <c r="H145" s="40"/>
      <c r="I145" s="40"/>
      <c r="J145" s="41"/>
    </row>
    <row r="146" ht="21" customHeight="1" spans="1:10">
      <c r="A146" s="6"/>
      <c r="B146" s="6"/>
      <c r="C146" s="6"/>
      <c r="D146" s="6"/>
      <c r="F146" s="6"/>
      <c r="G146" s="6"/>
      <c r="H146" s="40"/>
      <c r="I146" s="40"/>
      <c r="J146" s="41"/>
    </row>
    <row r="147" ht="21" customHeight="1" spans="1:10">
      <c r="A147" s="6"/>
      <c r="B147" s="6"/>
      <c r="C147" s="6"/>
      <c r="D147" s="6"/>
      <c r="F147" s="6"/>
      <c r="G147" s="6"/>
      <c r="H147" s="40"/>
      <c r="I147" s="40"/>
      <c r="J147" s="41"/>
    </row>
    <row r="148" ht="21" customHeight="1" spans="1:10">
      <c r="A148" s="6"/>
      <c r="B148" s="6"/>
      <c r="C148" s="6"/>
      <c r="D148" s="6"/>
      <c r="F148" s="6"/>
      <c r="G148" s="6"/>
      <c r="H148" s="40"/>
      <c r="I148" s="40"/>
      <c r="J148" s="41"/>
    </row>
    <row r="149" ht="21" customHeight="1" spans="1:10">
      <c r="A149" s="6"/>
      <c r="B149" s="6"/>
      <c r="C149" s="6"/>
      <c r="D149" s="6"/>
      <c r="F149" s="6"/>
      <c r="G149" s="6"/>
      <c r="H149" s="40"/>
      <c r="I149" s="40"/>
      <c r="J149" s="41"/>
    </row>
    <row r="150" ht="21" customHeight="1" spans="1:10">
      <c r="A150" s="6"/>
      <c r="B150" s="6"/>
      <c r="C150" s="6"/>
      <c r="D150" s="6"/>
      <c r="F150" s="6"/>
      <c r="G150" s="6"/>
      <c r="H150" s="40"/>
      <c r="I150" s="40"/>
      <c r="J150" s="41"/>
    </row>
    <row r="151" ht="21" customHeight="1" spans="1:10">
      <c r="A151" s="6"/>
      <c r="B151" s="6"/>
      <c r="C151" s="6"/>
      <c r="D151" s="6"/>
      <c r="F151" s="6"/>
      <c r="G151" s="6"/>
      <c r="H151" s="40"/>
      <c r="I151" s="40"/>
      <c r="J151" s="41"/>
    </row>
    <row r="152" ht="21" customHeight="1" spans="1:10">
      <c r="A152" s="6"/>
      <c r="B152" s="6"/>
      <c r="C152" s="6"/>
      <c r="D152" s="6"/>
      <c r="F152" s="6"/>
      <c r="G152" s="6"/>
      <c r="H152" s="40"/>
      <c r="I152" s="40"/>
      <c r="J152" s="41"/>
    </row>
    <row r="153" ht="21" customHeight="1" spans="1:10">
      <c r="A153" s="6"/>
      <c r="B153" s="6"/>
      <c r="C153" s="6"/>
      <c r="D153" s="6"/>
      <c r="F153" s="6"/>
      <c r="G153" s="6"/>
      <c r="H153" s="40"/>
      <c r="I153" s="40"/>
      <c r="J153" s="41"/>
    </row>
    <row r="154" ht="21" customHeight="1" spans="1:10">
      <c r="A154" s="6"/>
      <c r="B154" s="6"/>
      <c r="C154" s="6"/>
      <c r="D154" s="6"/>
      <c r="F154" s="6"/>
      <c r="G154" s="6"/>
      <c r="H154" s="40"/>
      <c r="I154" s="40"/>
      <c r="J154" s="41"/>
    </row>
    <row r="155" ht="21" customHeight="1" spans="1:10">
      <c r="A155" s="6"/>
      <c r="B155" s="6"/>
      <c r="C155" s="6"/>
      <c r="D155" s="6"/>
      <c r="F155" s="6"/>
      <c r="G155" s="6"/>
      <c r="H155" s="40"/>
      <c r="I155" s="40"/>
      <c r="J155" s="41"/>
    </row>
    <row r="156" ht="21" customHeight="1" spans="1:10">
      <c r="A156" s="6"/>
      <c r="B156" s="6"/>
      <c r="C156" s="6"/>
      <c r="D156" s="6"/>
      <c r="F156" s="6"/>
      <c r="G156" s="6"/>
      <c r="H156" s="40"/>
      <c r="I156" s="40"/>
      <c r="J156" s="41"/>
    </row>
    <row r="157" ht="21" customHeight="1" spans="1:10">
      <c r="A157" s="6"/>
      <c r="B157" s="6"/>
      <c r="C157" s="6"/>
      <c r="D157" s="6"/>
      <c r="F157" s="6"/>
      <c r="G157" s="6"/>
      <c r="H157" s="40"/>
      <c r="I157" s="40"/>
      <c r="J157" s="41"/>
    </row>
    <row r="158" ht="21" customHeight="1" spans="1:10">
      <c r="A158" s="6"/>
      <c r="B158" s="6"/>
      <c r="C158" s="6"/>
      <c r="D158" s="6"/>
      <c r="F158" s="6"/>
      <c r="G158" s="6"/>
      <c r="H158" s="40"/>
      <c r="I158" s="40"/>
      <c r="J158" s="41"/>
    </row>
    <row r="159" ht="21" customHeight="1" spans="1:10">
      <c r="A159" s="6"/>
      <c r="B159" s="6"/>
      <c r="C159" s="6"/>
      <c r="D159" s="6"/>
      <c r="F159" s="6"/>
      <c r="G159" s="6"/>
      <c r="H159" s="40"/>
      <c r="I159" s="40"/>
      <c r="J159" s="41"/>
    </row>
    <row r="160" ht="21" customHeight="1" spans="1:10">
      <c r="A160" s="6"/>
      <c r="B160" s="6"/>
      <c r="C160" s="6"/>
      <c r="D160" s="6"/>
      <c r="F160" s="6"/>
      <c r="G160" s="6"/>
      <c r="H160" s="40"/>
      <c r="I160" s="40"/>
      <c r="J160" s="41"/>
    </row>
    <row r="161" ht="21" customHeight="1" spans="1:10">
      <c r="A161" s="6"/>
      <c r="B161" s="6"/>
      <c r="C161" s="6"/>
      <c r="D161" s="6"/>
      <c r="F161" s="6"/>
      <c r="G161" s="6"/>
      <c r="H161" s="40"/>
      <c r="I161" s="40"/>
      <c r="J161" s="41"/>
    </row>
    <row r="162" ht="21" customHeight="1" spans="1:10">
      <c r="A162" s="6"/>
      <c r="B162" s="6"/>
      <c r="C162" s="6"/>
      <c r="D162" s="6"/>
      <c r="F162" s="6"/>
      <c r="G162" s="6"/>
      <c r="H162" s="40"/>
      <c r="I162" s="40"/>
      <c r="J162" s="41"/>
    </row>
    <row r="163" ht="21" customHeight="1" spans="1:10">
      <c r="A163" s="6"/>
      <c r="B163" s="6"/>
      <c r="C163" s="6"/>
      <c r="D163" s="6"/>
      <c r="F163" s="6"/>
      <c r="G163" s="6"/>
      <c r="H163" s="40"/>
      <c r="I163" s="40"/>
      <c r="J163" s="41"/>
    </row>
    <row r="164" ht="21" customHeight="1" spans="1:10">
      <c r="A164" s="6"/>
      <c r="B164" s="6"/>
      <c r="C164" s="6"/>
      <c r="D164" s="6"/>
      <c r="F164" s="6"/>
      <c r="G164" s="6"/>
      <c r="H164" s="40"/>
      <c r="I164" s="40"/>
      <c r="J164" s="41"/>
    </row>
    <row r="165" ht="21" customHeight="1" spans="1:10">
      <c r="A165" s="6"/>
      <c r="B165" s="6"/>
      <c r="C165" s="6"/>
      <c r="D165" s="6"/>
      <c r="F165" s="6"/>
      <c r="G165" s="6"/>
      <c r="H165" s="40"/>
      <c r="I165" s="40"/>
      <c r="J165" s="41"/>
    </row>
    <row r="166" ht="21" customHeight="1" spans="1:10">
      <c r="A166" s="6"/>
      <c r="B166" s="6"/>
      <c r="C166" s="6"/>
      <c r="D166" s="6"/>
      <c r="F166" s="6"/>
      <c r="G166" s="6"/>
      <c r="H166" s="40"/>
      <c r="I166" s="40"/>
      <c r="J166" s="41"/>
    </row>
    <row r="167" ht="21" customHeight="1" spans="1:10">
      <c r="A167" s="6"/>
      <c r="B167" s="6"/>
      <c r="C167" s="6"/>
      <c r="D167" s="6"/>
      <c r="F167" s="6"/>
      <c r="G167" s="6"/>
      <c r="H167" s="40"/>
      <c r="I167" s="40"/>
      <c r="J167" s="41"/>
    </row>
    <row r="168" ht="21" customHeight="1" spans="1:10">
      <c r="A168" s="6"/>
      <c r="B168" s="6"/>
      <c r="C168" s="6"/>
      <c r="D168" s="6"/>
      <c r="F168" s="6"/>
      <c r="G168" s="6"/>
      <c r="H168" s="40"/>
      <c r="I168" s="40"/>
      <c r="J168" s="41"/>
    </row>
    <row r="169" ht="21" customHeight="1" spans="1:10">
      <c r="A169" s="6"/>
      <c r="B169" s="6"/>
      <c r="C169" s="6"/>
      <c r="D169" s="6"/>
      <c r="F169" s="6"/>
      <c r="G169" s="6"/>
      <c r="H169" s="40"/>
      <c r="I169" s="40"/>
      <c r="J169" s="41"/>
    </row>
    <row r="170" ht="21" customHeight="1" spans="1:10">
      <c r="A170" s="6"/>
      <c r="B170" s="6"/>
      <c r="C170" s="6"/>
      <c r="D170" s="6"/>
      <c r="F170" s="6"/>
      <c r="G170" s="6"/>
      <c r="H170" s="40"/>
      <c r="I170" s="40"/>
      <c r="J170" s="41"/>
    </row>
    <row r="171" ht="21" customHeight="1" spans="1:10">
      <c r="A171" s="6"/>
      <c r="B171" s="6"/>
      <c r="C171" s="6"/>
      <c r="D171" s="6"/>
      <c r="F171" s="6"/>
      <c r="G171" s="6"/>
      <c r="H171" s="40"/>
      <c r="I171" s="40"/>
      <c r="J171" s="41"/>
    </row>
    <row r="172" ht="21" customHeight="1" spans="1:10">
      <c r="A172" s="6"/>
      <c r="B172" s="6"/>
      <c r="C172" s="6"/>
      <c r="D172" s="6"/>
      <c r="F172" s="6"/>
      <c r="G172" s="6"/>
      <c r="H172" s="40"/>
      <c r="I172" s="40"/>
      <c r="J172" s="41"/>
    </row>
    <row r="173" ht="21" customHeight="1" spans="1:10">
      <c r="A173" s="6"/>
      <c r="B173" s="6"/>
      <c r="C173" s="6"/>
      <c r="D173" s="6"/>
      <c r="F173" s="6"/>
      <c r="G173" s="6"/>
      <c r="H173" s="40"/>
      <c r="I173" s="40"/>
      <c r="J173" s="41"/>
    </row>
    <row r="174" ht="21" customHeight="1" spans="1:10">
      <c r="A174" s="6"/>
      <c r="B174" s="6"/>
      <c r="C174" s="6"/>
      <c r="D174" s="6"/>
      <c r="F174" s="6"/>
      <c r="G174" s="6"/>
      <c r="H174" s="40"/>
      <c r="I174" s="40"/>
      <c r="J174" s="41"/>
    </row>
    <row r="175" ht="21" customHeight="1" spans="1:10">
      <c r="A175" s="6"/>
      <c r="B175" s="6"/>
      <c r="C175" s="6"/>
      <c r="D175" s="6"/>
      <c r="F175" s="6"/>
      <c r="G175" s="6"/>
      <c r="H175" s="40"/>
      <c r="I175" s="40"/>
      <c r="J175" s="41"/>
    </row>
    <row r="176" ht="21" customHeight="1" spans="1:10">
      <c r="A176" s="6"/>
      <c r="B176" s="6"/>
      <c r="C176" s="6"/>
      <c r="D176" s="6"/>
      <c r="F176" s="6"/>
      <c r="G176" s="6"/>
      <c r="H176" s="40"/>
      <c r="I176" s="40"/>
      <c r="J176" s="41"/>
    </row>
    <row r="177" ht="21" customHeight="1" spans="1:10">
      <c r="A177" s="6"/>
      <c r="B177" s="6"/>
      <c r="C177" s="6"/>
      <c r="D177" s="6"/>
      <c r="F177" s="6"/>
      <c r="G177" s="6"/>
      <c r="H177" s="40"/>
      <c r="I177" s="40"/>
      <c r="J177" s="41"/>
    </row>
    <row r="178" ht="21" customHeight="1" spans="1:10">
      <c r="A178" s="6"/>
      <c r="B178" s="6"/>
      <c r="C178" s="6"/>
      <c r="D178" s="6"/>
      <c r="F178" s="6"/>
      <c r="G178" s="6"/>
      <c r="H178" s="40"/>
      <c r="I178" s="40"/>
      <c r="J178" s="41"/>
    </row>
    <row r="179" ht="21" customHeight="1" spans="1:10">
      <c r="A179" s="6"/>
      <c r="B179" s="6"/>
      <c r="C179" s="6"/>
      <c r="D179" s="6"/>
      <c r="F179" s="6"/>
      <c r="G179" s="6"/>
      <c r="H179" s="40"/>
      <c r="I179" s="40"/>
      <c r="J179" s="41"/>
    </row>
    <row r="180" ht="21" customHeight="1" spans="1:10">
      <c r="A180" s="6"/>
      <c r="B180" s="6"/>
      <c r="C180" s="6"/>
      <c r="D180" s="6"/>
      <c r="F180" s="6"/>
      <c r="G180" s="6"/>
      <c r="H180" s="40"/>
      <c r="I180" s="40"/>
      <c r="J180" s="41"/>
    </row>
    <row r="181" ht="21" customHeight="1" spans="1:10">
      <c r="A181" s="6"/>
      <c r="B181" s="6"/>
      <c r="C181" s="6"/>
      <c r="D181" s="6"/>
      <c r="F181" s="6"/>
      <c r="G181" s="6"/>
      <c r="H181" s="40"/>
      <c r="I181" s="40"/>
      <c r="J181" s="41"/>
    </row>
    <row r="182" ht="21" customHeight="1" spans="1:10">
      <c r="A182" s="6"/>
      <c r="B182" s="6"/>
      <c r="C182" s="6"/>
      <c r="D182" s="6"/>
      <c r="F182" s="6"/>
      <c r="G182" s="6"/>
      <c r="H182" s="40"/>
      <c r="I182" s="40"/>
      <c r="J182" s="41"/>
    </row>
    <row r="183" ht="21" customHeight="1" spans="1:10">
      <c r="A183" s="6"/>
      <c r="B183" s="6"/>
      <c r="C183" s="6"/>
      <c r="D183" s="6"/>
      <c r="F183" s="6"/>
      <c r="G183" s="6"/>
      <c r="H183" s="40"/>
      <c r="I183" s="40"/>
      <c r="J183" s="41"/>
    </row>
    <row r="184" ht="21" customHeight="1" spans="1:10">
      <c r="A184" s="6"/>
      <c r="B184" s="6"/>
      <c r="C184" s="6"/>
      <c r="D184" s="6"/>
      <c r="F184" s="6"/>
      <c r="G184" s="6"/>
      <c r="H184" s="40"/>
      <c r="I184" s="40"/>
      <c r="J184" s="41"/>
    </row>
    <row r="185" ht="21" customHeight="1" spans="1:10">
      <c r="A185" s="6"/>
      <c r="B185" s="6"/>
      <c r="C185" s="6"/>
      <c r="D185" s="6"/>
      <c r="F185" s="6"/>
      <c r="G185" s="6"/>
      <c r="H185" s="40"/>
      <c r="I185" s="40"/>
      <c r="J185" s="41"/>
    </row>
    <row r="186" ht="21" customHeight="1" spans="1:10">
      <c r="A186" s="6"/>
      <c r="B186" s="6"/>
      <c r="C186" s="6"/>
      <c r="D186" s="6"/>
      <c r="F186" s="6"/>
      <c r="G186" s="6"/>
      <c r="H186" s="40"/>
      <c r="I186" s="40"/>
      <c r="J186" s="41"/>
    </row>
    <row r="187" ht="21" customHeight="1" spans="1:10">
      <c r="A187" s="6"/>
      <c r="B187" s="6"/>
      <c r="C187" s="6"/>
      <c r="D187" s="6"/>
      <c r="F187" s="6"/>
      <c r="G187" s="6"/>
      <c r="H187" s="40"/>
      <c r="I187" s="40"/>
      <c r="J187" s="41"/>
    </row>
    <row r="188" ht="21" customHeight="1" spans="1:10">
      <c r="A188" s="6"/>
      <c r="B188" s="6"/>
      <c r="C188" s="6"/>
      <c r="D188" s="6"/>
      <c r="F188" s="6"/>
      <c r="G188" s="6"/>
      <c r="H188" s="40"/>
      <c r="I188" s="40"/>
      <c r="J188" s="41"/>
    </row>
    <row r="189" ht="21" customHeight="1" spans="1:10">
      <c r="A189" s="6"/>
      <c r="B189" s="6"/>
      <c r="C189" s="6"/>
      <c r="D189" s="6"/>
      <c r="F189" s="6"/>
      <c r="G189" s="6"/>
      <c r="H189" s="40"/>
      <c r="I189" s="40"/>
      <c r="J189" s="41"/>
    </row>
    <row r="190" ht="21" customHeight="1" spans="1:10">
      <c r="A190" s="6"/>
      <c r="B190" s="6"/>
      <c r="C190" s="6"/>
      <c r="D190" s="6"/>
      <c r="F190" s="6"/>
      <c r="G190" s="6"/>
      <c r="H190" s="40"/>
      <c r="I190" s="40"/>
      <c r="J190" s="41"/>
    </row>
    <row r="191" ht="21" customHeight="1" spans="1:10">
      <c r="A191" s="6"/>
      <c r="B191" s="6"/>
      <c r="C191" s="6"/>
      <c r="D191" s="6"/>
      <c r="F191" s="6"/>
      <c r="G191" s="6"/>
      <c r="H191" s="40"/>
      <c r="I191" s="40"/>
      <c r="J191" s="41"/>
    </row>
    <row r="192" ht="21" customHeight="1" spans="1:10">
      <c r="A192" s="6"/>
      <c r="B192" s="6"/>
      <c r="C192" s="6"/>
      <c r="D192" s="6"/>
      <c r="F192" s="6"/>
      <c r="G192" s="6"/>
      <c r="H192" s="40"/>
      <c r="I192" s="40"/>
      <c r="J192" s="41"/>
    </row>
    <row r="193" ht="21" customHeight="1" spans="1:10">
      <c r="A193" s="6"/>
      <c r="B193" s="6"/>
      <c r="C193" s="6"/>
      <c r="D193" s="6"/>
      <c r="F193" s="6"/>
      <c r="G193" s="6"/>
      <c r="H193" s="40"/>
      <c r="I193" s="40"/>
      <c r="J193" s="41"/>
    </row>
    <row r="194" ht="21" customHeight="1" spans="1:10">
      <c r="A194" s="6"/>
      <c r="B194" s="6"/>
      <c r="C194" s="6"/>
      <c r="D194" s="6"/>
      <c r="F194" s="6"/>
      <c r="G194" s="6"/>
      <c r="H194" s="40"/>
      <c r="I194" s="40"/>
      <c r="J194" s="41"/>
    </row>
    <row r="195" spans="1:10">
      <c r="H195" s="47"/>
    </row>
    <row r="196" spans="1:10">
      <c r="H196" s="47"/>
    </row>
    <row r="197" spans="1:10">
      <c r="H197" s="47"/>
    </row>
    <row r="198" spans="1:10">
      <c r="H198" s="47"/>
    </row>
    <row r="199" spans="1:10">
      <c r="H199" s="47"/>
    </row>
    <row r="200" spans="1:10">
      <c r="H200" s="47"/>
    </row>
    <row r="201" spans="1:10">
      <c r="H201" s="47"/>
    </row>
    <row r="202" spans="1:10">
      <c r="H202" s="47"/>
    </row>
    <row r="203" spans="1:10">
      <c r="H203" s="47"/>
    </row>
    <row r="204" spans="1:10">
      <c r="H204" s="47"/>
    </row>
    <row r="205" spans="1:10">
      <c r="H205" s="47"/>
    </row>
    <row r="206" spans="1:10">
      <c r="H206" s="47"/>
    </row>
    <row r="207" spans="1:10">
      <c r="H207" s="47"/>
    </row>
    <row r="208" spans="1:10">
      <c r="H208" s="47"/>
    </row>
    <row r="209" spans="8:8">
      <c r="H209" s="47"/>
    </row>
    <row r="210" spans="8:8">
      <c r="H210" s="47"/>
    </row>
    <row r="211" spans="8:8">
      <c r="H211" s="47"/>
    </row>
    <row r="212" spans="8:8">
      <c r="H212" s="47"/>
    </row>
    <row r="213" spans="8:8">
      <c r="H213" s="47"/>
    </row>
    <row r="214" spans="8:8">
      <c r="H214" s="47"/>
    </row>
    <row r="215" spans="8:8">
      <c r="H215" s="47"/>
    </row>
    <row r="216" spans="8:8">
      <c r="H216" s="47"/>
    </row>
    <row r="217" spans="8:8">
      <c r="H217" s="47"/>
    </row>
    <row r="218" spans="8:8">
      <c r="H218" s="47"/>
    </row>
    <row r="219" spans="8:8">
      <c r="H219" s="47"/>
    </row>
    <row r="220" spans="8:8">
      <c r="H220" s="47"/>
    </row>
    <row r="221" spans="8:8">
      <c r="H221" s="47"/>
    </row>
    <row r="222" spans="8:8">
      <c r="H222" s="47"/>
    </row>
    <row r="223" spans="8:8">
      <c r="H223" s="47"/>
    </row>
    <row r="224" spans="8:8">
      <c r="H224" s="47"/>
    </row>
    <row r="225" spans="8:8">
      <c r="H225" s="47"/>
    </row>
    <row r="226" spans="8:8">
      <c r="H226" s="47"/>
    </row>
    <row r="227" spans="8:8">
      <c r="H227" s="47"/>
    </row>
    <row r="228" spans="8:8">
      <c r="H228" s="47"/>
    </row>
    <row r="229" spans="8:8">
      <c r="H229" s="47"/>
    </row>
    <row r="230" spans="8:8">
      <c r="H230" s="47"/>
    </row>
    <row r="231" spans="8:8">
      <c r="H231" s="47"/>
    </row>
    <row r="232" spans="8:8">
      <c r="H232" s="47"/>
    </row>
    <row r="233" spans="8:8">
      <c r="H233" s="47"/>
    </row>
    <row r="234" spans="8:8">
      <c r="H234" s="47"/>
    </row>
    <row r="235" spans="8:8">
      <c r="H235" s="47"/>
    </row>
    <row r="236" spans="8:8">
      <c r="H236" s="47"/>
    </row>
    <row r="237" spans="8:8">
      <c r="H237" s="47"/>
    </row>
    <row r="238" spans="8:8">
      <c r="H238" s="47"/>
    </row>
  </sheetData>
  <mergeCells count="5">
    <mergeCell ref="C22:D22"/>
    <mergeCell ref="E70:E71"/>
    <mergeCell ref="E82:E88"/>
    <mergeCell ref="E90:E91"/>
    <mergeCell ref="E95:E96"/>
  </mergeCells>
  <dataValidations count="6">
    <dataValidation type="list" allowBlank="1" showInputMessage="1" showErrorMessage="1" sqref="A2:A1048576">
      <formula1>"李凯,戈燕,高诗颖,李源,陈一涵,蔡丽娜,"</formula1>
    </dataValidation>
    <dataValidation type="date" operator="between" showInputMessage="1" showErrorMessage="1" sqref="B2:B58"/>
    <dataValidation type="list" allowBlank="1" showInputMessage="1" showErrorMessage="1" sqref="E$1:E$1048576">
      <formula1>"B2B,电商,服贸,汇兑,机构客户,"</formula1>
    </dataValidation>
    <dataValidation type="list" allowBlank="1" showInputMessage="1" showErrorMessage="1" sqref="G$1:G$1048576">
      <formula1>"目前状态,已完成,待BD回复,无需处理,"</formula1>
    </dataValidation>
    <dataValidation type="list" allowBlank="1" showInputMessage="1" showErrorMessage="1" sqref="H2:H1048576">
      <formula1>"收款人疑似命中制裁,账户调查-洗钱风险,贸易模式存疑,疑似涉及虚拟货币,似间接涉俄,"</formula1>
    </dataValidation>
    <dataValidation type="list" allowBlank="1" showInputMessage="1" showErrorMessage="1" sqref="I$1:I$1048576">
      <formula1>"Clear Business Model,Clear Transaction Purpose,Clear Fund Flow,No Suspicious Activity Found,"</formula1>
    </dataValidation>
  </dataValidations>
  <hyperlinks>
    <hyperlink ref="K13" r:id="rId1" display="UQPAY结汇订单内部调单"/>
    <hyperlink ref="K17" r:id="rId2" display="BYTECHIP LLC内部调单"/>
    <hyperlink ref="K18" r:id="rId2" display="BYTECHIP LLC内部调单"/>
    <hyperlink ref="K19" r:id="rId2" display="BYTECHIP LLC内部调单"/>
    <hyperlink ref="K22" r:id="rId3" display="RCPAY内部调单"/>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统计用）6张表数据汇总"/>
  <dimension ref="A1:N1612"/>
  <sheetViews>
    <sheetView tabSelected="1" workbookViewId="0">
      <pane ySplit="1" topLeftCell="A2" activePane="bottomLeft" state="frozen"/>
      <selection/>
      <selection pane="bottomLeft" activeCell="K427" sqref="K427"/>
    </sheetView>
  </sheetViews>
  <sheetFormatPr defaultColWidth="14" defaultRowHeight="18" customHeight="1"/>
  <cols>
    <col min="6" max="6" width="17.8090909090909" customWidth="1"/>
    <col min="7" max="7" width="66.9181818181818" customWidth="1"/>
    <col min="11" max="11" width="32.3636363636364" customWidth="1"/>
  </cols>
  <sheetData>
    <row r="1" customHeight="1" spans="1:14">
      <c r="A1" s="14" t="s">
        <v>5468</v>
      </c>
      <c r="B1" s="14" t="s">
        <v>5469</v>
      </c>
      <c r="C1" s="15" t="s">
        <v>57</v>
      </c>
      <c r="D1" s="16" t="s">
        <v>1003</v>
      </c>
      <c r="E1" s="16" t="s">
        <v>62</v>
      </c>
      <c r="F1" s="17" t="s">
        <v>68</v>
      </c>
      <c r="G1" s="18" t="s">
        <v>5470</v>
      </c>
      <c r="H1" s="17" t="s">
        <v>59</v>
      </c>
      <c r="I1" s="17" t="s">
        <v>5471</v>
      </c>
      <c r="J1" s="19" t="s">
        <v>60</v>
      </c>
      <c r="K1" s="19" t="s">
        <v>66</v>
      </c>
      <c r="L1" s="19" t="s">
        <v>67</v>
      </c>
      <c r="M1" s="19"/>
      <c r="N1" s="20"/>
    </row>
    <row r="2" customHeight="1" spans="1:14">
      <c r="A2" s="21">
        <v>45597</v>
      </c>
      <c r="B2" s="22" t="s">
        <v>5472</v>
      </c>
      <c r="C2" s="23">
        <v>45614</v>
      </c>
      <c r="D2" s="24">
        <v>0</v>
      </c>
      <c r="E2" s="22"/>
      <c r="F2" s="22" t="s">
        <v>7</v>
      </c>
      <c r="G2" s="22" t="s">
        <v>79</v>
      </c>
      <c r="H2" s="22" t="s">
        <v>10</v>
      </c>
      <c r="I2" s="22" t="s">
        <v>5473</v>
      </c>
      <c r="J2" s="22" t="s">
        <v>40</v>
      </c>
      <c r="K2" s="22">
        <v>5.18123092200085e+18</v>
      </c>
      <c r="L2" s="22" t="s">
        <v>84</v>
      </c>
      <c r="M2" s="25"/>
    </row>
    <row r="3" customHeight="1" spans="1:14">
      <c r="A3" s="21">
        <v>45627</v>
      </c>
      <c r="B3" s="22" t="s">
        <v>5474</v>
      </c>
      <c r="C3" s="23">
        <v>45630</v>
      </c>
      <c r="D3" s="24">
        <v>0</v>
      </c>
      <c r="E3" s="22"/>
      <c r="F3" s="22" t="s">
        <v>7</v>
      </c>
      <c r="G3" s="22" t="s">
        <v>98</v>
      </c>
      <c r="H3" s="22" t="s">
        <v>10</v>
      </c>
      <c r="I3" s="22" t="s">
        <v>5473</v>
      </c>
      <c r="J3" s="22" t="s">
        <v>40</v>
      </c>
      <c r="K3" s="22">
        <v>5.18124052800352e+18</v>
      </c>
      <c r="L3" s="22" t="s">
        <v>100</v>
      </c>
      <c r="M3" s="25"/>
    </row>
    <row r="4" customHeight="1" spans="1:14">
      <c r="A4" s="21">
        <v>45627</v>
      </c>
      <c r="B4" s="22" t="s">
        <v>5474</v>
      </c>
      <c r="C4" s="23">
        <v>45638</v>
      </c>
      <c r="D4" s="24">
        <v>0</v>
      </c>
      <c r="E4" s="22"/>
      <c r="F4" s="22" t="s">
        <v>105</v>
      </c>
      <c r="G4" s="22" t="s">
        <v>102</v>
      </c>
      <c r="H4" s="22" t="s">
        <v>10</v>
      </c>
      <c r="I4" s="22" t="s">
        <v>5473</v>
      </c>
      <c r="J4" s="22" t="s">
        <v>40</v>
      </c>
      <c r="K4" s="22">
        <v>5.18124051300336e+18</v>
      </c>
      <c r="L4" s="22" t="s">
        <v>104</v>
      </c>
      <c r="M4" s="25"/>
    </row>
    <row r="5" customHeight="1" spans="1:14">
      <c r="A5" s="21">
        <v>45627</v>
      </c>
      <c r="B5" s="22" t="s">
        <v>5474</v>
      </c>
      <c r="C5" s="23">
        <v>45638</v>
      </c>
      <c r="D5" s="24">
        <v>0</v>
      </c>
      <c r="E5" s="22"/>
      <c r="F5" s="22" t="s">
        <v>105</v>
      </c>
      <c r="G5" s="22" t="s">
        <v>106</v>
      </c>
      <c r="H5" s="22" t="s">
        <v>10</v>
      </c>
      <c r="I5" s="22" t="s">
        <v>5473</v>
      </c>
      <c r="J5" s="22" t="s">
        <v>40</v>
      </c>
      <c r="K5" s="22">
        <v>5.18124051300336e+18</v>
      </c>
      <c r="L5" s="22" t="s">
        <v>104</v>
      </c>
      <c r="M5" s="25"/>
    </row>
    <row r="6" customHeight="1" spans="1:14">
      <c r="A6" s="21">
        <v>45627</v>
      </c>
      <c r="B6" s="22" t="s">
        <v>5474</v>
      </c>
      <c r="C6" s="23">
        <v>45638</v>
      </c>
      <c r="D6" s="24">
        <v>0</v>
      </c>
      <c r="E6" s="22"/>
      <c r="F6" s="22" t="s">
        <v>105</v>
      </c>
      <c r="G6" s="22" t="s">
        <v>112</v>
      </c>
      <c r="H6" s="22" t="s">
        <v>10</v>
      </c>
      <c r="I6" s="22" t="s">
        <v>5473</v>
      </c>
      <c r="J6" s="22" t="s">
        <v>40</v>
      </c>
      <c r="K6" s="22">
        <v>5.18124051300336e+18</v>
      </c>
      <c r="L6" s="22" t="s">
        <v>104</v>
      </c>
      <c r="M6" s="25"/>
    </row>
    <row r="7" customHeight="1" spans="1:14">
      <c r="A7" s="21">
        <v>45627</v>
      </c>
      <c r="B7" s="22" t="s">
        <v>5474</v>
      </c>
      <c r="C7" s="23">
        <v>45638</v>
      </c>
      <c r="D7" s="24">
        <v>0</v>
      </c>
      <c r="E7" s="22"/>
      <c r="F7" s="22" t="s">
        <v>105</v>
      </c>
      <c r="G7" s="22" t="s">
        <v>113</v>
      </c>
      <c r="H7" s="22" t="s">
        <v>10</v>
      </c>
      <c r="I7" s="22" t="s">
        <v>5473</v>
      </c>
      <c r="J7" s="22" t="s">
        <v>40</v>
      </c>
      <c r="K7" s="22">
        <v>5.18124051300336e+18</v>
      </c>
      <c r="L7" s="22" t="s">
        <v>104</v>
      </c>
      <c r="M7" s="25"/>
    </row>
    <row r="8" customHeight="1" spans="1:14">
      <c r="A8" s="21">
        <v>45627</v>
      </c>
      <c r="B8" s="22" t="s">
        <v>5475</v>
      </c>
      <c r="C8" s="23">
        <v>45643</v>
      </c>
      <c r="D8" s="24">
        <v>0</v>
      </c>
      <c r="E8" s="22"/>
      <c r="F8" s="22" t="s">
        <v>105</v>
      </c>
      <c r="G8" s="22" t="s">
        <v>116</v>
      </c>
      <c r="H8" s="22" t="s">
        <v>10</v>
      </c>
      <c r="I8" s="22" t="s">
        <v>5473</v>
      </c>
      <c r="J8" s="22" t="s">
        <v>40</v>
      </c>
      <c r="K8" s="22">
        <v>5.1812403140025e+18</v>
      </c>
      <c r="L8" s="22" t="s">
        <v>119</v>
      </c>
      <c r="M8" s="25"/>
    </row>
    <row r="9" customHeight="1" spans="1:14">
      <c r="A9" s="21">
        <v>45627</v>
      </c>
      <c r="B9" s="22" t="s">
        <v>5475</v>
      </c>
      <c r="C9" s="23">
        <v>45644</v>
      </c>
      <c r="D9" s="24">
        <v>0</v>
      </c>
      <c r="E9" s="22"/>
      <c r="F9" s="22" t="s">
        <v>105</v>
      </c>
      <c r="G9" s="24">
        <v>0</v>
      </c>
      <c r="H9" s="22" t="s">
        <v>10</v>
      </c>
      <c r="I9" s="22" t="s">
        <v>5473</v>
      </c>
      <c r="J9" s="22" t="s">
        <v>39</v>
      </c>
      <c r="K9" s="22">
        <v>5.18124072501743e+18</v>
      </c>
      <c r="L9" s="22" t="s">
        <v>123</v>
      </c>
      <c r="M9" s="25"/>
    </row>
    <row r="10" customHeight="1" spans="1:14">
      <c r="A10" s="21">
        <v>45627</v>
      </c>
      <c r="B10" s="22" t="s">
        <v>5475</v>
      </c>
      <c r="C10" s="23">
        <v>45646</v>
      </c>
      <c r="D10" s="24">
        <v>0</v>
      </c>
      <c r="E10" s="22"/>
      <c r="F10" s="22" t="s">
        <v>105</v>
      </c>
      <c r="G10" s="24">
        <v>0</v>
      </c>
      <c r="H10" s="22" t="s">
        <v>10</v>
      </c>
      <c r="I10" s="22" t="s">
        <v>5473</v>
      </c>
      <c r="J10" s="22" t="s">
        <v>39</v>
      </c>
      <c r="K10" s="22">
        <v>5.18124080702022e+18</v>
      </c>
      <c r="L10" s="22" t="s">
        <v>126</v>
      </c>
      <c r="M10" s="25"/>
    </row>
    <row r="11" customHeight="1" spans="1:14">
      <c r="A11" s="21">
        <v>45658</v>
      </c>
      <c r="B11" s="22" t="s">
        <v>5476</v>
      </c>
      <c r="C11" s="23">
        <v>45672</v>
      </c>
      <c r="D11" s="24">
        <v>0</v>
      </c>
      <c r="E11" s="22"/>
      <c r="F11" s="22" t="s">
        <v>105</v>
      </c>
      <c r="G11" s="24">
        <v>0</v>
      </c>
      <c r="H11" s="22" t="s">
        <v>10</v>
      </c>
      <c r="I11" s="22" t="s">
        <v>5473</v>
      </c>
      <c r="J11" s="22" t="s">
        <v>39</v>
      </c>
      <c r="K11" s="22">
        <v>5.1812412050363e+18</v>
      </c>
      <c r="L11" s="22" t="s">
        <v>128</v>
      </c>
      <c r="M11" s="25"/>
    </row>
    <row r="12" customHeight="1" spans="1:14">
      <c r="A12" s="21">
        <v>45658</v>
      </c>
      <c r="B12" s="22" t="s">
        <v>5477</v>
      </c>
      <c r="C12" s="23">
        <v>45674</v>
      </c>
      <c r="D12" s="24">
        <v>0</v>
      </c>
      <c r="E12" s="22"/>
      <c r="F12" s="22" t="s">
        <v>105</v>
      </c>
      <c r="G12" s="24">
        <v>0</v>
      </c>
      <c r="H12" s="22" t="s">
        <v>10</v>
      </c>
      <c r="I12" s="22" t="s">
        <v>5473</v>
      </c>
      <c r="J12" s="22" t="s">
        <v>39</v>
      </c>
      <c r="K12" s="22">
        <v>5.18124121203647e+18</v>
      </c>
      <c r="L12" s="22" t="s">
        <v>131</v>
      </c>
      <c r="M12" s="25"/>
    </row>
    <row r="13" customHeight="1" spans="1:14">
      <c r="A13" s="21">
        <v>45658</v>
      </c>
      <c r="B13" s="22" t="s">
        <v>5477</v>
      </c>
      <c r="C13" s="23">
        <v>45674</v>
      </c>
      <c r="D13" s="24">
        <v>0</v>
      </c>
      <c r="E13" s="22"/>
      <c r="F13" s="22" t="s">
        <v>105</v>
      </c>
      <c r="G13" s="24">
        <v>0</v>
      </c>
      <c r="H13" s="22" t="s">
        <v>10</v>
      </c>
      <c r="I13" s="22" t="s">
        <v>5473</v>
      </c>
      <c r="J13" s="22" t="s">
        <v>39</v>
      </c>
      <c r="K13" s="22">
        <v>5.18124121203647e+18</v>
      </c>
      <c r="L13" s="22" t="s">
        <v>131</v>
      </c>
      <c r="M13" s="25"/>
    </row>
    <row r="14" customHeight="1" spans="1:14">
      <c r="A14" s="21">
        <v>45658</v>
      </c>
      <c r="B14" s="22" t="s">
        <v>5477</v>
      </c>
      <c r="C14" s="23">
        <v>45674</v>
      </c>
      <c r="D14" s="24">
        <v>0</v>
      </c>
      <c r="E14" s="22"/>
      <c r="F14" s="22" t="s">
        <v>105</v>
      </c>
      <c r="G14" s="24">
        <v>0</v>
      </c>
      <c r="H14" s="22" t="s">
        <v>10</v>
      </c>
      <c r="I14" s="22" t="s">
        <v>5473</v>
      </c>
      <c r="J14" s="22" t="s">
        <v>39</v>
      </c>
      <c r="K14" s="22">
        <v>5.18124121203647e+18</v>
      </c>
      <c r="L14" s="22" t="s">
        <v>131</v>
      </c>
      <c r="M14" s="25"/>
    </row>
    <row r="15" customHeight="1" spans="1:14">
      <c r="A15" s="21">
        <v>45658</v>
      </c>
      <c r="B15" s="22" t="s">
        <v>5476</v>
      </c>
      <c r="C15" s="23">
        <v>45670</v>
      </c>
      <c r="D15" s="24">
        <v>0</v>
      </c>
      <c r="E15" s="22"/>
      <c r="F15" s="22" t="s">
        <v>105</v>
      </c>
      <c r="G15" s="22" t="s">
        <v>137</v>
      </c>
      <c r="H15" s="22" t="s">
        <v>10</v>
      </c>
      <c r="I15" s="22" t="s">
        <v>5473</v>
      </c>
      <c r="J15" s="22" t="s">
        <v>40</v>
      </c>
      <c r="K15" s="22">
        <v>5.18123052800016e+18</v>
      </c>
      <c r="L15" s="22" t="s">
        <v>115</v>
      </c>
      <c r="M15" s="25"/>
    </row>
    <row r="16" customHeight="1" spans="1:14">
      <c r="A16" s="21">
        <v>45658</v>
      </c>
      <c r="B16" s="22" t="s">
        <v>5476</v>
      </c>
      <c r="C16" s="23">
        <v>45670</v>
      </c>
      <c r="D16" s="24">
        <v>0</v>
      </c>
      <c r="E16" s="22"/>
      <c r="F16" s="22" t="s">
        <v>105</v>
      </c>
      <c r="G16" s="22" t="s">
        <v>138</v>
      </c>
      <c r="H16" s="22" t="s">
        <v>10</v>
      </c>
      <c r="I16" s="22" t="s">
        <v>5473</v>
      </c>
      <c r="J16" s="22" t="s">
        <v>40</v>
      </c>
      <c r="K16" s="22">
        <v>5.18123052800016e+18</v>
      </c>
      <c r="L16" s="22" t="s">
        <v>115</v>
      </c>
      <c r="M16" s="25"/>
    </row>
    <row r="17" customHeight="1" spans="1:13">
      <c r="A17" s="21">
        <v>45658</v>
      </c>
      <c r="B17" s="22" t="s">
        <v>5477</v>
      </c>
      <c r="C17" s="23">
        <v>45675</v>
      </c>
      <c r="D17" s="24">
        <v>0</v>
      </c>
      <c r="E17" s="22"/>
      <c r="F17" s="22" t="s">
        <v>105</v>
      </c>
      <c r="G17" s="22" t="s">
        <v>143</v>
      </c>
      <c r="H17" s="22" t="s">
        <v>12</v>
      </c>
      <c r="I17" s="22" t="s">
        <v>5473</v>
      </c>
      <c r="J17" s="22" t="s">
        <v>40</v>
      </c>
      <c r="K17" s="22">
        <v>5.18122121600299e+18</v>
      </c>
      <c r="L17" s="22" t="s">
        <v>145</v>
      </c>
      <c r="M17" s="25"/>
    </row>
    <row r="18" customHeight="1" spans="1:13">
      <c r="A18" s="21">
        <v>45658</v>
      </c>
      <c r="B18" s="22" t="s">
        <v>5477</v>
      </c>
      <c r="C18" s="23">
        <v>45675</v>
      </c>
      <c r="D18" s="24">
        <v>0</v>
      </c>
      <c r="E18" s="22"/>
      <c r="F18" s="22" t="s">
        <v>105</v>
      </c>
      <c r="G18" s="22" t="s">
        <v>148</v>
      </c>
      <c r="H18" s="22" t="s">
        <v>11</v>
      </c>
      <c r="I18" s="22" t="s">
        <v>5473</v>
      </c>
      <c r="J18" s="22" t="s">
        <v>40</v>
      </c>
      <c r="K18" s="22">
        <v>5.18122121600299e+18</v>
      </c>
      <c r="L18" s="22" t="s">
        <v>145</v>
      </c>
      <c r="M18" s="25"/>
    </row>
    <row r="19" customHeight="1" spans="1:13">
      <c r="A19" s="21">
        <v>45658</v>
      </c>
      <c r="B19" s="22" t="s">
        <v>5477</v>
      </c>
      <c r="C19" s="23">
        <v>45674</v>
      </c>
      <c r="D19" s="24">
        <v>0</v>
      </c>
      <c r="E19" s="22"/>
      <c r="F19" s="22" t="s">
        <v>105</v>
      </c>
      <c r="G19" s="22" t="s">
        <v>152</v>
      </c>
      <c r="H19" s="22" t="s">
        <v>10</v>
      </c>
      <c r="I19" s="22" t="s">
        <v>5473</v>
      </c>
      <c r="J19" s="22" t="s">
        <v>40</v>
      </c>
      <c r="K19" s="22">
        <v>5.18124121203647e+18</v>
      </c>
      <c r="L19" s="22" t="s">
        <v>131</v>
      </c>
      <c r="M19" s="25"/>
    </row>
    <row r="20" customHeight="1" spans="1:13">
      <c r="A20" s="21">
        <v>45658</v>
      </c>
      <c r="B20" s="22" t="s">
        <v>5477</v>
      </c>
      <c r="C20" s="23">
        <v>45675</v>
      </c>
      <c r="D20" s="24">
        <v>0</v>
      </c>
      <c r="E20" s="22"/>
      <c r="F20" s="22" t="s">
        <v>105</v>
      </c>
      <c r="G20" s="22" t="s">
        <v>155</v>
      </c>
      <c r="H20" s="22" t="s">
        <v>10</v>
      </c>
      <c r="I20" s="22" t="s">
        <v>5473</v>
      </c>
      <c r="J20" s="22" t="s">
        <v>40</v>
      </c>
      <c r="K20" s="22">
        <v>5.18122121600299e+18</v>
      </c>
      <c r="L20" s="22" t="s">
        <v>145</v>
      </c>
      <c r="M20" s="25"/>
    </row>
    <row r="21" customHeight="1" spans="1:13">
      <c r="A21" s="21">
        <v>45658</v>
      </c>
      <c r="B21" s="22" t="s">
        <v>5477</v>
      </c>
      <c r="C21" s="23">
        <v>45677</v>
      </c>
      <c r="D21" s="24">
        <v>0</v>
      </c>
      <c r="E21" s="22"/>
      <c r="F21" s="22" t="s">
        <v>105</v>
      </c>
      <c r="G21" s="22" t="s">
        <v>157</v>
      </c>
      <c r="H21" s="22" t="s">
        <v>10</v>
      </c>
      <c r="I21" s="22" t="s">
        <v>5473</v>
      </c>
      <c r="J21" s="22" t="s">
        <v>40</v>
      </c>
      <c r="K21" s="22">
        <v>5.18124032600281e+18</v>
      </c>
      <c r="L21" s="22" t="s">
        <v>160</v>
      </c>
      <c r="M21" s="25"/>
    </row>
    <row r="22" customHeight="1" spans="1:13">
      <c r="A22" s="21">
        <v>45658</v>
      </c>
      <c r="B22" s="22" t="s">
        <v>5477</v>
      </c>
      <c r="C22" s="23">
        <v>45677</v>
      </c>
      <c r="D22" s="24">
        <v>0</v>
      </c>
      <c r="E22" s="22"/>
      <c r="F22" s="22" t="s">
        <v>105</v>
      </c>
      <c r="G22" s="22" t="s">
        <v>162</v>
      </c>
      <c r="H22" s="22" t="s">
        <v>10</v>
      </c>
      <c r="I22" s="22" t="s">
        <v>5473</v>
      </c>
      <c r="J22" s="22" t="s">
        <v>40</v>
      </c>
      <c r="K22" s="22">
        <v>5.18124032600281e+18</v>
      </c>
      <c r="L22" s="22" t="s">
        <v>160</v>
      </c>
      <c r="M22" s="25"/>
    </row>
    <row r="23" customHeight="1" spans="1:13">
      <c r="A23" s="21">
        <v>45658</v>
      </c>
      <c r="B23" s="22" t="s">
        <v>5477</v>
      </c>
      <c r="C23" s="23">
        <v>45677</v>
      </c>
      <c r="D23" s="24">
        <v>0</v>
      </c>
      <c r="E23" s="22"/>
      <c r="F23" s="22" t="s">
        <v>105</v>
      </c>
      <c r="G23" s="22" t="s">
        <v>164</v>
      </c>
      <c r="H23" s="22" t="s">
        <v>10</v>
      </c>
      <c r="I23" s="22" t="s">
        <v>5473</v>
      </c>
      <c r="J23" s="22" t="s">
        <v>40</v>
      </c>
      <c r="K23" s="22">
        <v>5.18124032600281e+18</v>
      </c>
      <c r="L23" s="22" t="s">
        <v>160</v>
      </c>
      <c r="M23" s="25"/>
    </row>
    <row r="24" customHeight="1" spans="1:13">
      <c r="A24" s="21">
        <v>45658</v>
      </c>
      <c r="B24" s="22" t="s">
        <v>5477</v>
      </c>
      <c r="C24" s="23">
        <v>45677</v>
      </c>
      <c r="D24" s="24">
        <v>0</v>
      </c>
      <c r="E24" s="22"/>
      <c r="F24" s="22" t="s">
        <v>105</v>
      </c>
      <c r="G24" s="22" t="s">
        <v>165</v>
      </c>
      <c r="H24" s="22" t="s">
        <v>10</v>
      </c>
      <c r="I24" s="22" t="s">
        <v>5473</v>
      </c>
      <c r="J24" s="22" t="s">
        <v>40</v>
      </c>
      <c r="K24" s="22">
        <v>5.18124032600281e+18</v>
      </c>
      <c r="L24" s="22" t="s">
        <v>160</v>
      </c>
      <c r="M24" s="25"/>
    </row>
    <row r="25" customHeight="1" spans="1:13">
      <c r="A25" s="21">
        <v>45658</v>
      </c>
      <c r="B25" s="22" t="s">
        <v>5477</v>
      </c>
      <c r="C25" s="23">
        <v>45677</v>
      </c>
      <c r="D25" s="24">
        <v>0</v>
      </c>
      <c r="E25" s="22"/>
      <c r="F25" s="22" t="s">
        <v>105</v>
      </c>
      <c r="G25" s="22" t="s">
        <v>169</v>
      </c>
      <c r="H25" s="22" t="s">
        <v>11</v>
      </c>
      <c r="I25" s="22" t="s">
        <v>5473</v>
      </c>
      <c r="J25" s="22" t="s">
        <v>40</v>
      </c>
      <c r="K25" s="22">
        <v>5.18124032600281e+18</v>
      </c>
      <c r="L25" s="22" t="s">
        <v>160</v>
      </c>
      <c r="M25" s="25"/>
    </row>
    <row r="26" customHeight="1" spans="1:13">
      <c r="A26" s="21">
        <v>45658</v>
      </c>
      <c r="B26" s="22" t="s">
        <v>5477</v>
      </c>
      <c r="C26" s="23">
        <v>45678</v>
      </c>
      <c r="D26" s="24">
        <v>0</v>
      </c>
      <c r="E26" s="22"/>
      <c r="F26" s="22" t="s">
        <v>105</v>
      </c>
      <c r="G26" s="22" t="s">
        <v>172</v>
      </c>
      <c r="H26" s="22" t="s">
        <v>10</v>
      </c>
      <c r="I26" s="22" t="s">
        <v>5473</v>
      </c>
      <c r="J26" s="22" t="s">
        <v>39</v>
      </c>
      <c r="K26" s="22">
        <v>5.18124070101276e+18</v>
      </c>
      <c r="L26" s="22" t="s">
        <v>175</v>
      </c>
      <c r="M26" s="25"/>
    </row>
    <row r="27" customHeight="1" spans="1:13">
      <c r="A27" s="21">
        <v>45658</v>
      </c>
      <c r="B27" s="22" t="s">
        <v>5477</v>
      </c>
      <c r="C27" s="23">
        <v>45679</v>
      </c>
      <c r="D27" s="24">
        <v>0</v>
      </c>
      <c r="E27" s="22"/>
      <c r="F27" s="22" t="s">
        <v>105</v>
      </c>
      <c r="G27" s="22" t="s">
        <v>176</v>
      </c>
      <c r="H27" s="22" t="s">
        <v>10</v>
      </c>
      <c r="I27" s="22" t="s">
        <v>5473</v>
      </c>
      <c r="J27" s="22" t="s">
        <v>40</v>
      </c>
      <c r="K27" s="22">
        <v>5.18124012900193e+18</v>
      </c>
      <c r="L27" s="22" t="s">
        <v>178</v>
      </c>
      <c r="M27" s="25"/>
    </row>
    <row r="28" customHeight="1" spans="1:13">
      <c r="A28" s="21">
        <v>45658</v>
      </c>
      <c r="B28" s="22" t="s">
        <v>5477</v>
      </c>
      <c r="C28" s="23">
        <v>45679</v>
      </c>
      <c r="D28" s="24">
        <v>0</v>
      </c>
      <c r="E28" s="22"/>
      <c r="F28" s="22" t="s">
        <v>105</v>
      </c>
      <c r="G28" s="22" t="s">
        <v>180</v>
      </c>
      <c r="H28" s="22" t="s">
        <v>10</v>
      </c>
      <c r="I28" s="22" t="s">
        <v>5473</v>
      </c>
      <c r="J28" s="22" t="s">
        <v>40</v>
      </c>
      <c r="K28" s="22">
        <v>5.18124012900193e+18</v>
      </c>
      <c r="L28" s="22" t="s">
        <v>178</v>
      </c>
      <c r="M28" s="25"/>
    </row>
    <row r="29" customHeight="1" spans="1:13">
      <c r="A29" s="21">
        <v>45658</v>
      </c>
      <c r="B29" s="22" t="s">
        <v>5477</v>
      </c>
      <c r="C29" s="23">
        <v>45679</v>
      </c>
      <c r="D29" s="24">
        <v>0</v>
      </c>
      <c r="E29" s="22"/>
      <c r="F29" s="22" t="s">
        <v>105</v>
      </c>
      <c r="G29" s="22" t="s">
        <v>183</v>
      </c>
      <c r="H29" s="22" t="s">
        <v>10</v>
      </c>
      <c r="I29" s="22" t="s">
        <v>5473</v>
      </c>
      <c r="J29" s="22" t="s">
        <v>40</v>
      </c>
      <c r="K29" s="22">
        <v>5.18124012900193e+18</v>
      </c>
      <c r="L29" s="22" t="s">
        <v>178</v>
      </c>
      <c r="M29" s="25"/>
    </row>
    <row r="30" customHeight="1" spans="1:13">
      <c r="A30" s="21">
        <v>45658</v>
      </c>
      <c r="B30" s="22" t="s">
        <v>5477</v>
      </c>
      <c r="C30" s="23">
        <v>45679</v>
      </c>
      <c r="D30" s="24">
        <v>0</v>
      </c>
      <c r="E30" s="22"/>
      <c r="F30" s="22" t="s">
        <v>105</v>
      </c>
      <c r="G30" s="22" t="s">
        <v>187</v>
      </c>
      <c r="H30" s="22" t="s">
        <v>10</v>
      </c>
      <c r="I30" s="22" t="s">
        <v>5473</v>
      </c>
      <c r="J30" s="22" t="s">
        <v>40</v>
      </c>
      <c r="K30" s="22">
        <v>5.18124012900193e+18</v>
      </c>
      <c r="L30" s="22" t="s">
        <v>178</v>
      </c>
      <c r="M30" s="25"/>
    </row>
    <row r="31" customHeight="1" spans="1:13">
      <c r="A31" s="21">
        <v>45658</v>
      </c>
      <c r="B31" s="22" t="s">
        <v>5477</v>
      </c>
      <c r="C31" s="23">
        <v>45679</v>
      </c>
      <c r="D31" s="24">
        <v>0</v>
      </c>
      <c r="E31" s="22"/>
      <c r="F31" s="22" t="s">
        <v>105</v>
      </c>
      <c r="G31" s="22" t="s">
        <v>191</v>
      </c>
      <c r="H31" s="22" t="s">
        <v>10</v>
      </c>
      <c r="I31" s="22" t="s">
        <v>5473</v>
      </c>
      <c r="J31" s="22" t="s">
        <v>40</v>
      </c>
      <c r="K31" s="22">
        <v>5.18124012900193e+18</v>
      </c>
      <c r="L31" s="22" t="s">
        <v>178</v>
      </c>
      <c r="M31" s="25"/>
    </row>
    <row r="32" customHeight="1" spans="1:13">
      <c r="A32" s="21">
        <v>45658</v>
      </c>
      <c r="B32" s="22" t="s">
        <v>5477</v>
      </c>
      <c r="C32" s="23">
        <v>45679</v>
      </c>
      <c r="D32" s="24">
        <v>0</v>
      </c>
      <c r="E32" s="22"/>
      <c r="F32" s="22" t="s">
        <v>105</v>
      </c>
      <c r="G32" s="22" t="s">
        <v>195</v>
      </c>
      <c r="H32" s="22" t="s">
        <v>10</v>
      </c>
      <c r="I32" s="22" t="s">
        <v>5473</v>
      </c>
      <c r="J32" s="22" t="s">
        <v>40</v>
      </c>
      <c r="K32" s="22">
        <v>5.18124012900193e+18</v>
      </c>
      <c r="L32" s="22" t="s">
        <v>178</v>
      </c>
      <c r="M32" s="25"/>
    </row>
    <row r="33" customHeight="1" spans="1:13">
      <c r="A33" s="21">
        <v>45658</v>
      </c>
      <c r="B33" s="22" t="s">
        <v>5477</v>
      </c>
      <c r="C33" s="23">
        <v>45680</v>
      </c>
      <c r="D33" s="24">
        <v>0</v>
      </c>
      <c r="E33" s="22"/>
      <c r="F33" s="22" t="s">
        <v>105</v>
      </c>
      <c r="G33" s="22" t="s">
        <v>198</v>
      </c>
      <c r="H33" s="22" t="s">
        <v>11</v>
      </c>
      <c r="I33" s="22" t="s">
        <v>5473</v>
      </c>
      <c r="J33" s="22" t="s">
        <v>40</v>
      </c>
      <c r="K33" s="22">
        <v>5.18124123003696e+18</v>
      </c>
      <c r="L33" s="22" t="s">
        <v>200</v>
      </c>
      <c r="M33" s="25"/>
    </row>
    <row r="34" customHeight="1" spans="1:13">
      <c r="A34" s="21">
        <v>45658</v>
      </c>
      <c r="B34" s="22" t="s">
        <v>5477</v>
      </c>
      <c r="C34" s="23">
        <v>45680</v>
      </c>
      <c r="D34" s="24">
        <v>0</v>
      </c>
      <c r="E34" s="22"/>
      <c r="F34" s="22" t="s">
        <v>105</v>
      </c>
      <c r="G34" s="22" t="s">
        <v>201</v>
      </c>
      <c r="H34" s="22" t="s">
        <v>10</v>
      </c>
      <c r="I34" s="22" t="s">
        <v>5473</v>
      </c>
      <c r="J34" s="22" t="s">
        <v>39</v>
      </c>
      <c r="K34" s="22">
        <v>5.18124123003696e+18</v>
      </c>
      <c r="L34" s="22" t="s">
        <v>200</v>
      </c>
      <c r="M34" s="25"/>
    </row>
    <row r="35" customHeight="1" spans="1:13">
      <c r="A35" s="21">
        <v>45689</v>
      </c>
      <c r="B35" s="22" t="s">
        <v>5478</v>
      </c>
      <c r="C35" s="23">
        <v>45695</v>
      </c>
      <c r="D35" s="24">
        <v>0</v>
      </c>
      <c r="E35" s="22"/>
      <c r="F35" s="22" t="s">
        <v>105</v>
      </c>
      <c r="G35" s="22" t="s">
        <v>204</v>
      </c>
      <c r="H35" s="22" t="s">
        <v>12</v>
      </c>
      <c r="I35" s="22" t="s">
        <v>5473</v>
      </c>
      <c r="J35" s="22" t="s">
        <v>39</v>
      </c>
      <c r="K35" s="22">
        <v>5.18124103003415e+18</v>
      </c>
      <c r="L35" s="22" t="s">
        <v>206</v>
      </c>
      <c r="M35" s="25"/>
    </row>
    <row r="36" customHeight="1" spans="1:13">
      <c r="A36" s="21">
        <v>45689</v>
      </c>
      <c r="B36" s="22" t="s">
        <v>5478</v>
      </c>
      <c r="C36" s="23">
        <v>45698</v>
      </c>
      <c r="D36" s="24">
        <v>0</v>
      </c>
      <c r="E36" s="22"/>
      <c r="F36" s="22" t="s">
        <v>105</v>
      </c>
      <c r="G36" s="22" t="s">
        <v>208</v>
      </c>
      <c r="H36" s="22" t="s">
        <v>10</v>
      </c>
      <c r="I36" s="22" t="s">
        <v>5473</v>
      </c>
      <c r="J36" s="22" t="s">
        <v>39</v>
      </c>
      <c r="K36" s="22">
        <v>5.18124123103699e+18</v>
      </c>
      <c r="L36" s="22" t="s">
        <v>185</v>
      </c>
      <c r="M36" s="25"/>
    </row>
    <row r="37" customHeight="1" spans="1:13">
      <c r="A37" s="21">
        <v>45689</v>
      </c>
      <c r="B37" s="22" t="s">
        <v>5478</v>
      </c>
      <c r="C37" s="23">
        <v>45701</v>
      </c>
      <c r="D37" s="24">
        <v>0</v>
      </c>
      <c r="E37" s="22"/>
      <c r="F37" s="22" t="s">
        <v>105</v>
      </c>
      <c r="G37" s="22" t="s">
        <v>210</v>
      </c>
      <c r="H37" s="22" t="s">
        <v>11</v>
      </c>
      <c r="I37" s="22" t="s">
        <v>5473</v>
      </c>
      <c r="J37" s="22" t="s">
        <v>40</v>
      </c>
      <c r="K37" s="22">
        <v>5.18123091700081e+18</v>
      </c>
      <c r="L37" s="22" t="s">
        <v>212</v>
      </c>
      <c r="M37" s="25"/>
    </row>
    <row r="38" customHeight="1" spans="1:13">
      <c r="A38" s="21">
        <v>45689</v>
      </c>
      <c r="B38" s="22" t="s">
        <v>5478</v>
      </c>
      <c r="C38" s="23">
        <v>45701</v>
      </c>
      <c r="D38" s="24">
        <v>0</v>
      </c>
      <c r="E38" s="22"/>
      <c r="F38" s="22" t="s">
        <v>105</v>
      </c>
      <c r="G38" s="22" t="s">
        <v>214</v>
      </c>
      <c r="H38" s="22" t="s">
        <v>12</v>
      </c>
      <c r="I38" s="22" t="s">
        <v>5473</v>
      </c>
      <c r="J38" s="22" t="s">
        <v>39</v>
      </c>
      <c r="K38" s="22">
        <v>5.18123091700081e+18</v>
      </c>
      <c r="L38" s="22" t="s">
        <v>212</v>
      </c>
      <c r="M38" s="25"/>
    </row>
    <row r="39" customHeight="1" spans="1:13">
      <c r="A39" s="21">
        <v>45689</v>
      </c>
      <c r="B39" s="22" t="s">
        <v>5478</v>
      </c>
      <c r="C39" s="23">
        <v>45701</v>
      </c>
      <c r="D39" s="24">
        <v>0</v>
      </c>
      <c r="E39" s="22"/>
      <c r="F39" s="22" t="s">
        <v>105</v>
      </c>
      <c r="G39" s="22" t="s">
        <v>217</v>
      </c>
      <c r="H39" s="22" t="s">
        <v>10</v>
      </c>
      <c r="I39" s="22" t="s">
        <v>5473</v>
      </c>
      <c r="J39" s="22" t="s">
        <v>39</v>
      </c>
      <c r="K39" s="22">
        <v>5.18123091700081e+18</v>
      </c>
      <c r="L39" s="22" t="s">
        <v>212</v>
      </c>
      <c r="M39" s="25"/>
    </row>
    <row r="40" customHeight="1" spans="1:13">
      <c r="A40" s="21">
        <v>45689</v>
      </c>
      <c r="B40" s="22" t="s">
        <v>5478</v>
      </c>
      <c r="C40" s="23">
        <v>45701</v>
      </c>
      <c r="D40" s="24">
        <v>0</v>
      </c>
      <c r="E40" s="22"/>
      <c r="F40" s="22" t="s">
        <v>105</v>
      </c>
      <c r="G40" s="22" t="s">
        <v>220</v>
      </c>
      <c r="H40" s="22" t="s">
        <v>10</v>
      </c>
      <c r="I40" s="22" t="s">
        <v>5473</v>
      </c>
      <c r="J40" s="22" t="s">
        <v>39</v>
      </c>
      <c r="K40" s="22">
        <v>5.18123091700081e+18</v>
      </c>
      <c r="L40" s="22" t="s">
        <v>212</v>
      </c>
      <c r="M40" s="25"/>
    </row>
    <row r="41" customHeight="1" spans="1:13">
      <c r="A41" s="21">
        <v>45689</v>
      </c>
      <c r="B41" s="22" t="s">
        <v>5478</v>
      </c>
      <c r="C41" s="23">
        <v>45701</v>
      </c>
      <c r="D41" s="24">
        <v>0</v>
      </c>
      <c r="E41" s="22"/>
      <c r="F41" s="22" t="s">
        <v>105</v>
      </c>
      <c r="G41" s="22" t="s">
        <v>223</v>
      </c>
      <c r="H41" s="22" t="s">
        <v>12</v>
      </c>
      <c r="I41" s="22" t="s">
        <v>5473</v>
      </c>
      <c r="J41" s="22" t="s">
        <v>39</v>
      </c>
      <c r="K41" s="22">
        <v>5.18123091700081e+18</v>
      </c>
      <c r="L41" s="22" t="s">
        <v>212</v>
      </c>
      <c r="M41" s="25"/>
    </row>
    <row r="42" customHeight="1" spans="1:13">
      <c r="A42" s="21">
        <v>45689</v>
      </c>
      <c r="B42" s="22" t="s">
        <v>5478</v>
      </c>
      <c r="C42" s="23">
        <v>45701</v>
      </c>
      <c r="D42" s="24">
        <v>0</v>
      </c>
      <c r="E42" s="22"/>
      <c r="F42" s="22" t="s">
        <v>105</v>
      </c>
      <c r="G42" s="22" t="s">
        <v>226</v>
      </c>
      <c r="H42" s="22" t="s">
        <v>10</v>
      </c>
      <c r="I42" s="22" t="s">
        <v>5473</v>
      </c>
      <c r="J42" s="22" t="s">
        <v>39</v>
      </c>
      <c r="K42" s="22">
        <v>5.18123091700081e+18</v>
      </c>
      <c r="L42" s="22" t="s">
        <v>212</v>
      </c>
      <c r="M42" s="25"/>
    </row>
    <row r="43" customHeight="1" spans="1:13">
      <c r="A43" s="21">
        <v>45689</v>
      </c>
      <c r="B43" s="22" t="s">
        <v>5478</v>
      </c>
      <c r="C43" s="23">
        <v>45702</v>
      </c>
      <c r="D43" s="24">
        <v>0</v>
      </c>
      <c r="E43" s="22"/>
      <c r="F43" s="22" t="s">
        <v>105</v>
      </c>
      <c r="G43" s="22" t="s">
        <v>229</v>
      </c>
      <c r="H43" s="22" t="s">
        <v>12</v>
      </c>
      <c r="I43" s="22" t="s">
        <v>5473</v>
      </c>
      <c r="J43" s="22" t="s">
        <v>39</v>
      </c>
      <c r="K43" s="22">
        <v>5.18125011303724e+18</v>
      </c>
      <c r="L43" s="22" t="s">
        <v>231</v>
      </c>
      <c r="M43" s="25"/>
    </row>
    <row r="44" customHeight="1" spans="1:13">
      <c r="A44" s="21">
        <v>45689</v>
      </c>
      <c r="B44" s="22" t="s">
        <v>5478</v>
      </c>
      <c r="C44" s="23">
        <v>45702</v>
      </c>
      <c r="D44" s="24">
        <v>0</v>
      </c>
      <c r="E44" s="22"/>
      <c r="F44" s="22" t="s">
        <v>105</v>
      </c>
      <c r="G44" s="22" t="s">
        <v>233</v>
      </c>
      <c r="H44" s="22" t="s">
        <v>10</v>
      </c>
      <c r="I44" s="22" t="s">
        <v>5473</v>
      </c>
      <c r="J44" s="22" t="s">
        <v>39</v>
      </c>
      <c r="K44" s="22">
        <v>5.18125011303724e+18</v>
      </c>
      <c r="L44" s="22" t="s">
        <v>231</v>
      </c>
      <c r="M44" s="25"/>
    </row>
    <row r="45" customHeight="1" spans="1:13">
      <c r="A45" s="21">
        <v>45689</v>
      </c>
      <c r="B45" s="22" t="s">
        <v>5479</v>
      </c>
      <c r="C45" s="23">
        <v>45706</v>
      </c>
      <c r="D45" s="24">
        <v>0</v>
      </c>
      <c r="E45" s="22"/>
      <c r="F45" s="22" t="s">
        <v>105</v>
      </c>
      <c r="G45" s="22" t="s">
        <v>236</v>
      </c>
      <c r="H45" s="22" t="s">
        <v>10</v>
      </c>
      <c r="I45" s="22" t="s">
        <v>5473</v>
      </c>
      <c r="J45" s="22" t="s">
        <v>39</v>
      </c>
      <c r="K45" s="22">
        <v>5.18124010500166e+18</v>
      </c>
      <c r="L45" s="22" t="s">
        <v>239</v>
      </c>
      <c r="M45" s="25"/>
    </row>
    <row r="46" customHeight="1" spans="1:13">
      <c r="A46" s="21">
        <v>45689</v>
      </c>
      <c r="B46" s="22" t="s">
        <v>5479</v>
      </c>
      <c r="C46" s="23">
        <v>45706</v>
      </c>
      <c r="D46" s="24">
        <v>0</v>
      </c>
      <c r="E46" s="22"/>
      <c r="F46" s="22" t="s">
        <v>105</v>
      </c>
      <c r="G46" s="22" t="s">
        <v>240</v>
      </c>
      <c r="H46" s="22" t="s">
        <v>12</v>
      </c>
      <c r="I46" s="22" t="s">
        <v>5473</v>
      </c>
      <c r="J46" s="22" t="s">
        <v>39</v>
      </c>
      <c r="K46" s="22">
        <v>5.18124010500166e+18</v>
      </c>
      <c r="L46" s="22" t="s">
        <v>239</v>
      </c>
      <c r="M46" s="25"/>
    </row>
    <row r="47" customHeight="1" spans="1:13">
      <c r="A47" s="21">
        <v>45689</v>
      </c>
      <c r="B47" s="22" t="s">
        <v>5479</v>
      </c>
      <c r="C47" s="23">
        <v>45707</v>
      </c>
      <c r="D47" s="24">
        <v>0</v>
      </c>
      <c r="E47" s="22"/>
      <c r="F47" s="22" t="s">
        <v>105</v>
      </c>
      <c r="G47" s="22" t="s">
        <v>243</v>
      </c>
      <c r="H47" s="22" t="s">
        <v>12</v>
      </c>
      <c r="I47" s="22" t="s">
        <v>5473</v>
      </c>
      <c r="J47" s="22" t="s">
        <v>39</v>
      </c>
      <c r="K47" s="22">
        <v>5.18124062001021e+18</v>
      </c>
      <c r="L47" s="22" t="s">
        <v>245</v>
      </c>
      <c r="M47" s="25"/>
    </row>
    <row r="48" customHeight="1" spans="1:13">
      <c r="A48" s="21">
        <v>45689</v>
      </c>
      <c r="B48" s="22" t="s">
        <v>5479</v>
      </c>
      <c r="C48" s="23">
        <v>45708</v>
      </c>
      <c r="D48" s="24">
        <v>0</v>
      </c>
      <c r="E48" s="22"/>
      <c r="F48" s="22" t="s">
        <v>105</v>
      </c>
      <c r="G48" s="22" t="s">
        <v>246</v>
      </c>
      <c r="H48" s="22" t="s">
        <v>12</v>
      </c>
      <c r="I48" s="22" t="s">
        <v>5473</v>
      </c>
      <c r="J48" s="22" t="s">
        <v>39</v>
      </c>
      <c r="K48" s="22">
        <v>5.18125010103699e+18</v>
      </c>
      <c r="L48" s="22" t="s">
        <v>248</v>
      </c>
      <c r="M48" s="25"/>
    </row>
    <row r="49" customHeight="1" spans="1:13">
      <c r="A49" s="21">
        <v>45689</v>
      </c>
      <c r="B49" s="22" t="s">
        <v>5479</v>
      </c>
      <c r="C49" s="23">
        <v>45714</v>
      </c>
      <c r="D49" s="24">
        <v>0</v>
      </c>
      <c r="E49" s="22"/>
      <c r="F49" s="22" t="s">
        <v>105</v>
      </c>
      <c r="G49" s="22" t="s">
        <v>249</v>
      </c>
      <c r="H49" s="22" t="s">
        <v>10</v>
      </c>
      <c r="I49" s="22" t="s">
        <v>5473</v>
      </c>
      <c r="J49" s="22" t="s">
        <v>40</v>
      </c>
      <c r="K49" s="22">
        <v>5.18124051300336e+18</v>
      </c>
      <c r="L49" s="22" t="s">
        <v>104</v>
      </c>
      <c r="M49" s="25"/>
    </row>
    <row r="50" customHeight="1" spans="1:13">
      <c r="A50" s="21">
        <v>45717</v>
      </c>
      <c r="B50" s="22" t="s">
        <v>5480</v>
      </c>
      <c r="C50" s="23">
        <v>45719</v>
      </c>
      <c r="D50" s="24">
        <v>0</v>
      </c>
      <c r="E50" s="22"/>
      <c r="F50" s="22" t="s">
        <v>105</v>
      </c>
      <c r="G50" s="22" t="s">
        <v>251</v>
      </c>
      <c r="H50" s="22" t="s">
        <v>12</v>
      </c>
      <c r="I50" s="22" t="s">
        <v>5473</v>
      </c>
      <c r="J50" s="22" t="s">
        <v>39</v>
      </c>
      <c r="K50" s="22">
        <v>5.1812501290375e+18</v>
      </c>
      <c r="L50" s="22" t="s">
        <v>253</v>
      </c>
      <c r="M50" s="25"/>
    </row>
    <row r="51" customHeight="1" spans="1:13">
      <c r="A51" s="21">
        <v>45717</v>
      </c>
      <c r="B51" s="22" t="s">
        <v>5480</v>
      </c>
      <c r="C51" s="23">
        <v>45719</v>
      </c>
      <c r="D51" s="24">
        <v>0</v>
      </c>
      <c r="E51" s="22"/>
      <c r="F51" s="22" t="s">
        <v>105</v>
      </c>
      <c r="G51" s="22" t="s">
        <v>254</v>
      </c>
      <c r="H51" s="22" t="s">
        <v>12</v>
      </c>
      <c r="I51" s="22" t="s">
        <v>5473</v>
      </c>
      <c r="J51" s="22" t="s">
        <v>39</v>
      </c>
      <c r="K51" s="22">
        <v>5.1812501290375e+18</v>
      </c>
      <c r="L51" s="22" t="s">
        <v>253</v>
      </c>
      <c r="M51" s="25"/>
    </row>
    <row r="52" customHeight="1" spans="1:13">
      <c r="A52" s="21">
        <v>45717</v>
      </c>
      <c r="B52" s="22" t="s">
        <v>5480</v>
      </c>
      <c r="C52" s="23">
        <v>45721</v>
      </c>
      <c r="D52" s="24">
        <v>0</v>
      </c>
      <c r="E52" s="22"/>
      <c r="F52" s="22" t="s">
        <v>105</v>
      </c>
      <c r="G52" s="22" t="s">
        <v>255</v>
      </c>
      <c r="H52" s="22" t="s">
        <v>12</v>
      </c>
      <c r="I52" s="22" t="s">
        <v>5473</v>
      </c>
      <c r="J52" s="22" t="s">
        <v>39</v>
      </c>
      <c r="K52" s="22">
        <v>5.18124090602525e+18</v>
      </c>
      <c r="L52" s="22" t="s">
        <v>228</v>
      </c>
      <c r="M52" s="25"/>
    </row>
    <row r="53" customHeight="1" spans="1:13">
      <c r="A53" s="21">
        <v>45717</v>
      </c>
      <c r="B53" s="22" t="s">
        <v>5480</v>
      </c>
      <c r="C53" s="23">
        <v>45721</v>
      </c>
      <c r="D53" s="24">
        <v>0</v>
      </c>
      <c r="E53" s="22"/>
      <c r="F53" s="22" t="s">
        <v>105</v>
      </c>
      <c r="G53" s="22" t="s">
        <v>256</v>
      </c>
      <c r="H53" s="22" t="s">
        <v>12</v>
      </c>
      <c r="I53" s="22" t="s">
        <v>5473</v>
      </c>
      <c r="J53" s="22" t="s">
        <v>39</v>
      </c>
      <c r="K53" s="22">
        <v>5.18124090602525e+18</v>
      </c>
      <c r="L53" s="22" t="s">
        <v>228</v>
      </c>
      <c r="M53" s="25"/>
    </row>
    <row r="54" customHeight="1" spans="1:13">
      <c r="A54" s="21">
        <v>45717</v>
      </c>
      <c r="B54" s="22" t="s">
        <v>5480</v>
      </c>
      <c r="C54" s="23">
        <v>45721</v>
      </c>
      <c r="D54" s="24">
        <v>0</v>
      </c>
      <c r="E54" s="22"/>
      <c r="F54" s="22" t="s">
        <v>105</v>
      </c>
      <c r="G54" s="22" t="s">
        <v>258</v>
      </c>
      <c r="H54" s="22" t="s">
        <v>12</v>
      </c>
      <c r="I54" s="22" t="s">
        <v>5473</v>
      </c>
      <c r="J54" s="22" t="s">
        <v>39</v>
      </c>
      <c r="K54" s="22">
        <v>5.18124090602525e+18</v>
      </c>
      <c r="L54" s="22" t="s">
        <v>228</v>
      </c>
      <c r="M54" s="25"/>
    </row>
    <row r="55" customHeight="1" spans="1:13">
      <c r="A55" s="21">
        <v>45717</v>
      </c>
      <c r="B55" s="22" t="s">
        <v>5480</v>
      </c>
      <c r="C55" s="23">
        <v>45721</v>
      </c>
      <c r="D55" s="24">
        <v>0</v>
      </c>
      <c r="E55" s="22"/>
      <c r="F55" s="22" t="s">
        <v>105</v>
      </c>
      <c r="G55" s="22" t="s">
        <v>262</v>
      </c>
      <c r="H55" s="22" t="s">
        <v>12</v>
      </c>
      <c r="I55" s="22" t="s">
        <v>5473</v>
      </c>
      <c r="J55" s="22" t="s">
        <v>39</v>
      </c>
      <c r="K55" s="22">
        <v>5.18124090602525e+18</v>
      </c>
      <c r="L55" s="22" t="s">
        <v>228</v>
      </c>
      <c r="M55" s="25"/>
    </row>
    <row r="56" customHeight="1" spans="1:13">
      <c r="A56" s="21">
        <v>45717</v>
      </c>
      <c r="B56" s="22" t="s">
        <v>5480</v>
      </c>
      <c r="C56" s="23">
        <v>45723</v>
      </c>
      <c r="D56" s="24">
        <v>0</v>
      </c>
      <c r="E56" s="22"/>
      <c r="F56" s="22" t="s">
        <v>105</v>
      </c>
      <c r="G56" s="22" t="s">
        <v>266</v>
      </c>
      <c r="H56" s="22" t="s">
        <v>12</v>
      </c>
      <c r="I56" s="22" t="s">
        <v>5473</v>
      </c>
      <c r="J56" s="22" t="s">
        <v>39</v>
      </c>
      <c r="K56" s="22">
        <v>5.18125010103699e+18</v>
      </c>
      <c r="L56" s="22" t="s">
        <v>248</v>
      </c>
      <c r="M56" s="25"/>
    </row>
    <row r="57" customHeight="1" spans="1:13">
      <c r="A57" s="21">
        <v>45717</v>
      </c>
      <c r="B57" s="22" t="s">
        <v>5480</v>
      </c>
      <c r="C57" s="23">
        <v>45726</v>
      </c>
      <c r="D57" s="24">
        <v>0</v>
      </c>
      <c r="E57" s="22"/>
      <c r="F57" s="22" t="s">
        <v>105</v>
      </c>
      <c r="G57" s="22" t="s">
        <v>267</v>
      </c>
      <c r="H57" s="22" t="s">
        <v>12</v>
      </c>
      <c r="I57" s="22" t="s">
        <v>5473</v>
      </c>
      <c r="J57" s="22" t="s">
        <v>39</v>
      </c>
      <c r="K57" s="22">
        <v>5.18123031700331e+18</v>
      </c>
      <c r="L57" s="22" t="s">
        <v>269</v>
      </c>
      <c r="M57" s="25"/>
    </row>
    <row r="58" customHeight="1" spans="1:13">
      <c r="A58" s="21">
        <v>45717</v>
      </c>
      <c r="B58" s="22" t="s">
        <v>5480</v>
      </c>
      <c r="C58" s="23">
        <v>45727</v>
      </c>
      <c r="D58" s="24">
        <v>0</v>
      </c>
      <c r="E58" s="22"/>
      <c r="F58" s="22" t="s">
        <v>105</v>
      </c>
      <c r="G58" s="22" t="s">
        <v>271</v>
      </c>
      <c r="H58" s="22" t="s">
        <v>12</v>
      </c>
      <c r="I58" s="22" t="s">
        <v>5473</v>
      </c>
      <c r="J58" s="22" t="s">
        <v>39</v>
      </c>
      <c r="K58" s="22">
        <v>5.18122120100291e+18</v>
      </c>
      <c r="L58" s="22" t="s">
        <v>273</v>
      </c>
      <c r="M58" s="25"/>
    </row>
    <row r="59" customHeight="1" spans="1:13">
      <c r="A59" s="21">
        <v>45717</v>
      </c>
      <c r="B59" s="22" t="s">
        <v>5480</v>
      </c>
      <c r="C59" s="23">
        <v>45730</v>
      </c>
      <c r="D59" s="24">
        <v>0</v>
      </c>
      <c r="E59" s="22"/>
      <c r="F59" s="22" t="s">
        <v>105</v>
      </c>
      <c r="G59" s="22" t="s">
        <v>275</v>
      </c>
      <c r="H59" s="22" t="s">
        <v>10</v>
      </c>
      <c r="I59" s="22" t="s">
        <v>5473</v>
      </c>
      <c r="J59" s="22" t="s">
        <v>41</v>
      </c>
      <c r="K59" s="24">
        <v>0</v>
      </c>
      <c r="L59" s="26" t="e">
        <v>#N/A</v>
      </c>
      <c r="M59" s="25"/>
    </row>
    <row r="60" customHeight="1" spans="1:13">
      <c r="A60" s="21">
        <v>45717</v>
      </c>
      <c r="B60" s="22" t="s">
        <v>5480</v>
      </c>
      <c r="C60" s="23">
        <v>45730</v>
      </c>
      <c r="D60" s="24">
        <v>0</v>
      </c>
      <c r="E60" s="22"/>
      <c r="F60" s="22" t="s">
        <v>7</v>
      </c>
      <c r="G60" s="22" t="s">
        <v>276</v>
      </c>
      <c r="H60" s="22" t="s">
        <v>11</v>
      </c>
      <c r="I60" s="22" t="s">
        <v>5473</v>
      </c>
      <c r="J60" s="22" t="s">
        <v>41</v>
      </c>
      <c r="K60" s="24">
        <v>0</v>
      </c>
      <c r="L60" s="26" t="e">
        <v>#N/A</v>
      </c>
      <c r="M60" s="25"/>
    </row>
    <row r="61" customHeight="1" spans="1:13">
      <c r="A61" s="21">
        <v>45717</v>
      </c>
      <c r="B61" s="22" t="s">
        <v>5481</v>
      </c>
      <c r="C61" s="23">
        <v>45735</v>
      </c>
      <c r="D61" s="24">
        <v>0</v>
      </c>
      <c r="E61" s="22"/>
      <c r="F61" s="22" t="s">
        <v>105</v>
      </c>
      <c r="G61" s="22" t="s">
        <v>280</v>
      </c>
      <c r="H61" s="22" t="s">
        <v>10</v>
      </c>
      <c r="I61" s="22" t="s">
        <v>5473</v>
      </c>
      <c r="J61" s="22" t="s">
        <v>39</v>
      </c>
      <c r="K61" s="22">
        <v>5.18124032300277e+18</v>
      </c>
      <c r="L61" s="22" t="s">
        <v>282</v>
      </c>
      <c r="M61" s="25"/>
    </row>
    <row r="62" customHeight="1" spans="1:13">
      <c r="A62" s="21">
        <v>45717</v>
      </c>
      <c r="B62" s="22" t="s">
        <v>5481</v>
      </c>
      <c r="C62" s="23">
        <v>45736</v>
      </c>
      <c r="D62" s="24">
        <v>0</v>
      </c>
      <c r="E62" s="22"/>
      <c r="F62" s="22" t="s">
        <v>105</v>
      </c>
      <c r="G62" s="22" t="s">
        <v>283</v>
      </c>
      <c r="H62" s="22" t="s">
        <v>10</v>
      </c>
      <c r="I62" s="22" t="s">
        <v>5473</v>
      </c>
      <c r="J62" s="22" t="s">
        <v>39</v>
      </c>
      <c r="K62" s="22">
        <v>5.18123121200142e+18</v>
      </c>
      <c r="L62" s="22" t="s">
        <v>285</v>
      </c>
      <c r="M62" s="25"/>
    </row>
    <row r="63" customHeight="1" spans="1:13">
      <c r="A63" s="21">
        <v>45717</v>
      </c>
      <c r="B63" s="22" t="s">
        <v>5481</v>
      </c>
      <c r="C63" s="23">
        <v>45736</v>
      </c>
      <c r="D63" s="24">
        <v>0</v>
      </c>
      <c r="E63" s="22"/>
      <c r="F63" s="22" t="s">
        <v>105</v>
      </c>
      <c r="G63" s="22" t="s">
        <v>286</v>
      </c>
      <c r="H63" s="22" t="s">
        <v>10</v>
      </c>
      <c r="I63" s="22" t="s">
        <v>5473</v>
      </c>
      <c r="J63" s="22" t="s">
        <v>39</v>
      </c>
      <c r="K63" s="22">
        <v>5.18123121200142e+18</v>
      </c>
      <c r="L63" s="22" t="s">
        <v>285</v>
      </c>
      <c r="M63" s="25"/>
    </row>
    <row r="64" customHeight="1" spans="1:13">
      <c r="A64" s="21">
        <v>45717</v>
      </c>
      <c r="B64" s="22" t="s">
        <v>5481</v>
      </c>
      <c r="C64" s="23">
        <v>45736</v>
      </c>
      <c r="D64" s="24">
        <v>0</v>
      </c>
      <c r="E64" s="22"/>
      <c r="F64" s="22" t="s">
        <v>7</v>
      </c>
      <c r="G64" s="22" t="s">
        <v>289</v>
      </c>
      <c r="H64" s="22" t="s">
        <v>11</v>
      </c>
      <c r="I64" s="22" t="s">
        <v>5473</v>
      </c>
      <c r="J64" s="22" t="s">
        <v>41</v>
      </c>
      <c r="K64" s="22">
        <v>5.18123121200142e+18</v>
      </c>
      <c r="L64" s="22" t="s">
        <v>285</v>
      </c>
      <c r="M64" s="25"/>
    </row>
    <row r="65" customHeight="1" spans="1:13">
      <c r="A65" s="21">
        <v>45717</v>
      </c>
      <c r="B65" s="22" t="s">
        <v>5481</v>
      </c>
      <c r="C65" s="23">
        <v>45740</v>
      </c>
      <c r="D65" s="24">
        <v>0</v>
      </c>
      <c r="E65" s="22"/>
      <c r="F65" s="22" t="s">
        <v>105</v>
      </c>
      <c r="G65" s="22" t="s">
        <v>293</v>
      </c>
      <c r="H65" s="22" t="s">
        <v>10</v>
      </c>
      <c r="I65" s="22" t="s">
        <v>5473</v>
      </c>
      <c r="J65" s="22" t="s">
        <v>40</v>
      </c>
      <c r="K65" s="22">
        <v>5.18124120403625e+18</v>
      </c>
      <c r="L65" s="22" t="s">
        <v>295</v>
      </c>
      <c r="M65" s="25"/>
    </row>
    <row r="66" customHeight="1" spans="1:13">
      <c r="A66" s="21">
        <v>45717</v>
      </c>
      <c r="B66" s="22" t="s">
        <v>5481</v>
      </c>
      <c r="C66" s="23">
        <v>45740</v>
      </c>
      <c r="D66" s="24">
        <v>0</v>
      </c>
      <c r="E66" s="22"/>
      <c r="F66" s="22" t="s">
        <v>105</v>
      </c>
      <c r="G66" s="22" t="s">
        <v>306</v>
      </c>
      <c r="H66" s="22" t="s">
        <v>12</v>
      </c>
      <c r="I66" s="22" t="s">
        <v>5473</v>
      </c>
      <c r="J66" s="22" t="s">
        <v>39</v>
      </c>
      <c r="K66" s="22">
        <v>5.18124120403625e+18</v>
      </c>
      <c r="L66" s="22" t="s">
        <v>295</v>
      </c>
      <c r="M66" s="25"/>
    </row>
    <row r="67" customHeight="1" spans="1:13">
      <c r="A67" s="21">
        <v>45717</v>
      </c>
      <c r="B67" s="22" t="s">
        <v>5481</v>
      </c>
      <c r="C67" s="23">
        <v>45740</v>
      </c>
      <c r="D67" s="24">
        <v>0</v>
      </c>
      <c r="E67" s="22"/>
      <c r="F67" s="22" t="s">
        <v>105</v>
      </c>
      <c r="G67" s="22" t="s">
        <v>309</v>
      </c>
      <c r="H67" s="22" t="s">
        <v>12</v>
      </c>
      <c r="I67" s="22" t="s">
        <v>5473</v>
      </c>
      <c r="J67" s="22" t="s">
        <v>39</v>
      </c>
      <c r="K67" s="22">
        <v>5.18124120403625e+18</v>
      </c>
      <c r="L67" s="22" t="s">
        <v>295</v>
      </c>
      <c r="M67" s="25"/>
    </row>
    <row r="68" customHeight="1" spans="1:13">
      <c r="A68" s="21">
        <v>45717</v>
      </c>
      <c r="B68" s="22" t="s">
        <v>5481</v>
      </c>
      <c r="C68" s="23">
        <v>45740</v>
      </c>
      <c r="D68" s="24">
        <v>0</v>
      </c>
      <c r="E68" s="22"/>
      <c r="F68" s="22" t="s">
        <v>105</v>
      </c>
      <c r="G68" s="22" t="s">
        <v>312</v>
      </c>
      <c r="H68" s="22" t="s">
        <v>12</v>
      </c>
      <c r="I68" s="22" t="s">
        <v>5473</v>
      </c>
      <c r="J68" s="22" t="s">
        <v>39</v>
      </c>
      <c r="K68" s="22">
        <v>5.18124120403625e+18</v>
      </c>
      <c r="L68" s="22" t="s">
        <v>295</v>
      </c>
      <c r="M68" s="25"/>
    </row>
    <row r="69" customHeight="1" spans="1:13">
      <c r="A69" s="21">
        <v>45717</v>
      </c>
      <c r="B69" s="22" t="s">
        <v>5481</v>
      </c>
      <c r="C69" s="23">
        <v>45740</v>
      </c>
      <c r="D69" s="24">
        <v>0</v>
      </c>
      <c r="E69" s="22"/>
      <c r="F69" s="22" t="s">
        <v>105</v>
      </c>
      <c r="G69" s="22" t="s">
        <v>313</v>
      </c>
      <c r="H69" s="22" t="s">
        <v>12</v>
      </c>
      <c r="I69" s="22" t="s">
        <v>5473</v>
      </c>
      <c r="J69" s="22" t="s">
        <v>39</v>
      </c>
      <c r="K69" s="22">
        <v>5.18124120403625e+18</v>
      </c>
      <c r="L69" s="22" t="s">
        <v>295</v>
      </c>
      <c r="M69" s="25"/>
    </row>
    <row r="70" customHeight="1" spans="1:13">
      <c r="A70" s="21">
        <v>45717</v>
      </c>
      <c r="B70" s="22" t="s">
        <v>5481</v>
      </c>
      <c r="C70" s="23">
        <v>45740</v>
      </c>
      <c r="D70" s="24">
        <v>0</v>
      </c>
      <c r="E70" s="22"/>
      <c r="F70" s="22" t="s">
        <v>105</v>
      </c>
      <c r="G70" s="22" t="s">
        <v>316</v>
      </c>
      <c r="H70" s="22" t="s">
        <v>10</v>
      </c>
      <c r="I70" s="22" t="s">
        <v>5473</v>
      </c>
      <c r="J70" s="22" t="s">
        <v>39</v>
      </c>
      <c r="K70" s="22">
        <v>5.18124120403625e+18</v>
      </c>
      <c r="L70" s="22" t="s">
        <v>295</v>
      </c>
      <c r="M70" s="25"/>
    </row>
    <row r="71" customHeight="1" spans="1:13">
      <c r="A71" s="21">
        <v>45717</v>
      </c>
      <c r="B71" s="22" t="s">
        <v>5481</v>
      </c>
      <c r="C71" s="23">
        <v>45740</v>
      </c>
      <c r="D71" s="24">
        <v>0</v>
      </c>
      <c r="E71" s="22"/>
      <c r="F71" s="22" t="s">
        <v>105</v>
      </c>
      <c r="G71" s="22" t="s">
        <v>319</v>
      </c>
      <c r="H71" s="22" t="s">
        <v>12</v>
      </c>
      <c r="I71" s="22" t="s">
        <v>5473</v>
      </c>
      <c r="J71" s="22" t="s">
        <v>39</v>
      </c>
      <c r="K71" s="22">
        <v>5.18124120403625e+18</v>
      </c>
      <c r="L71" s="22" t="s">
        <v>295</v>
      </c>
      <c r="M71" s="25"/>
    </row>
    <row r="72" customHeight="1" spans="1:13">
      <c r="A72" s="21">
        <v>45748</v>
      </c>
      <c r="B72" s="22" t="s">
        <v>5482</v>
      </c>
      <c r="C72" s="23">
        <v>45750</v>
      </c>
      <c r="D72" s="24">
        <v>0</v>
      </c>
      <c r="E72" s="22"/>
      <c r="F72" s="22" t="s">
        <v>105</v>
      </c>
      <c r="G72" s="22" t="s">
        <v>322</v>
      </c>
      <c r="H72" s="22" t="s">
        <v>12</v>
      </c>
      <c r="I72" s="22" t="s">
        <v>5473</v>
      </c>
      <c r="J72" s="22" t="s">
        <v>39</v>
      </c>
      <c r="K72" s="22">
        <v>5.18125021703786e+18</v>
      </c>
      <c r="L72" s="22" t="s">
        <v>324</v>
      </c>
      <c r="M72" s="25"/>
    </row>
    <row r="73" customHeight="1" spans="1:13">
      <c r="A73" s="21">
        <v>45748</v>
      </c>
      <c r="B73" s="22" t="s">
        <v>5482</v>
      </c>
      <c r="C73" s="23">
        <v>45751</v>
      </c>
      <c r="D73" s="24">
        <v>0</v>
      </c>
      <c r="E73" s="22"/>
      <c r="F73" s="22" t="s">
        <v>105</v>
      </c>
      <c r="G73" s="22" t="s">
        <v>325</v>
      </c>
      <c r="H73" s="22" t="s">
        <v>11</v>
      </c>
      <c r="I73" s="22" t="s">
        <v>5473</v>
      </c>
      <c r="J73" s="22" t="s">
        <v>40</v>
      </c>
      <c r="K73" s="22">
        <v>5.18125040103975e+18</v>
      </c>
      <c r="L73" s="22" t="s">
        <v>327</v>
      </c>
      <c r="M73" s="25"/>
    </row>
    <row r="74" customHeight="1" spans="1:13">
      <c r="A74" s="21">
        <v>45748</v>
      </c>
      <c r="B74" s="22" t="s">
        <v>5482</v>
      </c>
      <c r="C74" s="23">
        <v>45755</v>
      </c>
      <c r="D74" s="24">
        <v>0</v>
      </c>
      <c r="E74" s="22"/>
      <c r="F74" s="22" t="s">
        <v>105</v>
      </c>
      <c r="G74" s="22" t="s">
        <v>328</v>
      </c>
      <c r="H74" s="22" t="s">
        <v>12</v>
      </c>
      <c r="I74" s="22" t="s">
        <v>5473</v>
      </c>
      <c r="J74" s="22" t="s">
        <v>39</v>
      </c>
      <c r="K74" s="22">
        <v>5.18125022203809e+18</v>
      </c>
      <c r="L74" s="22" t="s">
        <v>330</v>
      </c>
      <c r="M74" s="25"/>
    </row>
    <row r="75" customHeight="1" spans="1:13">
      <c r="A75" s="21">
        <v>45748</v>
      </c>
      <c r="B75" s="22" t="s">
        <v>5482</v>
      </c>
      <c r="C75" s="23">
        <v>45757</v>
      </c>
      <c r="D75" s="24">
        <v>0</v>
      </c>
      <c r="E75" s="22"/>
      <c r="F75" s="22" t="s">
        <v>105</v>
      </c>
      <c r="G75" s="22" t="s">
        <v>331</v>
      </c>
      <c r="H75" s="22" t="s">
        <v>10</v>
      </c>
      <c r="I75" s="22" t="s">
        <v>5473</v>
      </c>
      <c r="J75" s="22" t="s">
        <v>39</v>
      </c>
      <c r="K75" s="22">
        <v>5.18124042100318e+18</v>
      </c>
      <c r="L75" s="22" t="s">
        <v>333</v>
      </c>
      <c r="M75" s="25"/>
    </row>
    <row r="76" customHeight="1" spans="1:13">
      <c r="A76" s="21">
        <v>45748</v>
      </c>
      <c r="B76" s="22" t="s">
        <v>5482</v>
      </c>
      <c r="C76" s="23">
        <v>45762</v>
      </c>
      <c r="D76" s="24">
        <v>0</v>
      </c>
      <c r="E76" s="22"/>
      <c r="F76" s="22" t="s">
        <v>105</v>
      </c>
      <c r="G76" s="22" t="s">
        <v>334</v>
      </c>
      <c r="H76" s="22" t="s">
        <v>10</v>
      </c>
      <c r="I76" s="22" t="s">
        <v>5473</v>
      </c>
      <c r="J76" s="22" t="s">
        <v>40</v>
      </c>
      <c r="K76" s="22">
        <v>5.18124040700297e+18</v>
      </c>
      <c r="L76" s="22" t="s">
        <v>336</v>
      </c>
      <c r="M76" s="25"/>
    </row>
    <row r="77" customHeight="1" spans="1:13">
      <c r="A77" s="21">
        <v>45748</v>
      </c>
      <c r="B77" s="22" t="s">
        <v>5483</v>
      </c>
      <c r="C77" s="23">
        <v>45769</v>
      </c>
      <c r="D77" s="24">
        <v>0</v>
      </c>
      <c r="E77" s="22"/>
      <c r="F77" s="22" t="s">
        <v>105</v>
      </c>
      <c r="G77" s="22" t="s">
        <v>337</v>
      </c>
      <c r="H77" s="22" t="s">
        <v>12</v>
      </c>
      <c r="I77" s="22" t="s">
        <v>5473</v>
      </c>
      <c r="J77" s="22" t="s">
        <v>39</v>
      </c>
      <c r="K77" s="22">
        <v>5.18124061500716e+18</v>
      </c>
      <c r="L77" s="22" t="s">
        <v>339</v>
      </c>
      <c r="M77" s="25"/>
    </row>
    <row r="78" customHeight="1" spans="1:13">
      <c r="A78" s="21">
        <v>45748</v>
      </c>
      <c r="B78" s="22" t="s">
        <v>5483</v>
      </c>
      <c r="C78" s="23">
        <v>45769</v>
      </c>
      <c r="D78" s="24">
        <v>0</v>
      </c>
      <c r="E78" s="22"/>
      <c r="F78" s="22" t="s">
        <v>105</v>
      </c>
      <c r="G78" s="22" t="s">
        <v>340</v>
      </c>
      <c r="H78" s="22" t="s">
        <v>10</v>
      </c>
      <c r="I78" s="22" t="s">
        <v>5473</v>
      </c>
      <c r="J78" s="22" t="s">
        <v>39</v>
      </c>
      <c r="K78" s="22">
        <v>5.18124061500716e+18</v>
      </c>
      <c r="L78" s="22" t="s">
        <v>339</v>
      </c>
      <c r="M78" s="25"/>
    </row>
    <row r="79" customHeight="1" spans="1:13">
      <c r="A79" s="21">
        <v>45748</v>
      </c>
      <c r="B79" s="22" t="s">
        <v>5483</v>
      </c>
      <c r="C79" s="23">
        <v>45769</v>
      </c>
      <c r="D79" s="24">
        <v>0</v>
      </c>
      <c r="E79" s="22"/>
      <c r="F79" s="22" t="s">
        <v>105</v>
      </c>
      <c r="G79" s="22" t="s">
        <v>343</v>
      </c>
      <c r="H79" s="22" t="s">
        <v>10</v>
      </c>
      <c r="I79" s="22" t="s">
        <v>5473</v>
      </c>
      <c r="J79" s="22" t="s">
        <v>39</v>
      </c>
      <c r="K79" s="22">
        <v>5.18124061500716e+18</v>
      </c>
      <c r="L79" s="22" t="s">
        <v>339</v>
      </c>
      <c r="M79" s="25"/>
    </row>
    <row r="80" customHeight="1" spans="1:13">
      <c r="A80" s="21">
        <v>45748</v>
      </c>
      <c r="B80" s="22" t="s">
        <v>5483</v>
      </c>
      <c r="C80" s="23">
        <v>45769</v>
      </c>
      <c r="D80" s="24">
        <v>0</v>
      </c>
      <c r="E80" s="22"/>
      <c r="F80" s="22" t="s">
        <v>105</v>
      </c>
      <c r="G80" s="22" t="s">
        <v>347</v>
      </c>
      <c r="H80" s="22" t="s">
        <v>12</v>
      </c>
      <c r="I80" s="22" t="s">
        <v>5473</v>
      </c>
      <c r="J80" s="22" t="s">
        <v>39</v>
      </c>
      <c r="K80" s="22">
        <v>5.18124061500716e+18</v>
      </c>
      <c r="L80" s="22" t="s">
        <v>339</v>
      </c>
      <c r="M80" s="25"/>
    </row>
    <row r="81" customHeight="1" spans="1:13">
      <c r="A81" s="21">
        <v>45748</v>
      </c>
      <c r="B81" s="22" t="s">
        <v>5483</v>
      </c>
      <c r="C81" s="23">
        <v>45769</v>
      </c>
      <c r="D81" s="24">
        <v>0</v>
      </c>
      <c r="E81" s="22"/>
      <c r="F81" s="22" t="s">
        <v>105</v>
      </c>
      <c r="G81" s="22" t="s">
        <v>351</v>
      </c>
      <c r="H81" s="22" t="s">
        <v>12</v>
      </c>
      <c r="I81" s="22" t="s">
        <v>5473</v>
      </c>
      <c r="J81" s="22" t="s">
        <v>39</v>
      </c>
      <c r="K81" s="22">
        <v>5.18124061500716e+18</v>
      </c>
      <c r="L81" s="22" t="s">
        <v>339</v>
      </c>
      <c r="M81" s="25"/>
    </row>
    <row r="82" customHeight="1" spans="1:13">
      <c r="A82" s="21">
        <v>45748</v>
      </c>
      <c r="B82" s="22" t="s">
        <v>5483</v>
      </c>
      <c r="C82" s="23">
        <v>45770</v>
      </c>
      <c r="D82" s="24">
        <v>0</v>
      </c>
      <c r="E82" s="22"/>
      <c r="F82" s="22" t="s">
        <v>105</v>
      </c>
      <c r="G82" s="22" t="s">
        <v>354</v>
      </c>
      <c r="H82" s="22" t="s">
        <v>12</v>
      </c>
      <c r="I82" s="22" t="s">
        <v>5473</v>
      </c>
      <c r="J82" s="22" t="s">
        <v>39</v>
      </c>
      <c r="K82" s="22">
        <v>5.18122061500184e+18</v>
      </c>
      <c r="L82" s="22" t="s">
        <v>297</v>
      </c>
      <c r="M82" s="25"/>
    </row>
    <row r="83" customHeight="1" spans="1:13">
      <c r="A83" s="21">
        <v>45748</v>
      </c>
      <c r="B83" s="22" t="s">
        <v>5483</v>
      </c>
      <c r="C83" s="23">
        <v>45771</v>
      </c>
      <c r="D83" s="24">
        <v>0</v>
      </c>
      <c r="E83" s="22"/>
      <c r="F83" s="22" t="s">
        <v>105</v>
      </c>
      <c r="G83" s="22" t="s">
        <v>355</v>
      </c>
      <c r="H83" s="22" t="s">
        <v>10</v>
      </c>
      <c r="I83" s="22" t="s">
        <v>5473</v>
      </c>
      <c r="J83" s="22" t="s">
        <v>39</v>
      </c>
      <c r="K83" s="22">
        <v>5.18122011700063e+18</v>
      </c>
      <c r="L83" s="22" t="s">
        <v>357</v>
      </c>
      <c r="M83" s="25"/>
    </row>
    <row r="84" customHeight="1" spans="1:13">
      <c r="A84" s="21">
        <v>45748</v>
      </c>
      <c r="B84" s="22" t="s">
        <v>5483</v>
      </c>
      <c r="C84" s="23">
        <v>45771</v>
      </c>
      <c r="D84" s="24">
        <v>0</v>
      </c>
      <c r="E84" s="22"/>
      <c r="F84" s="22" t="s">
        <v>105</v>
      </c>
      <c r="G84" s="22" t="s">
        <v>358</v>
      </c>
      <c r="H84" s="22" t="s">
        <v>12</v>
      </c>
      <c r="I84" s="22" t="s">
        <v>5473</v>
      </c>
      <c r="J84" s="22" t="s">
        <v>39</v>
      </c>
      <c r="K84" s="22">
        <v>5.18122011700063e+18</v>
      </c>
      <c r="L84" s="22" t="s">
        <v>357</v>
      </c>
      <c r="M84" s="25"/>
    </row>
    <row r="85" customHeight="1" spans="1:13">
      <c r="A85" s="21">
        <v>45748</v>
      </c>
      <c r="B85" s="22" t="s">
        <v>5483</v>
      </c>
      <c r="C85" s="23">
        <v>45771</v>
      </c>
      <c r="D85" s="24">
        <v>0</v>
      </c>
      <c r="E85" s="22"/>
      <c r="F85" s="22" t="s">
        <v>105</v>
      </c>
      <c r="G85" s="22" t="s">
        <v>361</v>
      </c>
      <c r="H85" s="22" t="s">
        <v>12</v>
      </c>
      <c r="I85" s="22" t="s">
        <v>5473</v>
      </c>
      <c r="J85" s="22" t="s">
        <v>39</v>
      </c>
      <c r="K85" s="22">
        <v>5.18122011700063e+18</v>
      </c>
      <c r="L85" s="22" t="s">
        <v>357</v>
      </c>
      <c r="M85" s="25"/>
    </row>
    <row r="86" customHeight="1" spans="1:13">
      <c r="A86" s="21">
        <v>45748</v>
      </c>
      <c r="B86" s="22" t="s">
        <v>5483</v>
      </c>
      <c r="C86" s="23">
        <v>45771</v>
      </c>
      <c r="D86" s="24">
        <v>0</v>
      </c>
      <c r="E86" s="22"/>
      <c r="F86" s="22" t="s">
        <v>105</v>
      </c>
      <c r="G86" s="22" t="s">
        <v>364</v>
      </c>
      <c r="H86" s="22" t="s">
        <v>10</v>
      </c>
      <c r="I86" s="22" t="s">
        <v>5473</v>
      </c>
      <c r="J86" s="22" t="s">
        <v>39</v>
      </c>
      <c r="K86" s="22">
        <v>5.18122011700063e+18</v>
      </c>
      <c r="L86" s="22" t="s">
        <v>357</v>
      </c>
      <c r="M86" s="25"/>
    </row>
    <row r="87" customHeight="1" spans="1:13">
      <c r="A87" s="21">
        <v>45748</v>
      </c>
      <c r="B87" s="22" t="s">
        <v>5483</v>
      </c>
      <c r="C87" s="23">
        <v>45771</v>
      </c>
      <c r="D87" s="24">
        <v>0</v>
      </c>
      <c r="E87" s="22"/>
      <c r="F87" s="22" t="s">
        <v>105</v>
      </c>
      <c r="G87" s="22" t="s">
        <v>365</v>
      </c>
      <c r="H87" s="22" t="s">
        <v>12</v>
      </c>
      <c r="I87" s="22" t="s">
        <v>5473</v>
      </c>
      <c r="J87" s="22" t="s">
        <v>39</v>
      </c>
      <c r="K87" s="22">
        <v>5.18122011700063e+18</v>
      </c>
      <c r="L87" s="22" t="s">
        <v>357</v>
      </c>
      <c r="M87" s="25"/>
    </row>
    <row r="88" customHeight="1" spans="1:13">
      <c r="A88" s="21">
        <v>45748</v>
      </c>
      <c r="B88" s="22" t="s">
        <v>5483</v>
      </c>
      <c r="C88" s="23">
        <v>45771</v>
      </c>
      <c r="D88" s="24">
        <v>0</v>
      </c>
      <c r="E88" s="22"/>
      <c r="F88" s="22" t="s">
        <v>105</v>
      </c>
      <c r="G88" s="22" t="s">
        <v>368</v>
      </c>
      <c r="H88" s="22" t="s">
        <v>12</v>
      </c>
      <c r="I88" s="22" t="s">
        <v>5473</v>
      </c>
      <c r="J88" s="22" t="s">
        <v>39</v>
      </c>
      <c r="K88" s="22">
        <v>5.18122011700063e+18</v>
      </c>
      <c r="L88" s="22" t="s">
        <v>357</v>
      </c>
      <c r="M88" s="25"/>
    </row>
    <row r="89" customHeight="1" spans="1:13">
      <c r="A89" s="21">
        <v>45748</v>
      </c>
      <c r="B89" s="22" t="s">
        <v>5483</v>
      </c>
      <c r="C89" s="23">
        <v>45772</v>
      </c>
      <c r="D89" s="24">
        <v>0</v>
      </c>
      <c r="E89" s="22"/>
      <c r="F89" s="22" t="s">
        <v>105</v>
      </c>
      <c r="G89" s="22" t="s">
        <v>372</v>
      </c>
      <c r="H89" s="22" t="s">
        <v>12</v>
      </c>
      <c r="I89" s="22" t="s">
        <v>5473</v>
      </c>
      <c r="J89" s="22" t="s">
        <v>39</v>
      </c>
      <c r="K89" s="22">
        <v>5.18124103003414e+18</v>
      </c>
      <c r="L89" s="22" t="s">
        <v>374</v>
      </c>
      <c r="M89" s="25"/>
    </row>
    <row r="90" customHeight="1" spans="1:13">
      <c r="A90" s="21">
        <v>45748</v>
      </c>
      <c r="B90" s="22" t="s">
        <v>5483</v>
      </c>
      <c r="C90" s="23">
        <v>45775</v>
      </c>
      <c r="D90" s="24">
        <v>0</v>
      </c>
      <c r="E90" s="22"/>
      <c r="F90" s="22" t="s">
        <v>105</v>
      </c>
      <c r="G90" s="22" t="s">
        <v>375</v>
      </c>
      <c r="H90" s="22" t="s">
        <v>12</v>
      </c>
      <c r="I90" s="22" t="s">
        <v>5473</v>
      </c>
      <c r="J90" s="22" t="s">
        <v>39</v>
      </c>
      <c r="K90" s="22">
        <v>5.18125030703867e+18</v>
      </c>
      <c r="L90" s="22" t="s">
        <v>377</v>
      </c>
      <c r="M90" s="25"/>
    </row>
    <row r="91" customHeight="1" spans="1:13">
      <c r="A91" s="21">
        <v>45748</v>
      </c>
      <c r="B91" s="22" t="s">
        <v>5483</v>
      </c>
      <c r="C91" s="23">
        <v>45775</v>
      </c>
      <c r="D91" s="24">
        <v>0</v>
      </c>
      <c r="E91" s="22"/>
      <c r="F91" s="22" t="s">
        <v>105</v>
      </c>
      <c r="G91" s="22" t="s">
        <v>378</v>
      </c>
      <c r="H91" s="22" t="s">
        <v>10</v>
      </c>
      <c r="I91" s="22" t="s">
        <v>5473</v>
      </c>
      <c r="J91" s="22" t="s">
        <v>39</v>
      </c>
      <c r="K91" s="22">
        <v>5.18125030703867e+18</v>
      </c>
      <c r="L91" s="22" t="s">
        <v>377</v>
      </c>
      <c r="M91" s="25"/>
    </row>
    <row r="92" customHeight="1" spans="1:13">
      <c r="A92" s="21">
        <v>45748</v>
      </c>
      <c r="B92" s="22" t="s">
        <v>5483</v>
      </c>
      <c r="C92" s="23">
        <v>45775</v>
      </c>
      <c r="D92" s="24">
        <v>0</v>
      </c>
      <c r="E92" s="22"/>
      <c r="F92" s="22" t="s">
        <v>105</v>
      </c>
      <c r="G92" s="22" t="s">
        <v>381</v>
      </c>
      <c r="H92" s="22" t="s">
        <v>10</v>
      </c>
      <c r="I92" s="22" t="s">
        <v>5473</v>
      </c>
      <c r="J92" s="22" t="s">
        <v>39</v>
      </c>
      <c r="K92" s="22">
        <v>5.18125030703867e+18</v>
      </c>
      <c r="L92" s="22" t="s">
        <v>377</v>
      </c>
      <c r="M92" s="25"/>
    </row>
    <row r="93" customHeight="1" spans="1:13">
      <c r="A93" s="21">
        <v>45748</v>
      </c>
      <c r="B93" s="22" t="s">
        <v>5483</v>
      </c>
      <c r="C93" s="23">
        <v>45775</v>
      </c>
      <c r="D93" s="24">
        <v>0</v>
      </c>
      <c r="E93" s="22"/>
      <c r="F93" s="22" t="s">
        <v>105</v>
      </c>
      <c r="G93" s="22" t="s">
        <v>382</v>
      </c>
      <c r="H93" s="22" t="s">
        <v>10</v>
      </c>
      <c r="I93" s="22" t="s">
        <v>5473</v>
      </c>
      <c r="J93" s="22" t="s">
        <v>39</v>
      </c>
      <c r="K93" s="22">
        <v>5.18125030703867e+18</v>
      </c>
      <c r="L93" s="22" t="s">
        <v>377</v>
      </c>
      <c r="M93" s="25"/>
    </row>
    <row r="94" customHeight="1" spans="1:13">
      <c r="A94" s="21">
        <v>45748</v>
      </c>
      <c r="B94" s="22" t="s">
        <v>5483</v>
      </c>
      <c r="C94" s="23">
        <v>45776</v>
      </c>
      <c r="D94" s="24">
        <v>0</v>
      </c>
      <c r="E94" s="22"/>
      <c r="F94" s="22" t="s">
        <v>105</v>
      </c>
      <c r="G94" s="22" t="s">
        <v>385</v>
      </c>
      <c r="H94" s="22" t="s">
        <v>12</v>
      </c>
      <c r="I94" s="22" t="s">
        <v>5473</v>
      </c>
      <c r="J94" s="22" t="s">
        <v>39</v>
      </c>
      <c r="K94" s="22">
        <v>5.18125030703865e+18</v>
      </c>
      <c r="L94" s="22" t="s">
        <v>387</v>
      </c>
      <c r="M94" s="25"/>
    </row>
    <row r="95" customHeight="1" spans="1:13">
      <c r="A95" s="21">
        <v>45748</v>
      </c>
      <c r="B95" s="22" t="s">
        <v>5483</v>
      </c>
      <c r="C95" s="23">
        <v>45776</v>
      </c>
      <c r="D95" s="24">
        <v>0</v>
      </c>
      <c r="E95" s="22"/>
      <c r="F95" s="22" t="s">
        <v>105</v>
      </c>
      <c r="G95" s="22" t="s">
        <v>388</v>
      </c>
      <c r="H95" s="22" t="s">
        <v>12</v>
      </c>
      <c r="I95" s="22" t="s">
        <v>5473</v>
      </c>
      <c r="J95" s="22" t="s">
        <v>39</v>
      </c>
      <c r="K95" s="22">
        <v>5.18125030703865e+18</v>
      </c>
      <c r="L95" s="22" t="s">
        <v>387</v>
      </c>
      <c r="M95" s="25"/>
    </row>
    <row r="96" customHeight="1" spans="1:13">
      <c r="A96" s="21">
        <v>45778</v>
      </c>
      <c r="B96" s="22" t="s">
        <v>5484</v>
      </c>
      <c r="C96" s="23">
        <v>45778</v>
      </c>
      <c r="D96" s="24">
        <v>0</v>
      </c>
      <c r="E96" s="22"/>
      <c r="F96" s="22" t="s">
        <v>105</v>
      </c>
      <c r="G96" s="22" t="s">
        <v>389</v>
      </c>
      <c r="H96" s="22" t="s">
        <v>10</v>
      </c>
      <c r="I96" s="22" t="s">
        <v>5473</v>
      </c>
      <c r="J96" s="22" t="s">
        <v>40</v>
      </c>
      <c r="K96" s="22">
        <v>5.18123041400344e+18</v>
      </c>
      <c r="L96" s="22" t="s">
        <v>391</v>
      </c>
      <c r="M96" s="25"/>
    </row>
    <row r="97" customHeight="1" spans="1:13">
      <c r="A97" s="21">
        <v>45778</v>
      </c>
      <c r="B97" s="22" t="s">
        <v>5484</v>
      </c>
      <c r="C97" s="23">
        <v>45789</v>
      </c>
      <c r="D97" s="24">
        <v>0</v>
      </c>
      <c r="E97" s="22"/>
      <c r="F97" s="22" t="s">
        <v>105</v>
      </c>
      <c r="G97" s="22" t="s">
        <v>392</v>
      </c>
      <c r="H97" s="22" t="s">
        <v>10</v>
      </c>
      <c r="I97" s="22" t="s">
        <v>5473</v>
      </c>
      <c r="J97" s="22" t="s">
        <v>39</v>
      </c>
      <c r="K97" s="22">
        <v>5.18125033103968e+18</v>
      </c>
      <c r="L97" s="22" t="s">
        <v>394</v>
      </c>
      <c r="M97" s="25"/>
    </row>
    <row r="98" customHeight="1" spans="1:13">
      <c r="A98" s="21">
        <v>45778</v>
      </c>
      <c r="B98" s="22" t="s">
        <v>5484</v>
      </c>
      <c r="C98" s="23">
        <v>45790</v>
      </c>
      <c r="D98" s="24">
        <v>0</v>
      </c>
      <c r="E98" s="22"/>
      <c r="F98" s="22" t="s">
        <v>105</v>
      </c>
      <c r="G98" s="22" t="s">
        <v>395</v>
      </c>
      <c r="H98" s="22" t="s">
        <v>10</v>
      </c>
      <c r="I98" s="22" t="s">
        <v>5473</v>
      </c>
      <c r="J98" s="22" t="s">
        <v>39</v>
      </c>
      <c r="K98" s="22">
        <v>5.18124011900182e+18</v>
      </c>
      <c r="L98" s="22" t="s">
        <v>397</v>
      </c>
      <c r="M98" s="25"/>
    </row>
    <row r="99" customHeight="1" spans="1:13">
      <c r="A99" s="21">
        <v>45778</v>
      </c>
      <c r="B99" s="22" t="s">
        <v>5484</v>
      </c>
      <c r="C99" s="23">
        <v>45790</v>
      </c>
      <c r="D99" s="24">
        <v>0</v>
      </c>
      <c r="E99" s="22"/>
      <c r="F99" s="22" t="s">
        <v>105</v>
      </c>
      <c r="G99" s="22" t="s">
        <v>399</v>
      </c>
      <c r="H99" s="22" t="s">
        <v>10</v>
      </c>
      <c r="I99" s="22" t="s">
        <v>5473</v>
      </c>
      <c r="J99" s="22" t="s">
        <v>39</v>
      </c>
      <c r="K99" s="22">
        <v>5.18124011900182e+18</v>
      </c>
      <c r="L99" s="22" t="s">
        <v>397</v>
      </c>
      <c r="M99" s="25"/>
    </row>
    <row r="100" customHeight="1" spans="1:13">
      <c r="A100" s="21">
        <v>45778</v>
      </c>
      <c r="B100" s="22" t="s">
        <v>5484</v>
      </c>
      <c r="C100" s="23">
        <v>45791</v>
      </c>
      <c r="D100" s="24">
        <v>0</v>
      </c>
      <c r="E100" s="22"/>
      <c r="F100" s="22" t="s">
        <v>7</v>
      </c>
      <c r="G100" s="22" t="s">
        <v>402</v>
      </c>
      <c r="H100" s="22" t="s">
        <v>10</v>
      </c>
      <c r="I100" s="22" t="s">
        <v>5473</v>
      </c>
      <c r="J100" s="22" t="s">
        <v>43</v>
      </c>
      <c r="K100" s="22">
        <v>5.18125042704098e+18</v>
      </c>
      <c r="L100" s="22" t="s">
        <v>404</v>
      </c>
      <c r="M100" s="25"/>
    </row>
    <row r="101" customHeight="1" spans="1:13">
      <c r="A101" s="21">
        <v>45778</v>
      </c>
      <c r="B101" s="22" t="s">
        <v>5484</v>
      </c>
      <c r="C101" s="23">
        <v>45792</v>
      </c>
      <c r="D101" s="24">
        <v>0</v>
      </c>
      <c r="E101" s="22"/>
      <c r="F101" s="22" t="s">
        <v>105</v>
      </c>
      <c r="G101" s="22" t="s">
        <v>420</v>
      </c>
      <c r="H101" s="22" t="s">
        <v>12</v>
      </c>
      <c r="I101" s="22" t="s">
        <v>5473</v>
      </c>
      <c r="J101" s="22" t="s">
        <v>39</v>
      </c>
      <c r="K101" s="24">
        <v>0</v>
      </c>
      <c r="L101" s="26" t="e">
        <v>#N/A</v>
      </c>
      <c r="M101" s="25"/>
    </row>
    <row r="102" customHeight="1" spans="1:13">
      <c r="A102" s="21">
        <v>45778</v>
      </c>
      <c r="B102" s="22" t="s">
        <v>5484</v>
      </c>
      <c r="C102" s="23">
        <v>45792</v>
      </c>
      <c r="D102" s="24">
        <v>0</v>
      </c>
      <c r="E102" s="22"/>
      <c r="F102" s="22" t="s">
        <v>7</v>
      </c>
      <c r="G102" s="22" t="s">
        <v>421</v>
      </c>
      <c r="H102" s="22" t="s">
        <v>11</v>
      </c>
      <c r="I102" s="22" t="s">
        <v>5473</v>
      </c>
      <c r="J102" s="22" t="s">
        <v>41</v>
      </c>
      <c r="K102" s="24">
        <v>0</v>
      </c>
      <c r="L102" s="26" t="e">
        <v>#N/A</v>
      </c>
      <c r="M102" s="25"/>
    </row>
    <row r="103" customHeight="1" spans="1:13">
      <c r="A103" s="21">
        <v>45778</v>
      </c>
      <c r="B103" s="22" t="s">
        <v>5485</v>
      </c>
      <c r="C103" s="23">
        <v>45793</v>
      </c>
      <c r="D103" s="24">
        <v>0</v>
      </c>
      <c r="E103" s="22"/>
      <c r="F103" s="22" t="s">
        <v>105</v>
      </c>
      <c r="G103" s="22" t="s">
        <v>425</v>
      </c>
      <c r="H103" s="22" t="s">
        <v>12</v>
      </c>
      <c r="I103" s="22" t="s">
        <v>5473</v>
      </c>
      <c r="J103" s="22" t="s">
        <v>39</v>
      </c>
      <c r="K103" s="22">
        <v>5.18125040303983e+18</v>
      </c>
      <c r="L103" s="22" t="s">
        <v>427</v>
      </c>
      <c r="M103" s="25"/>
    </row>
    <row r="104" customHeight="1" spans="1:13">
      <c r="A104" s="21">
        <v>45778</v>
      </c>
      <c r="B104" s="22" t="s">
        <v>5485</v>
      </c>
      <c r="C104" s="23">
        <v>45796</v>
      </c>
      <c r="D104" s="24">
        <v>0</v>
      </c>
      <c r="E104" s="22"/>
      <c r="F104" s="22" t="s">
        <v>105</v>
      </c>
      <c r="G104" s="22" t="s">
        <v>428</v>
      </c>
      <c r="H104" s="22" t="s">
        <v>12</v>
      </c>
      <c r="I104" s="22" t="s">
        <v>5473</v>
      </c>
      <c r="J104" s="22" t="s">
        <v>39</v>
      </c>
      <c r="K104" s="22">
        <v>5.18125040503985e+18</v>
      </c>
      <c r="L104" s="22" t="s">
        <v>430</v>
      </c>
      <c r="M104" s="25"/>
    </row>
    <row r="105" customHeight="1" spans="1:13">
      <c r="A105" s="21">
        <v>45778</v>
      </c>
      <c r="B105" s="22" t="s">
        <v>5485</v>
      </c>
      <c r="C105" s="23">
        <v>45798</v>
      </c>
      <c r="D105" s="24">
        <v>0</v>
      </c>
      <c r="E105" s="22"/>
      <c r="F105" s="22" t="s">
        <v>105</v>
      </c>
      <c r="G105" s="22" t="s">
        <v>431</v>
      </c>
      <c r="H105" s="22" t="s">
        <v>12</v>
      </c>
      <c r="I105" s="22" t="s">
        <v>5473</v>
      </c>
      <c r="J105" s="22" t="s">
        <v>39</v>
      </c>
      <c r="K105" s="22">
        <v>5.1812302230032e+18</v>
      </c>
      <c r="L105" s="22" t="s">
        <v>433</v>
      </c>
      <c r="M105" s="25"/>
    </row>
    <row r="106" customHeight="1" spans="1:13">
      <c r="A106" s="21">
        <v>45778</v>
      </c>
      <c r="B106" s="22" t="s">
        <v>5485</v>
      </c>
      <c r="C106" s="23">
        <v>45799</v>
      </c>
      <c r="D106" s="24">
        <v>0</v>
      </c>
      <c r="E106" s="22"/>
      <c r="F106" s="22" t="s">
        <v>105</v>
      </c>
      <c r="G106" s="22" t="s">
        <v>434</v>
      </c>
      <c r="H106" s="22" t="s">
        <v>12</v>
      </c>
      <c r="I106" s="22" t="s">
        <v>5473</v>
      </c>
      <c r="J106" s="22" t="s">
        <v>39</v>
      </c>
      <c r="K106" s="22">
        <v>5.18125041104014e+18</v>
      </c>
      <c r="L106" s="22" t="s">
        <v>436</v>
      </c>
      <c r="M106" s="25"/>
    </row>
    <row r="107" customHeight="1" spans="1:13">
      <c r="A107" s="21">
        <v>45778</v>
      </c>
      <c r="B107" s="22" t="s">
        <v>5485</v>
      </c>
      <c r="C107" s="23">
        <v>45798</v>
      </c>
      <c r="D107" s="24">
        <v>0</v>
      </c>
      <c r="E107" s="22"/>
      <c r="F107" s="22" t="s">
        <v>105</v>
      </c>
      <c r="G107" s="22" t="s">
        <v>437</v>
      </c>
      <c r="H107" s="22" t="s">
        <v>12</v>
      </c>
      <c r="I107" s="22" t="s">
        <v>5473</v>
      </c>
      <c r="J107" s="22" t="s">
        <v>39</v>
      </c>
      <c r="K107" s="22">
        <v>5.1812302230032e+18</v>
      </c>
      <c r="L107" s="22" t="s">
        <v>433</v>
      </c>
      <c r="M107" s="25"/>
    </row>
    <row r="108" customHeight="1" spans="1:13">
      <c r="A108" s="21">
        <v>45778</v>
      </c>
      <c r="B108" s="22" t="s">
        <v>5485</v>
      </c>
      <c r="C108" s="23">
        <v>45798</v>
      </c>
      <c r="D108" s="24">
        <v>0</v>
      </c>
      <c r="E108" s="22"/>
      <c r="F108" s="22" t="s">
        <v>105</v>
      </c>
      <c r="G108" s="22" t="s">
        <v>440</v>
      </c>
      <c r="H108" s="22" t="s">
        <v>12</v>
      </c>
      <c r="I108" s="22" t="s">
        <v>5473</v>
      </c>
      <c r="J108" s="22" t="s">
        <v>39</v>
      </c>
      <c r="K108" s="22">
        <v>5.1812302230032e+18</v>
      </c>
      <c r="L108" s="22" t="s">
        <v>433</v>
      </c>
      <c r="M108" s="25"/>
    </row>
    <row r="109" customHeight="1" spans="1:13">
      <c r="A109" s="21">
        <v>45778</v>
      </c>
      <c r="B109" s="22" t="s">
        <v>5485</v>
      </c>
      <c r="C109" s="23">
        <v>45798</v>
      </c>
      <c r="D109" s="24">
        <v>0</v>
      </c>
      <c r="E109" s="22"/>
      <c r="F109" s="22" t="s">
        <v>105</v>
      </c>
      <c r="G109" s="22" t="s">
        <v>5486</v>
      </c>
      <c r="H109" s="22" t="s">
        <v>10</v>
      </c>
      <c r="I109" s="22" t="s">
        <v>5473</v>
      </c>
      <c r="J109" s="22" t="s">
        <v>39</v>
      </c>
      <c r="K109" s="22">
        <v>5.1812302230032e+18</v>
      </c>
      <c r="L109" s="22" t="s">
        <v>433</v>
      </c>
      <c r="M109" s="25"/>
    </row>
    <row r="110" customHeight="1" spans="1:13">
      <c r="A110" s="21">
        <v>45778</v>
      </c>
      <c r="B110" s="22" t="s">
        <v>5485</v>
      </c>
      <c r="C110" s="23">
        <v>45800</v>
      </c>
      <c r="D110" s="24">
        <v>0</v>
      </c>
      <c r="E110" s="22"/>
      <c r="F110" s="22" t="s">
        <v>105</v>
      </c>
      <c r="G110" s="22" t="s">
        <v>444</v>
      </c>
      <c r="H110" s="22" t="s">
        <v>12</v>
      </c>
      <c r="I110" s="22" t="s">
        <v>5473</v>
      </c>
      <c r="J110" s="22" t="s">
        <v>39</v>
      </c>
      <c r="K110" s="22">
        <v>5.18124062201062e+18</v>
      </c>
      <c r="L110" s="22" t="s">
        <v>446</v>
      </c>
      <c r="M110" s="25"/>
    </row>
    <row r="111" customHeight="1" spans="1:13">
      <c r="A111" s="21">
        <v>45778</v>
      </c>
      <c r="B111" s="22" t="s">
        <v>5485</v>
      </c>
      <c r="C111" s="23">
        <v>45800</v>
      </c>
      <c r="D111" s="24">
        <v>0</v>
      </c>
      <c r="E111" s="22"/>
      <c r="F111" s="22" t="s">
        <v>105</v>
      </c>
      <c r="G111" s="22" t="s">
        <v>447</v>
      </c>
      <c r="H111" s="22" t="s">
        <v>10</v>
      </c>
      <c r="I111" s="22" t="s">
        <v>5473</v>
      </c>
      <c r="J111" s="22" t="s">
        <v>39</v>
      </c>
      <c r="K111" s="22">
        <v>5.18124062201062e+18</v>
      </c>
      <c r="L111" s="22" t="s">
        <v>446</v>
      </c>
      <c r="M111" s="25"/>
    </row>
    <row r="112" customHeight="1" spans="1:13">
      <c r="A112" s="21">
        <v>45778</v>
      </c>
      <c r="B112" s="22" t="s">
        <v>5485</v>
      </c>
      <c r="C112" s="23">
        <v>45803</v>
      </c>
      <c r="D112" s="24">
        <v>0</v>
      </c>
      <c r="E112" s="22"/>
      <c r="F112" s="22" t="s">
        <v>105</v>
      </c>
      <c r="G112" s="22" t="s">
        <v>450</v>
      </c>
      <c r="H112" s="22" t="s">
        <v>10</v>
      </c>
      <c r="I112" s="22" t="s">
        <v>5473</v>
      </c>
      <c r="J112" s="22" t="s">
        <v>39</v>
      </c>
      <c r="K112" s="22">
        <v>5.18124012700191e+18</v>
      </c>
      <c r="L112" s="22" t="s">
        <v>452</v>
      </c>
      <c r="M112" s="25"/>
    </row>
    <row r="113" customHeight="1" spans="1:13">
      <c r="A113" s="21">
        <v>45778</v>
      </c>
      <c r="B113" s="22" t="s">
        <v>5485</v>
      </c>
      <c r="C113" s="23">
        <v>45803</v>
      </c>
      <c r="D113" s="24">
        <v>0</v>
      </c>
      <c r="E113" s="22"/>
      <c r="F113" s="22" t="s">
        <v>105</v>
      </c>
      <c r="G113" s="22" t="s">
        <v>453</v>
      </c>
      <c r="H113" s="22" t="s">
        <v>10</v>
      </c>
      <c r="I113" s="22" t="s">
        <v>5473</v>
      </c>
      <c r="J113" s="22" t="s">
        <v>39</v>
      </c>
      <c r="K113" s="22">
        <v>5.18124012700191e+18</v>
      </c>
      <c r="L113" s="22" t="s">
        <v>452</v>
      </c>
      <c r="M113" s="25"/>
    </row>
    <row r="114" customHeight="1" spans="1:13">
      <c r="A114" s="21">
        <v>45778</v>
      </c>
      <c r="B114" s="22" t="s">
        <v>5485</v>
      </c>
      <c r="C114" s="23">
        <v>45803</v>
      </c>
      <c r="D114" s="24">
        <v>0</v>
      </c>
      <c r="E114" s="22"/>
      <c r="F114" s="22" t="s">
        <v>105</v>
      </c>
      <c r="G114" s="22" t="s">
        <v>456</v>
      </c>
      <c r="H114" s="22" t="s">
        <v>10</v>
      </c>
      <c r="I114" s="22" t="s">
        <v>5473</v>
      </c>
      <c r="J114" s="22" t="s">
        <v>39</v>
      </c>
      <c r="K114" s="22">
        <v>5.18124012700191e+18</v>
      </c>
      <c r="L114" s="22" t="s">
        <v>452</v>
      </c>
      <c r="M114" s="25"/>
    </row>
    <row r="115" customHeight="1" spans="1:13">
      <c r="A115" s="21">
        <v>45778</v>
      </c>
      <c r="B115" s="22" t="s">
        <v>5485</v>
      </c>
      <c r="C115" s="23">
        <v>45803</v>
      </c>
      <c r="D115" s="24">
        <v>0</v>
      </c>
      <c r="E115" s="22"/>
      <c r="F115" s="22" t="s">
        <v>105</v>
      </c>
      <c r="G115" s="22" t="s">
        <v>459</v>
      </c>
      <c r="H115" s="22" t="s">
        <v>12</v>
      </c>
      <c r="I115" s="22" t="s">
        <v>5473</v>
      </c>
      <c r="J115" s="22" t="s">
        <v>39</v>
      </c>
      <c r="K115" s="22">
        <v>5.18124012700191e+18</v>
      </c>
      <c r="L115" s="22" t="s">
        <v>452</v>
      </c>
      <c r="M115" s="25"/>
    </row>
    <row r="116" customHeight="1" spans="1:13">
      <c r="A116" s="21">
        <v>45778</v>
      </c>
      <c r="B116" s="22" t="s">
        <v>5485</v>
      </c>
      <c r="C116" s="23">
        <v>45803</v>
      </c>
      <c r="D116" s="24">
        <v>0</v>
      </c>
      <c r="E116" s="22"/>
      <c r="F116" s="22" t="s">
        <v>105</v>
      </c>
      <c r="G116" s="22" t="s">
        <v>462</v>
      </c>
      <c r="H116" s="22" t="s">
        <v>12</v>
      </c>
      <c r="I116" s="22" t="s">
        <v>5473</v>
      </c>
      <c r="J116" s="22" t="s">
        <v>39</v>
      </c>
      <c r="K116" s="22">
        <v>5.18124012700191e+18</v>
      </c>
      <c r="L116" s="22" t="s">
        <v>452</v>
      </c>
      <c r="M116" s="25"/>
    </row>
    <row r="117" customHeight="1" spans="1:13">
      <c r="A117" s="21">
        <v>45778</v>
      </c>
      <c r="B117" s="22" t="s">
        <v>5485</v>
      </c>
      <c r="C117" s="23">
        <v>45803</v>
      </c>
      <c r="D117" s="24">
        <v>0</v>
      </c>
      <c r="E117" s="22"/>
      <c r="F117" s="22" t="s">
        <v>105</v>
      </c>
      <c r="G117" s="22" t="s">
        <v>463</v>
      </c>
      <c r="H117" s="22" t="s">
        <v>10</v>
      </c>
      <c r="I117" s="22" t="s">
        <v>5473</v>
      </c>
      <c r="J117" s="22" t="s">
        <v>39</v>
      </c>
      <c r="K117" s="22">
        <v>5.18124012700191e+18</v>
      </c>
      <c r="L117" s="22" t="s">
        <v>452</v>
      </c>
      <c r="M117" s="25"/>
    </row>
    <row r="118" customHeight="1" spans="1:13">
      <c r="A118" s="21">
        <v>45778</v>
      </c>
      <c r="B118" s="22" t="s">
        <v>5485</v>
      </c>
      <c r="C118" s="23">
        <v>45803</v>
      </c>
      <c r="D118" s="24">
        <v>0</v>
      </c>
      <c r="E118" s="22"/>
      <c r="F118" s="22" t="s">
        <v>105</v>
      </c>
      <c r="G118" s="22" t="s">
        <v>466</v>
      </c>
      <c r="H118" s="22" t="s">
        <v>12</v>
      </c>
      <c r="I118" s="22" t="s">
        <v>5473</v>
      </c>
      <c r="J118" s="22" t="s">
        <v>39</v>
      </c>
      <c r="K118" s="22">
        <v>5.18124012700191e+18</v>
      </c>
      <c r="L118" s="22" t="s">
        <v>452</v>
      </c>
      <c r="M118" s="25"/>
    </row>
    <row r="119" customHeight="1" spans="1:13">
      <c r="A119" s="21">
        <v>45778</v>
      </c>
      <c r="B119" s="22" t="s">
        <v>5485</v>
      </c>
      <c r="C119" s="23">
        <v>45803</v>
      </c>
      <c r="D119" s="24">
        <v>0</v>
      </c>
      <c r="E119" s="22"/>
      <c r="F119" s="22" t="s">
        <v>105</v>
      </c>
      <c r="G119" s="22" t="s">
        <v>469</v>
      </c>
      <c r="H119" s="22" t="s">
        <v>12</v>
      </c>
      <c r="I119" s="22" t="s">
        <v>5473</v>
      </c>
      <c r="J119" s="22" t="s">
        <v>39</v>
      </c>
      <c r="K119" s="22">
        <v>5.18124012700191e+18</v>
      </c>
      <c r="L119" s="22" t="s">
        <v>452</v>
      </c>
      <c r="M119" s="25"/>
    </row>
    <row r="120" customHeight="1" spans="1:13">
      <c r="A120" s="21">
        <v>45778</v>
      </c>
      <c r="B120" s="22" t="s">
        <v>5485</v>
      </c>
      <c r="C120" s="23">
        <v>45804</v>
      </c>
      <c r="D120" s="24">
        <v>0</v>
      </c>
      <c r="E120" s="22"/>
      <c r="F120" s="22" t="s">
        <v>105</v>
      </c>
      <c r="G120" s="22" t="s">
        <v>472</v>
      </c>
      <c r="H120" s="22" t="s">
        <v>12</v>
      </c>
      <c r="I120" s="22" t="s">
        <v>5473</v>
      </c>
      <c r="J120" s="22" t="s">
        <v>39</v>
      </c>
      <c r="K120" s="22">
        <v>5.18124112403592e+18</v>
      </c>
      <c r="L120" s="22" t="s">
        <v>474</v>
      </c>
      <c r="M120" s="25"/>
    </row>
    <row r="121" customHeight="1" spans="1:13">
      <c r="A121" s="21">
        <v>45778</v>
      </c>
      <c r="B121" s="22" t="s">
        <v>5485</v>
      </c>
      <c r="C121" s="23">
        <v>45804</v>
      </c>
      <c r="D121" s="24">
        <v>0</v>
      </c>
      <c r="E121" s="22"/>
      <c r="F121" s="22" t="s">
        <v>105</v>
      </c>
      <c r="G121" s="22" t="s">
        <v>475</v>
      </c>
      <c r="H121" s="22" t="s">
        <v>12</v>
      </c>
      <c r="I121" s="22" t="s">
        <v>5473</v>
      </c>
      <c r="J121" s="22" t="s">
        <v>39</v>
      </c>
      <c r="K121" s="22">
        <v>5.18124112403592e+18</v>
      </c>
      <c r="L121" s="22" t="s">
        <v>474</v>
      </c>
      <c r="M121" s="25"/>
    </row>
    <row r="122" customHeight="1" spans="1:13">
      <c r="A122" s="21">
        <v>45778</v>
      </c>
      <c r="B122" s="22" t="s">
        <v>5485</v>
      </c>
      <c r="C122" s="23">
        <v>45804</v>
      </c>
      <c r="D122" s="24">
        <v>0</v>
      </c>
      <c r="E122" s="22"/>
      <c r="F122" s="22" t="s">
        <v>105</v>
      </c>
      <c r="G122" s="22" t="s">
        <v>478</v>
      </c>
      <c r="H122" s="22" t="s">
        <v>12</v>
      </c>
      <c r="I122" s="22" t="s">
        <v>5473</v>
      </c>
      <c r="J122" s="22" t="s">
        <v>39</v>
      </c>
      <c r="K122" s="22">
        <v>5.18124112403592e+18</v>
      </c>
      <c r="L122" s="22" t="s">
        <v>474</v>
      </c>
      <c r="M122" s="25"/>
    </row>
    <row r="123" customHeight="1" spans="1:13">
      <c r="A123" s="21">
        <v>45778</v>
      </c>
      <c r="B123" s="22" t="s">
        <v>5485</v>
      </c>
      <c r="C123" s="23">
        <v>45804</v>
      </c>
      <c r="D123" s="24">
        <v>0</v>
      </c>
      <c r="E123" s="22"/>
      <c r="F123" s="22" t="s">
        <v>105</v>
      </c>
      <c r="G123" s="22" t="s">
        <v>481</v>
      </c>
      <c r="H123" s="22" t="s">
        <v>10</v>
      </c>
      <c r="I123" s="22" t="s">
        <v>5473</v>
      </c>
      <c r="J123" s="22" t="s">
        <v>39</v>
      </c>
      <c r="K123" s="22">
        <v>5.18124112403592e+18</v>
      </c>
      <c r="L123" s="22" t="s">
        <v>474</v>
      </c>
      <c r="M123" s="25"/>
    </row>
    <row r="124" customHeight="1" spans="1:13">
      <c r="A124" s="21">
        <v>45778</v>
      </c>
      <c r="B124" s="22" t="s">
        <v>5485</v>
      </c>
      <c r="C124" s="23">
        <v>45804</v>
      </c>
      <c r="D124" s="24">
        <v>0</v>
      </c>
      <c r="E124" s="22"/>
      <c r="F124" s="22" t="s">
        <v>105</v>
      </c>
      <c r="G124" s="22" t="s">
        <v>484</v>
      </c>
      <c r="H124" s="22" t="s">
        <v>10</v>
      </c>
      <c r="I124" s="22" t="s">
        <v>5473</v>
      </c>
      <c r="J124" s="22" t="s">
        <v>39</v>
      </c>
      <c r="K124" s="22">
        <v>5.18124112403592e+18</v>
      </c>
      <c r="L124" s="22" t="s">
        <v>474</v>
      </c>
      <c r="M124" s="25"/>
    </row>
    <row r="125" customHeight="1" spans="1:13">
      <c r="A125" s="21">
        <v>45778</v>
      </c>
      <c r="B125" s="22" t="s">
        <v>5485</v>
      </c>
      <c r="C125" s="23">
        <v>45804</v>
      </c>
      <c r="D125" s="24">
        <v>0</v>
      </c>
      <c r="E125" s="22"/>
      <c r="F125" s="22" t="s">
        <v>105</v>
      </c>
      <c r="G125" s="22" t="s">
        <v>487</v>
      </c>
      <c r="H125" s="22" t="s">
        <v>12</v>
      </c>
      <c r="I125" s="22" t="s">
        <v>5473</v>
      </c>
      <c r="J125" s="22" t="s">
        <v>39</v>
      </c>
      <c r="K125" s="22">
        <v>5.18124112403592e+18</v>
      </c>
      <c r="L125" s="22" t="s">
        <v>474</v>
      </c>
      <c r="M125" s="25"/>
    </row>
    <row r="126" customHeight="1" spans="1:13">
      <c r="A126" s="21">
        <v>45778</v>
      </c>
      <c r="B126" s="22" t="s">
        <v>5485</v>
      </c>
      <c r="C126" s="23">
        <v>45806</v>
      </c>
      <c r="D126" s="24">
        <v>0</v>
      </c>
      <c r="E126" s="22"/>
      <c r="F126" s="22" t="s">
        <v>105</v>
      </c>
      <c r="G126" s="22" t="s">
        <v>488</v>
      </c>
      <c r="H126" s="22" t="s">
        <v>12</v>
      </c>
      <c r="I126" s="22" t="s">
        <v>5473</v>
      </c>
      <c r="J126" s="22" t="s">
        <v>39</v>
      </c>
      <c r="K126" s="22">
        <v>5.18123102600103e+18</v>
      </c>
      <c r="L126" s="22" t="s">
        <v>321</v>
      </c>
      <c r="M126" s="25"/>
    </row>
    <row r="127" customHeight="1" spans="1:13">
      <c r="A127" s="21">
        <v>45809</v>
      </c>
      <c r="B127" s="22" t="s">
        <v>5487</v>
      </c>
      <c r="C127" s="23">
        <v>45812</v>
      </c>
      <c r="D127" s="24">
        <v>0</v>
      </c>
      <c r="E127" s="22"/>
      <c r="F127" s="22" t="s">
        <v>105</v>
      </c>
      <c r="G127" s="22" t="s">
        <v>5488</v>
      </c>
      <c r="H127" s="22" t="s">
        <v>11</v>
      </c>
      <c r="I127" s="22" t="s">
        <v>5473</v>
      </c>
      <c r="J127" s="22" t="s">
        <v>40</v>
      </c>
      <c r="K127" s="22">
        <v>5.18125060304243e+18</v>
      </c>
      <c r="L127" s="22" t="s">
        <v>492</v>
      </c>
      <c r="M127" s="25"/>
    </row>
    <row r="128" customHeight="1" spans="1:13">
      <c r="A128" s="21">
        <v>45809</v>
      </c>
      <c r="B128" s="22" t="s">
        <v>5487</v>
      </c>
      <c r="C128" s="23">
        <v>45814</v>
      </c>
      <c r="D128" s="24">
        <v>0</v>
      </c>
      <c r="E128" s="22"/>
      <c r="F128" s="22" t="s">
        <v>105</v>
      </c>
      <c r="G128" s="22" t="s">
        <v>493</v>
      </c>
      <c r="H128" s="22" t="s">
        <v>12</v>
      </c>
      <c r="I128" s="22" t="s">
        <v>5473</v>
      </c>
      <c r="J128" s="22" t="s">
        <v>39</v>
      </c>
      <c r="K128" s="22">
        <v>5.18125042904108e+18</v>
      </c>
      <c r="L128" s="22" t="s">
        <v>495</v>
      </c>
      <c r="M128" s="25"/>
    </row>
    <row r="129" customHeight="1" spans="1:13">
      <c r="A129" s="21">
        <v>45809</v>
      </c>
      <c r="B129" s="22" t="s">
        <v>5487</v>
      </c>
      <c r="C129" s="23">
        <v>45814</v>
      </c>
      <c r="D129" s="24">
        <v>0</v>
      </c>
      <c r="E129" s="22"/>
      <c r="F129" s="22" t="s">
        <v>105</v>
      </c>
      <c r="G129" s="22" t="s">
        <v>496</v>
      </c>
      <c r="H129" s="22" t="s">
        <v>10</v>
      </c>
      <c r="I129" s="22" t="s">
        <v>5473</v>
      </c>
      <c r="J129" s="22" t="s">
        <v>39</v>
      </c>
      <c r="K129" s="22">
        <v>5.18125042904108e+18</v>
      </c>
      <c r="L129" s="22" t="s">
        <v>495</v>
      </c>
      <c r="M129" s="25"/>
    </row>
    <row r="130" customHeight="1" spans="1:13">
      <c r="A130" s="21">
        <v>45809</v>
      </c>
      <c r="B130" s="22" t="s">
        <v>5487</v>
      </c>
      <c r="C130" s="23">
        <v>45820</v>
      </c>
      <c r="D130" s="24">
        <v>0</v>
      </c>
      <c r="E130" s="22"/>
      <c r="F130" s="22" t="s">
        <v>105</v>
      </c>
      <c r="G130" s="22" t="s">
        <v>499</v>
      </c>
      <c r="H130" s="22" t="s">
        <v>12</v>
      </c>
      <c r="I130" s="22" t="s">
        <v>5473</v>
      </c>
      <c r="J130" s="22" t="s">
        <v>39</v>
      </c>
      <c r="K130" s="22">
        <v>5.18124120903638e+18</v>
      </c>
      <c r="L130" s="22" t="s">
        <v>501</v>
      </c>
      <c r="M130" s="25"/>
    </row>
    <row r="131" customHeight="1" spans="1:13">
      <c r="A131" s="21">
        <v>45809</v>
      </c>
      <c r="B131" s="22" t="s">
        <v>5489</v>
      </c>
      <c r="C131" s="23">
        <v>45824</v>
      </c>
      <c r="D131" s="24">
        <v>0</v>
      </c>
      <c r="E131" s="22"/>
      <c r="F131" s="22" t="s">
        <v>105</v>
      </c>
      <c r="G131" s="22" t="s">
        <v>502</v>
      </c>
      <c r="H131" s="22" t="s">
        <v>10</v>
      </c>
      <c r="I131" s="22" t="s">
        <v>5473</v>
      </c>
      <c r="J131" s="22" t="s">
        <v>39</v>
      </c>
      <c r="K131" s="22">
        <v>5.18124121803662e+18</v>
      </c>
      <c r="L131" s="22" t="s">
        <v>504</v>
      </c>
      <c r="M131" s="25"/>
    </row>
    <row r="132" customHeight="1" spans="1:13">
      <c r="A132" s="21">
        <v>45809</v>
      </c>
      <c r="B132" s="22" t="s">
        <v>5489</v>
      </c>
      <c r="C132" s="23">
        <v>45825</v>
      </c>
      <c r="D132" s="24">
        <v>0</v>
      </c>
      <c r="E132" s="22"/>
      <c r="F132" s="22" t="s">
        <v>105</v>
      </c>
      <c r="G132" s="22" t="s">
        <v>505</v>
      </c>
      <c r="H132" s="22" t="s">
        <v>12</v>
      </c>
      <c r="I132" s="22" t="s">
        <v>5473</v>
      </c>
      <c r="J132" s="22" t="s">
        <v>39</v>
      </c>
      <c r="K132" s="22">
        <v>5.18125053004222e+18</v>
      </c>
      <c r="L132" s="22" t="s">
        <v>507</v>
      </c>
      <c r="M132" s="25"/>
    </row>
    <row r="133" customHeight="1" spans="1:13">
      <c r="A133" s="21">
        <v>45809</v>
      </c>
      <c r="B133" s="22" t="s">
        <v>5489</v>
      </c>
      <c r="C133" s="23">
        <v>45825</v>
      </c>
      <c r="D133" s="24">
        <v>0</v>
      </c>
      <c r="E133" s="22"/>
      <c r="F133" s="22" t="s">
        <v>105</v>
      </c>
      <c r="G133" s="22" t="s">
        <v>508</v>
      </c>
      <c r="H133" s="22" t="s">
        <v>10</v>
      </c>
      <c r="I133" s="22" t="s">
        <v>5473</v>
      </c>
      <c r="J133" s="22" t="s">
        <v>39</v>
      </c>
      <c r="K133" s="22">
        <v>5.18125053004222e+18</v>
      </c>
      <c r="L133" s="22" t="s">
        <v>507</v>
      </c>
      <c r="M133" s="25"/>
    </row>
    <row r="134" customHeight="1" spans="1:13">
      <c r="A134" s="21">
        <v>45809</v>
      </c>
      <c r="B134" s="22" t="s">
        <v>5489</v>
      </c>
      <c r="C134" s="23">
        <v>45827</v>
      </c>
      <c r="D134" s="24">
        <v>0</v>
      </c>
      <c r="E134" s="22"/>
      <c r="F134" s="22" t="s">
        <v>105</v>
      </c>
      <c r="G134" s="22" t="s">
        <v>510</v>
      </c>
      <c r="H134" s="22" t="s">
        <v>10</v>
      </c>
      <c r="I134" s="22" t="s">
        <v>5473</v>
      </c>
      <c r="J134" s="22" t="s">
        <v>39</v>
      </c>
      <c r="K134" s="22">
        <v>5.1812502250382e+18</v>
      </c>
      <c r="L134" s="22" t="s">
        <v>512</v>
      </c>
      <c r="M134" s="25"/>
    </row>
    <row r="135" customHeight="1" spans="1:13">
      <c r="A135" s="21">
        <v>45809</v>
      </c>
      <c r="B135" s="22" t="s">
        <v>5489</v>
      </c>
      <c r="C135" s="23">
        <v>45827</v>
      </c>
      <c r="D135" s="24">
        <v>0</v>
      </c>
      <c r="E135" s="22"/>
      <c r="F135" s="22" t="s">
        <v>105</v>
      </c>
      <c r="G135" s="22" t="s">
        <v>514</v>
      </c>
      <c r="H135" s="22" t="s">
        <v>12</v>
      </c>
      <c r="I135" s="22" t="s">
        <v>5473</v>
      </c>
      <c r="J135" s="22" t="s">
        <v>39</v>
      </c>
      <c r="K135" s="22">
        <v>5.1812502250382e+18</v>
      </c>
      <c r="L135" s="22" t="s">
        <v>512</v>
      </c>
      <c r="M135" s="25"/>
    </row>
    <row r="136" customHeight="1" spans="1:13">
      <c r="A136" s="21">
        <v>45809</v>
      </c>
      <c r="B136" s="22" t="s">
        <v>5489</v>
      </c>
      <c r="C136" s="23">
        <v>45827</v>
      </c>
      <c r="D136" s="24">
        <v>0</v>
      </c>
      <c r="E136" s="22"/>
      <c r="F136" s="22" t="s">
        <v>105</v>
      </c>
      <c r="G136" s="22" t="s">
        <v>508</v>
      </c>
      <c r="H136" s="22" t="s">
        <v>10</v>
      </c>
      <c r="I136" s="22" t="s">
        <v>5473</v>
      </c>
      <c r="J136" s="22" t="s">
        <v>39</v>
      </c>
      <c r="K136" s="22">
        <v>5.1812502250382e+18</v>
      </c>
      <c r="L136" s="22" t="s">
        <v>512</v>
      </c>
      <c r="M136" s="25"/>
    </row>
    <row r="137" customHeight="1" spans="1:13">
      <c r="A137" s="21">
        <v>45809</v>
      </c>
      <c r="B137" s="22" t="s">
        <v>5489</v>
      </c>
      <c r="C137" s="23">
        <v>45827</v>
      </c>
      <c r="D137" s="24">
        <v>0</v>
      </c>
      <c r="E137" s="22"/>
      <c r="F137" s="22" t="s">
        <v>105</v>
      </c>
      <c r="G137" s="22" t="s">
        <v>517</v>
      </c>
      <c r="H137" s="22" t="s">
        <v>12</v>
      </c>
      <c r="I137" s="22" t="s">
        <v>5473</v>
      </c>
      <c r="J137" s="22" t="s">
        <v>39</v>
      </c>
      <c r="K137" s="22">
        <v>5.1812502250382e+18</v>
      </c>
      <c r="L137" s="22" t="s">
        <v>512</v>
      </c>
      <c r="M137" s="25"/>
    </row>
    <row r="138" customHeight="1" spans="1:13">
      <c r="A138" s="21">
        <v>45809</v>
      </c>
      <c r="B138" s="22" t="s">
        <v>5489</v>
      </c>
      <c r="C138" s="23">
        <v>45827</v>
      </c>
      <c r="D138" s="24">
        <v>0</v>
      </c>
      <c r="E138" s="22"/>
      <c r="F138" s="22" t="s">
        <v>105</v>
      </c>
      <c r="G138" s="22" t="s">
        <v>520</v>
      </c>
      <c r="H138" s="22" t="s">
        <v>12</v>
      </c>
      <c r="I138" s="22" t="s">
        <v>5473</v>
      </c>
      <c r="J138" s="22" t="s">
        <v>39</v>
      </c>
      <c r="K138" s="22">
        <v>5.1812502250382e+18</v>
      </c>
      <c r="L138" s="22" t="s">
        <v>512</v>
      </c>
      <c r="M138" s="25"/>
    </row>
    <row r="139" customHeight="1" spans="1:13">
      <c r="A139" s="21">
        <v>45809</v>
      </c>
      <c r="B139" s="22" t="s">
        <v>5489</v>
      </c>
      <c r="C139" s="23">
        <v>45828</v>
      </c>
      <c r="D139" s="24">
        <v>0</v>
      </c>
      <c r="E139" s="22"/>
      <c r="F139" s="22" t="s">
        <v>105</v>
      </c>
      <c r="G139" s="22" t="s">
        <v>524</v>
      </c>
      <c r="H139" s="22" t="s">
        <v>12</v>
      </c>
      <c r="I139" s="22" t="s">
        <v>5473</v>
      </c>
      <c r="J139" s="22" t="s">
        <v>39</v>
      </c>
      <c r="K139" s="22">
        <v>5.18124012300187e+18</v>
      </c>
      <c r="L139" s="22" t="s">
        <v>526</v>
      </c>
      <c r="M139" s="25"/>
    </row>
    <row r="140" customHeight="1" spans="1:13">
      <c r="A140" s="21">
        <v>45809</v>
      </c>
      <c r="B140" s="22" t="s">
        <v>5489</v>
      </c>
      <c r="C140" s="23">
        <v>45829</v>
      </c>
      <c r="D140" s="24">
        <v>0</v>
      </c>
      <c r="E140" s="22"/>
      <c r="F140" s="22" t="s">
        <v>105</v>
      </c>
      <c r="G140" s="22" t="s">
        <v>5490</v>
      </c>
      <c r="H140" s="22" t="s">
        <v>10</v>
      </c>
      <c r="I140" s="22" t="s">
        <v>5473</v>
      </c>
      <c r="J140" s="22" t="s">
        <v>40</v>
      </c>
      <c r="K140" s="22">
        <v>5.18120122100005e+18</v>
      </c>
      <c r="L140" s="22" t="s">
        <v>529</v>
      </c>
      <c r="M140" s="25"/>
    </row>
    <row r="141" customHeight="1" spans="1:13">
      <c r="A141" s="21">
        <v>45809</v>
      </c>
      <c r="B141" s="22" t="s">
        <v>5489</v>
      </c>
      <c r="C141" s="23">
        <v>45831</v>
      </c>
      <c r="D141" s="24">
        <v>0</v>
      </c>
      <c r="E141" s="22"/>
      <c r="F141" s="22" t="s">
        <v>105</v>
      </c>
      <c r="G141" s="22" t="s">
        <v>531</v>
      </c>
      <c r="H141" s="22" t="s">
        <v>12</v>
      </c>
      <c r="I141" s="22" t="s">
        <v>5473</v>
      </c>
      <c r="J141" s="22" t="s">
        <v>39</v>
      </c>
      <c r="K141" s="22">
        <v>5.18125051104139e+18</v>
      </c>
      <c r="L141" s="22" t="s">
        <v>533</v>
      </c>
      <c r="M141" s="25"/>
    </row>
    <row r="142" customHeight="1" spans="1:13">
      <c r="A142" s="21">
        <v>45809</v>
      </c>
      <c r="B142" s="22" t="s">
        <v>5489</v>
      </c>
      <c r="C142" s="23">
        <v>45831</v>
      </c>
      <c r="D142" s="24">
        <v>0</v>
      </c>
      <c r="E142" s="22"/>
      <c r="F142" s="22" t="s">
        <v>105</v>
      </c>
      <c r="G142" s="22" t="s">
        <v>534</v>
      </c>
      <c r="H142" s="22" t="s">
        <v>10</v>
      </c>
      <c r="I142" s="22" t="s">
        <v>5473</v>
      </c>
      <c r="J142" s="22" t="s">
        <v>39</v>
      </c>
      <c r="K142" s="22">
        <v>5.18125051104139e+18</v>
      </c>
      <c r="L142" s="22" t="s">
        <v>533</v>
      </c>
      <c r="M142" s="25"/>
    </row>
    <row r="143" customHeight="1" spans="1:13">
      <c r="A143" s="21">
        <v>45809</v>
      </c>
      <c r="B143" s="22" t="s">
        <v>5489</v>
      </c>
      <c r="C143" s="23">
        <v>45831</v>
      </c>
      <c r="D143" s="24">
        <v>0</v>
      </c>
      <c r="E143" s="22"/>
      <c r="F143" s="22" t="s">
        <v>105</v>
      </c>
      <c r="G143" s="22" t="s">
        <v>537</v>
      </c>
      <c r="H143" s="22" t="s">
        <v>12</v>
      </c>
      <c r="I143" s="22" t="s">
        <v>5473</v>
      </c>
      <c r="J143" s="22" t="s">
        <v>39</v>
      </c>
      <c r="K143" s="22">
        <v>5.18125051104139e+18</v>
      </c>
      <c r="L143" s="22" t="s">
        <v>533</v>
      </c>
      <c r="M143" s="25"/>
    </row>
    <row r="144" customHeight="1" spans="1:13">
      <c r="A144" s="21">
        <v>45809</v>
      </c>
      <c r="B144" s="22" t="s">
        <v>5489</v>
      </c>
      <c r="C144" s="23">
        <v>45832</v>
      </c>
      <c r="D144" s="24">
        <v>0</v>
      </c>
      <c r="E144" s="22"/>
      <c r="F144" s="22" t="s">
        <v>105</v>
      </c>
      <c r="G144" s="22" t="s">
        <v>541</v>
      </c>
      <c r="H144" s="22" t="s">
        <v>12</v>
      </c>
      <c r="I144" s="22" t="s">
        <v>5473</v>
      </c>
      <c r="J144" s="22" t="s">
        <v>39</v>
      </c>
      <c r="K144" s="22">
        <v>5.18123030400324e+18</v>
      </c>
      <c r="L144" s="22" t="s">
        <v>123</v>
      </c>
      <c r="M144" s="25"/>
    </row>
    <row r="145" customHeight="1" spans="1:13">
      <c r="A145" s="21">
        <v>45809</v>
      </c>
      <c r="B145" s="22" t="s">
        <v>5489</v>
      </c>
      <c r="C145" s="23">
        <v>45832</v>
      </c>
      <c r="D145" s="24">
        <v>0</v>
      </c>
      <c r="E145" s="22"/>
      <c r="F145" s="22" t="s">
        <v>105</v>
      </c>
      <c r="G145" s="22" t="s">
        <v>543</v>
      </c>
      <c r="H145" s="22" t="s">
        <v>12</v>
      </c>
      <c r="I145" s="22" t="s">
        <v>5473</v>
      </c>
      <c r="J145" s="22" t="s">
        <v>39</v>
      </c>
      <c r="K145" s="22">
        <v>5.18123030400324e+18</v>
      </c>
      <c r="L145" s="22" t="s">
        <v>123</v>
      </c>
      <c r="M145" s="25"/>
    </row>
    <row r="146" customHeight="1" spans="1:13">
      <c r="A146" s="21">
        <v>45839</v>
      </c>
      <c r="B146" s="22" t="s">
        <v>5491</v>
      </c>
      <c r="C146" s="23">
        <v>45841</v>
      </c>
      <c r="D146" s="24">
        <v>0</v>
      </c>
      <c r="E146" s="22"/>
      <c r="F146" s="22" t="s">
        <v>7</v>
      </c>
      <c r="G146" s="22" t="s">
        <v>548</v>
      </c>
      <c r="H146" s="22" t="s">
        <v>11</v>
      </c>
      <c r="I146" s="22" t="s">
        <v>5473</v>
      </c>
      <c r="J146" s="22" t="s">
        <v>41</v>
      </c>
      <c r="K146" s="22">
        <v>5.18124120603634e+18</v>
      </c>
      <c r="L146" s="22" t="s">
        <v>550</v>
      </c>
      <c r="M146" s="25"/>
    </row>
    <row r="147" customHeight="1" spans="1:13">
      <c r="A147" s="21">
        <v>45839</v>
      </c>
      <c r="B147" s="22" t="s">
        <v>5491</v>
      </c>
      <c r="C147" s="23">
        <v>45846</v>
      </c>
      <c r="D147" s="24">
        <v>0</v>
      </c>
      <c r="E147" s="22"/>
      <c r="F147" s="22" t="s">
        <v>105</v>
      </c>
      <c r="G147" s="22" t="s">
        <v>551</v>
      </c>
      <c r="H147" s="22" t="s">
        <v>12</v>
      </c>
      <c r="I147" s="22" t="s">
        <v>5473</v>
      </c>
      <c r="J147" s="22" t="s">
        <v>39</v>
      </c>
      <c r="K147" s="22">
        <v>5.18123102400102e+18</v>
      </c>
      <c r="L147" s="22" t="s">
        <v>553</v>
      </c>
      <c r="M147" s="25"/>
    </row>
    <row r="148" customHeight="1" spans="1:13">
      <c r="A148" s="21">
        <v>45839</v>
      </c>
      <c r="B148" s="22" t="s">
        <v>5491</v>
      </c>
      <c r="C148" s="23">
        <v>45847</v>
      </c>
      <c r="D148" s="24">
        <v>0</v>
      </c>
      <c r="E148" s="22"/>
      <c r="F148" s="22" t="s">
        <v>105</v>
      </c>
      <c r="G148" s="22" t="s">
        <v>554</v>
      </c>
      <c r="H148" s="22" t="s">
        <v>12</v>
      </c>
      <c r="I148" s="22" t="s">
        <v>5473</v>
      </c>
      <c r="J148" s="22" t="s">
        <v>39</v>
      </c>
      <c r="K148" s="22">
        <v>5.18124062701172e+18</v>
      </c>
      <c r="L148" s="22" t="s">
        <v>556</v>
      </c>
      <c r="M148" s="25"/>
    </row>
    <row r="149" customHeight="1" spans="1:13">
      <c r="A149" s="21">
        <v>45839</v>
      </c>
      <c r="B149" s="22" t="s">
        <v>5491</v>
      </c>
      <c r="C149" s="23">
        <v>45848</v>
      </c>
      <c r="D149" s="24">
        <v>0</v>
      </c>
      <c r="E149" s="22"/>
      <c r="F149" s="22" t="s">
        <v>105</v>
      </c>
      <c r="G149" s="22" t="s">
        <v>557</v>
      </c>
      <c r="H149" s="22" t="s">
        <v>12</v>
      </c>
      <c r="I149" s="22" t="s">
        <v>5473</v>
      </c>
      <c r="J149" s="22" t="s">
        <v>39</v>
      </c>
      <c r="K149" s="22">
        <v>5.18122122800302e+18</v>
      </c>
      <c r="L149" s="22" t="s">
        <v>559</v>
      </c>
      <c r="M149" s="25"/>
    </row>
    <row r="150" customHeight="1" spans="1:13">
      <c r="A150" s="21">
        <v>45839</v>
      </c>
      <c r="B150" s="22" t="s">
        <v>5491</v>
      </c>
      <c r="C150" s="23">
        <v>45848</v>
      </c>
      <c r="D150" s="24">
        <v>0</v>
      </c>
      <c r="E150" s="22"/>
      <c r="F150" s="22" t="s">
        <v>105</v>
      </c>
      <c r="G150" s="22" t="s">
        <v>560</v>
      </c>
      <c r="H150" s="22" t="s">
        <v>12</v>
      </c>
      <c r="I150" s="22" t="s">
        <v>5473</v>
      </c>
      <c r="J150" s="22" t="s">
        <v>39</v>
      </c>
      <c r="K150" s="22">
        <v>5.18122122800302e+18</v>
      </c>
      <c r="L150" s="22" t="s">
        <v>559</v>
      </c>
      <c r="M150" s="25"/>
    </row>
    <row r="151" customHeight="1" spans="1:13">
      <c r="A151" s="21">
        <v>45839</v>
      </c>
      <c r="B151" s="22" t="s">
        <v>5491</v>
      </c>
      <c r="C151" s="23">
        <v>45849</v>
      </c>
      <c r="D151" s="24">
        <v>0</v>
      </c>
      <c r="E151" s="22"/>
      <c r="F151" s="22" t="s">
        <v>105</v>
      </c>
      <c r="G151" s="22" t="s">
        <v>563</v>
      </c>
      <c r="H151" s="22" t="s">
        <v>10</v>
      </c>
      <c r="I151" s="22" t="s">
        <v>5473</v>
      </c>
      <c r="J151" s="22" t="s">
        <v>39</v>
      </c>
      <c r="K151" s="22">
        <v>5.18124032500278e+18</v>
      </c>
      <c r="L151" s="22" t="s">
        <v>565</v>
      </c>
      <c r="M151" s="25"/>
    </row>
    <row r="152" customHeight="1" spans="1:13">
      <c r="A152" s="21">
        <v>45839</v>
      </c>
      <c r="B152" s="22" t="s">
        <v>5491</v>
      </c>
      <c r="C152" s="23">
        <v>45849</v>
      </c>
      <c r="D152" s="24">
        <v>0</v>
      </c>
      <c r="E152" s="22"/>
      <c r="F152" s="22" t="s">
        <v>105</v>
      </c>
      <c r="G152" s="22" t="s">
        <v>566</v>
      </c>
      <c r="H152" s="22" t="s">
        <v>10</v>
      </c>
      <c r="I152" s="22" t="s">
        <v>5473</v>
      </c>
      <c r="J152" s="22" t="s">
        <v>39</v>
      </c>
      <c r="K152" s="22">
        <v>5.18124032500278e+18</v>
      </c>
      <c r="L152" s="22" t="s">
        <v>565</v>
      </c>
      <c r="M152" s="25"/>
    </row>
    <row r="153" customHeight="1" spans="1:13">
      <c r="A153" s="21">
        <v>45839</v>
      </c>
      <c r="B153" s="22" t="s">
        <v>5491</v>
      </c>
      <c r="C153" s="23">
        <v>45849</v>
      </c>
      <c r="D153" s="24">
        <v>0</v>
      </c>
      <c r="E153" s="22"/>
      <c r="F153" s="22" t="s">
        <v>105</v>
      </c>
      <c r="G153" s="22" t="s">
        <v>569</v>
      </c>
      <c r="H153" s="22" t="s">
        <v>10</v>
      </c>
      <c r="I153" s="22" t="s">
        <v>5473</v>
      </c>
      <c r="J153" s="22" t="s">
        <v>39</v>
      </c>
      <c r="K153" s="22">
        <v>5.18124032500278e+18</v>
      </c>
      <c r="L153" s="22" t="s">
        <v>565</v>
      </c>
      <c r="M153" s="25"/>
    </row>
    <row r="154" customHeight="1" spans="1:13">
      <c r="A154" s="21">
        <v>45839</v>
      </c>
      <c r="B154" s="22" t="s">
        <v>5491</v>
      </c>
      <c r="C154" s="23">
        <v>45849</v>
      </c>
      <c r="D154" s="24">
        <v>0</v>
      </c>
      <c r="E154" s="22"/>
      <c r="F154" s="22" t="s">
        <v>105</v>
      </c>
      <c r="G154" s="22" t="s">
        <v>572</v>
      </c>
      <c r="H154" s="22" t="s">
        <v>12</v>
      </c>
      <c r="I154" s="22" t="s">
        <v>5473</v>
      </c>
      <c r="J154" s="22" t="s">
        <v>47</v>
      </c>
      <c r="K154" s="22">
        <v>5.18124032500278e+18</v>
      </c>
      <c r="L154" s="22" t="s">
        <v>565</v>
      </c>
      <c r="M154" s="25"/>
    </row>
    <row r="155" customHeight="1" spans="1:13">
      <c r="A155" s="21">
        <v>45839</v>
      </c>
      <c r="B155" s="22" t="s">
        <v>5491</v>
      </c>
      <c r="C155" s="23">
        <v>45850</v>
      </c>
      <c r="D155" s="24">
        <v>0</v>
      </c>
      <c r="E155" s="22"/>
      <c r="F155" s="22" t="s">
        <v>105</v>
      </c>
      <c r="G155" s="22" t="s">
        <v>576</v>
      </c>
      <c r="H155" s="22" t="s">
        <v>10</v>
      </c>
      <c r="I155" s="22" t="s">
        <v>5473</v>
      </c>
      <c r="J155" s="22" t="s">
        <v>40</v>
      </c>
      <c r="K155" s="22">
        <v>5.18120122100005e+18</v>
      </c>
      <c r="L155" s="22" t="s">
        <v>529</v>
      </c>
      <c r="M155" s="25"/>
    </row>
    <row r="156" customHeight="1" spans="1:13">
      <c r="A156" s="21">
        <v>45839</v>
      </c>
      <c r="B156" s="22" t="s">
        <v>5491</v>
      </c>
      <c r="C156" s="23">
        <v>45853</v>
      </c>
      <c r="D156" s="24">
        <v>0</v>
      </c>
      <c r="E156" s="22"/>
      <c r="F156" s="22" t="s">
        <v>105</v>
      </c>
      <c r="G156" s="22" t="s">
        <v>577</v>
      </c>
      <c r="H156" s="22" t="s">
        <v>12</v>
      </c>
      <c r="I156" s="22" t="s">
        <v>5473</v>
      </c>
      <c r="J156" s="22" t="s">
        <v>39</v>
      </c>
      <c r="K156" s="22">
        <v>5.18124012700191e+18</v>
      </c>
      <c r="L156" s="22" t="s">
        <v>452</v>
      </c>
      <c r="M156" s="25"/>
    </row>
    <row r="157" customHeight="1" spans="1:13">
      <c r="A157" s="21">
        <v>45839</v>
      </c>
      <c r="B157" s="22" t="s">
        <v>5491</v>
      </c>
      <c r="C157" s="23">
        <v>45853</v>
      </c>
      <c r="D157" s="24">
        <v>0</v>
      </c>
      <c r="E157" s="22"/>
      <c r="F157" s="22" t="s">
        <v>105</v>
      </c>
      <c r="G157" s="22" t="s">
        <v>578</v>
      </c>
      <c r="H157" s="22" t="s">
        <v>12</v>
      </c>
      <c r="I157" s="22" t="s">
        <v>5473</v>
      </c>
      <c r="J157" s="22" t="s">
        <v>39</v>
      </c>
      <c r="K157" s="22">
        <v>5.18124012700191e+18</v>
      </c>
      <c r="L157" s="22" t="s">
        <v>452</v>
      </c>
      <c r="M157" s="25"/>
    </row>
    <row r="158" customHeight="1" spans="1:13">
      <c r="A158" s="21">
        <v>45839</v>
      </c>
      <c r="B158" s="22" t="s">
        <v>5491</v>
      </c>
      <c r="C158" s="23">
        <v>45853</v>
      </c>
      <c r="D158" s="24">
        <v>0</v>
      </c>
      <c r="E158" s="22"/>
      <c r="F158" s="22" t="s">
        <v>105</v>
      </c>
      <c r="G158" s="22" t="s">
        <v>581</v>
      </c>
      <c r="H158" s="22" t="s">
        <v>10</v>
      </c>
      <c r="I158" s="22" t="s">
        <v>5473</v>
      </c>
      <c r="J158" s="22" t="s">
        <v>39</v>
      </c>
      <c r="K158" s="22">
        <v>5.18124012700191e+18</v>
      </c>
      <c r="L158" s="22" t="s">
        <v>452</v>
      </c>
      <c r="M158" s="25"/>
    </row>
    <row r="159" customHeight="1" spans="1:13">
      <c r="A159" s="21">
        <v>45839</v>
      </c>
      <c r="B159" s="22" t="s">
        <v>5491</v>
      </c>
      <c r="C159" s="23">
        <v>45853</v>
      </c>
      <c r="D159" s="24">
        <v>0</v>
      </c>
      <c r="E159" s="22"/>
      <c r="F159" s="22" t="s">
        <v>105</v>
      </c>
      <c r="G159" s="22" t="s">
        <v>585</v>
      </c>
      <c r="H159" s="22" t="s">
        <v>12</v>
      </c>
      <c r="I159" s="22" t="s">
        <v>5473</v>
      </c>
      <c r="J159" s="22" t="s">
        <v>39</v>
      </c>
      <c r="K159" s="22">
        <v>5.18124012700191e+18</v>
      </c>
      <c r="L159" s="22" t="s">
        <v>452</v>
      </c>
      <c r="M159" s="25"/>
    </row>
    <row r="160" customHeight="1" spans="1:13">
      <c r="A160" s="21">
        <v>45839</v>
      </c>
      <c r="B160" s="22" t="s">
        <v>5492</v>
      </c>
      <c r="C160" s="23">
        <v>45854</v>
      </c>
      <c r="D160" s="24">
        <v>0</v>
      </c>
      <c r="E160" s="22"/>
      <c r="F160" s="22" t="s">
        <v>7</v>
      </c>
      <c r="G160" s="22" t="s">
        <v>589</v>
      </c>
      <c r="H160" s="22" t="s">
        <v>11</v>
      </c>
      <c r="I160" s="22" t="s">
        <v>5473</v>
      </c>
      <c r="J160" s="22" t="s">
        <v>41</v>
      </c>
      <c r="K160" s="22">
        <v>5.18123121400145e+18</v>
      </c>
      <c r="L160" s="22" t="s">
        <v>591</v>
      </c>
      <c r="M160" s="25"/>
    </row>
    <row r="161" customHeight="1" spans="1:13">
      <c r="A161" s="21">
        <v>45839</v>
      </c>
      <c r="B161" s="22" t="s">
        <v>5492</v>
      </c>
      <c r="C161" s="23">
        <v>45854</v>
      </c>
      <c r="D161" s="24">
        <v>0</v>
      </c>
      <c r="E161" s="22"/>
      <c r="F161" s="22" t="s">
        <v>105</v>
      </c>
      <c r="G161" s="22" t="s">
        <v>592</v>
      </c>
      <c r="H161" s="22" t="s">
        <v>12</v>
      </c>
      <c r="I161" s="22" t="s">
        <v>5473</v>
      </c>
      <c r="J161" s="22" t="s">
        <v>39</v>
      </c>
      <c r="K161" s="22">
        <v>5.18123121400145e+18</v>
      </c>
      <c r="L161" s="22" t="s">
        <v>591</v>
      </c>
      <c r="M161" s="25"/>
    </row>
    <row r="162" customHeight="1" spans="1:13">
      <c r="A162" s="21">
        <v>45839</v>
      </c>
      <c r="B162" s="22" t="s">
        <v>5492</v>
      </c>
      <c r="C162" s="23">
        <v>45854</v>
      </c>
      <c r="D162" s="24">
        <v>0</v>
      </c>
      <c r="E162" s="22"/>
      <c r="F162" s="22" t="s">
        <v>105</v>
      </c>
      <c r="G162" s="22" t="s">
        <v>595</v>
      </c>
      <c r="H162" s="22" t="s">
        <v>10</v>
      </c>
      <c r="I162" s="22" t="s">
        <v>5473</v>
      </c>
      <c r="J162" s="22" t="s">
        <v>39</v>
      </c>
      <c r="K162" s="22">
        <v>5.18123121400145e+18</v>
      </c>
      <c r="L162" s="22" t="s">
        <v>591</v>
      </c>
      <c r="M162" s="25"/>
    </row>
    <row r="163" customHeight="1" spans="1:13">
      <c r="A163" s="21">
        <v>45839</v>
      </c>
      <c r="B163" s="22" t="s">
        <v>5492</v>
      </c>
      <c r="C163" s="23">
        <v>45856</v>
      </c>
      <c r="D163" s="24">
        <v>0</v>
      </c>
      <c r="E163" s="22"/>
      <c r="F163" s="22" t="s">
        <v>7</v>
      </c>
      <c r="G163" s="22" t="s">
        <v>596</v>
      </c>
      <c r="H163" s="22" t="s">
        <v>11</v>
      </c>
      <c r="I163" s="22" t="s">
        <v>5473</v>
      </c>
      <c r="J163" s="22" t="s">
        <v>41</v>
      </c>
      <c r="K163" s="22">
        <v>5.18125042104066e+18</v>
      </c>
      <c r="L163" s="22" t="s">
        <v>598</v>
      </c>
      <c r="M163" s="25"/>
    </row>
    <row r="164" customHeight="1" spans="1:13">
      <c r="A164" s="21">
        <v>45839</v>
      </c>
      <c r="B164" s="22" t="s">
        <v>5492</v>
      </c>
      <c r="C164" s="23">
        <v>45856</v>
      </c>
      <c r="D164" s="24">
        <v>0</v>
      </c>
      <c r="E164" s="22"/>
      <c r="F164" s="22" t="s">
        <v>105</v>
      </c>
      <c r="G164" s="22" t="s">
        <v>600</v>
      </c>
      <c r="H164" s="22" t="s">
        <v>12</v>
      </c>
      <c r="I164" s="22" t="s">
        <v>5473</v>
      </c>
      <c r="J164" s="22" t="s">
        <v>39</v>
      </c>
      <c r="K164" s="22">
        <v>5.18125042104066e+18</v>
      </c>
      <c r="L164" s="22" t="s">
        <v>598</v>
      </c>
      <c r="M164" s="25"/>
    </row>
    <row r="165" customHeight="1" spans="1:13">
      <c r="A165" s="21">
        <v>45839</v>
      </c>
      <c r="B165" s="22" t="s">
        <v>5492</v>
      </c>
      <c r="C165" s="23">
        <v>45861</v>
      </c>
      <c r="D165" s="24">
        <v>0</v>
      </c>
      <c r="E165" s="22"/>
      <c r="F165" s="22" t="s">
        <v>105</v>
      </c>
      <c r="G165" s="22" t="s">
        <v>602</v>
      </c>
      <c r="H165" s="22" t="s">
        <v>10</v>
      </c>
      <c r="I165" s="22" t="s">
        <v>5473</v>
      </c>
      <c r="J165" s="22" t="s">
        <v>39</v>
      </c>
      <c r="K165" s="22">
        <v>5.18125031003875e+18</v>
      </c>
      <c r="L165" s="22" t="s">
        <v>349</v>
      </c>
      <c r="M165" s="25"/>
    </row>
    <row r="166" customHeight="1" spans="1:13">
      <c r="A166" s="21">
        <v>45839</v>
      </c>
      <c r="B166" s="22" t="s">
        <v>5492</v>
      </c>
      <c r="C166" s="23">
        <v>45862</v>
      </c>
      <c r="D166" s="24">
        <v>0</v>
      </c>
      <c r="E166" s="22"/>
      <c r="F166" s="22" t="s">
        <v>105</v>
      </c>
      <c r="G166" s="22" t="s">
        <v>603</v>
      </c>
      <c r="H166" s="22" t="s">
        <v>12</v>
      </c>
      <c r="I166" s="22" t="s">
        <v>5473</v>
      </c>
      <c r="J166" s="22" t="s">
        <v>39</v>
      </c>
      <c r="K166" s="22">
        <v>5.18125061504347e+18</v>
      </c>
      <c r="L166" s="22" t="s">
        <v>605</v>
      </c>
      <c r="M166" s="25"/>
    </row>
    <row r="167" customHeight="1" spans="1:13">
      <c r="A167" s="21">
        <v>45839</v>
      </c>
      <c r="B167" s="22" t="s">
        <v>5492</v>
      </c>
      <c r="C167" s="23">
        <v>45866</v>
      </c>
      <c r="D167" s="24">
        <v>0</v>
      </c>
      <c r="E167" s="22"/>
      <c r="F167" s="22" t="s">
        <v>105</v>
      </c>
      <c r="G167" s="22" t="s">
        <v>606</v>
      </c>
      <c r="H167" s="22" t="s">
        <v>12</v>
      </c>
      <c r="I167" s="22" t="s">
        <v>5473</v>
      </c>
      <c r="J167" s="22" t="s">
        <v>39</v>
      </c>
      <c r="K167" s="22">
        <v>5.18123042400349e+18</v>
      </c>
      <c r="L167" s="22" t="s">
        <v>608</v>
      </c>
      <c r="M167" s="25"/>
    </row>
    <row r="168" customHeight="1" spans="1:13">
      <c r="A168" s="21">
        <v>45870</v>
      </c>
      <c r="B168" s="22" t="s">
        <v>5493</v>
      </c>
      <c r="C168" s="23">
        <v>45873</v>
      </c>
      <c r="D168" s="24">
        <v>0</v>
      </c>
      <c r="E168" s="22"/>
      <c r="F168" s="22" t="s">
        <v>7</v>
      </c>
      <c r="G168" s="22" t="s">
        <v>609</v>
      </c>
      <c r="H168" s="22" t="s">
        <v>11</v>
      </c>
      <c r="I168" s="22" t="s">
        <v>5473</v>
      </c>
      <c r="J168" s="22" t="s">
        <v>41</v>
      </c>
      <c r="K168" s="22">
        <v>5.18125072504525e+18</v>
      </c>
      <c r="L168" s="22" t="s">
        <v>611</v>
      </c>
      <c r="M168" s="25"/>
    </row>
    <row r="169" customHeight="1" spans="1:13">
      <c r="A169" s="21">
        <v>45870</v>
      </c>
      <c r="B169" s="22" t="s">
        <v>5493</v>
      </c>
      <c r="C169" s="23">
        <v>45873</v>
      </c>
      <c r="D169" s="24">
        <v>0</v>
      </c>
      <c r="E169" s="22"/>
      <c r="F169" s="22" t="s">
        <v>105</v>
      </c>
      <c r="G169" s="22" t="s">
        <v>5494</v>
      </c>
      <c r="H169" s="22" t="s">
        <v>12</v>
      </c>
      <c r="I169" s="22" t="s">
        <v>5473</v>
      </c>
      <c r="J169" s="22" t="s">
        <v>39</v>
      </c>
      <c r="K169" s="22">
        <v>5.18125072504525e+18</v>
      </c>
      <c r="L169" s="22" t="s">
        <v>611</v>
      </c>
      <c r="M169" s="25"/>
    </row>
    <row r="170" customHeight="1" spans="1:13">
      <c r="A170" s="21">
        <v>45870</v>
      </c>
      <c r="B170" s="22" t="s">
        <v>5493</v>
      </c>
      <c r="C170" s="23">
        <v>45875</v>
      </c>
      <c r="D170" s="24">
        <v>0</v>
      </c>
      <c r="E170" s="22"/>
      <c r="F170" s="22" t="s">
        <v>105</v>
      </c>
      <c r="G170" s="22" t="s">
        <v>615</v>
      </c>
      <c r="H170" s="22" t="s">
        <v>10</v>
      </c>
      <c r="I170" s="22" t="s">
        <v>5473</v>
      </c>
      <c r="J170" s="22" t="s">
        <v>39</v>
      </c>
      <c r="K170" s="22">
        <v>5.18125010403706e+18</v>
      </c>
      <c r="L170" s="22" t="s">
        <v>617</v>
      </c>
      <c r="M170" s="25"/>
    </row>
    <row r="171" customHeight="1" spans="1:13">
      <c r="A171" s="21">
        <v>45870</v>
      </c>
      <c r="B171" s="22" t="s">
        <v>5493</v>
      </c>
      <c r="C171" s="23">
        <v>45875</v>
      </c>
      <c r="D171" s="24">
        <v>0</v>
      </c>
      <c r="E171" s="22"/>
      <c r="F171" s="22" t="s">
        <v>7</v>
      </c>
      <c r="G171" s="22" t="s">
        <v>618</v>
      </c>
      <c r="H171" s="22" t="s">
        <v>11</v>
      </c>
      <c r="I171" s="22" t="s">
        <v>5473</v>
      </c>
      <c r="J171" s="22" t="s">
        <v>41</v>
      </c>
      <c r="K171" s="22">
        <v>5.18125010403706e+18</v>
      </c>
      <c r="L171" s="22" t="s">
        <v>617</v>
      </c>
      <c r="M171" s="25"/>
    </row>
    <row r="172" customHeight="1" spans="1:13">
      <c r="A172" s="21">
        <v>45870</v>
      </c>
      <c r="B172" s="22" t="s">
        <v>5493</v>
      </c>
      <c r="C172" s="23">
        <v>45881</v>
      </c>
      <c r="D172" s="24">
        <v>0</v>
      </c>
      <c r="E172" s="22"/>
      <c r="F172" s="22" t="s">
        <v>105</v>
      </c>
      <c r="G172" s="22" t="s">
        <v>621</v>
      </c>
      <c r="H172" s="22" t="s">
        <v>12</v>
      </c>
      <c r="I172" s="22" t="s">
        <v>5473</v>
      </c>
      <c r="J172" s="22" t="s">
        <v>39</v>
      </c>
      <c r="K172" s="22">
        <v>5.18124031000239e+18</v>
      </c>
      <c r="L172" s="22" t="s">
        <v>623</v>
      </c>
      <c r="M172" s="25"/>
    </row>
    <row r="173" customHeight="1" spans="1:13">
      <c r="A173" s="21">
        <v>45870</v>
      </c>
      <c r="B173" s="22" t="s">
        <v>5493</v>
      </c>
      <c r="C173" s="23">
        <v>45882</v>
      </c>
      <c r="D173" s="24">
        <v>0</v>
      </c>
      <c r="E173" s="22"/>
      <c r="F173" s="22" t="s">
        <v>105</v>
      </c>
      <c r="G173" s="22" t="s">
        <v>624</v>
      </c>
      <c r="H173" s="22" t="s">
        <v>12</v>
      </c>
      <c r="I173" s="22" t="s">
        <v>5473</v>
      </c>
      <c r="J173" s="22" t="s">
        <v>39</v>
      </c>
      <c r="K173" s="22">
        <v>5.18124061400644e+18</v>
      </c>
      <c r="L173" s="22" t="s">
        <v>626</v>
      </c>
      <c r="M173" s="25"/>
    </row>
    <row r="174" customHeight="1" spans="1:13">
      <c r="A174" s="21">
        <v>45870</v>
      </c>
      <c r="B174" s="22" t="s">
        <v>5495</v>
      </c>
      <c r="C174" s="23">
        <v>45887</v>
      </c>
      <c r="D174" s="24">
        <v>0</v>
      </c>
      <c r="E174" s="22"/>
      <c r="F174" s="22" t="s">
        <v>105</v>
      </c>
      <c r="G174" s="22" t="s">
        <v>627</v>
      </c>
      <c r="H174" s="22" t="s">
        <v>12</v>
      </c>
      <c r="I174" s="22" t="s">
        <v>5473</v>
      </c>
      <c r="J174" s="22" t="s">
        <v>39</v>
      </c>
      <c r="K174" s="22">
        <v>5.18124071601591e+18</v>
      </c>
      <c r="L174" s="22" t="s">
        <v>629</v>
      </c>
      <c r="M174" s="25"/>
    </row>
    <row r="175" customHeight="1" spans="1:13">
      <c r="A175" s="21">
        <v>45870</v>
      </c>
      <c r="B175" s="22" t="s">
        <v>5495</v>
      </c>
      <c r="C175" s="23">
        <v>45887</v>
      </c>
      <c r="D175" s="24">
        <v>0</v>
      </c>
      <c r="E175" s="22"/>
      <c r="F175" s="22" t="s">
        <v>105</v>
      </c>
      <c r="G175" s="22" t="s">
        <v>630</v>
      </c>
      <c r="H175" s="22" t="s">
        <v>12</v>
      </c>
      <c r="I175" s="22" t="s">
        <v>5473</v>
      </c>
      <c r="J175" s="22" t="s">
        <v>39</v>
      </c>
      <c r="K175" s="22">
        <v>5.18124071601591e+18</v>
      </c>
      <c r="L175" s="22" t="s">
        <v>629</v>
      </c>
      <c r="M175" s="25"/>
    </row>
    <row r="176" customHeight="1" spans="1:13">
      <c r="A176" s="21">
        <v>45870</v>
      </c>
      <c r="B176" s="22" t="s">
        <v>5495</v>
      </c>
      <c r="C176" s="23">
        <v>45888</v>
      </c>
      <c r="D176" s="24">
        <v>0</v>
      </c>
      <c r="E176" s="22"/>
      <c r="F176" s="22" t="s">
        <v>105</v>
      </c>
      <c r="G176" s="22" t="s">
        <v>631</v>
      </c>
      <c r="H176" s="22" t="s">
        <v>12</v>
      </c>
      <c r="I176" s="22" t="s">
        <v>5473</v>
      </c>
      <c r="J176" s="22" t="s">
        <v>39</v>
      </c>
      <c r="K176" s="22">
        <v>5.1812406290124e+18</v>
      </c>
      <c r="L176" s="22" t="s">
        <v>633</v>
      </c>
      <c r="M176" s="25"/>
    </row>
    <row r="177" customHeight="1" spans="1:13">
      <c r="A177" s="21">
        <v>45870</v>
      </c>
      <c r="B177" s="22" t="s">
        <v>5495</v>
      </c>
      <c r="C177" s="23">
        <v>45888</v>
      </c>
      <c r="D177" s="24">
        <v>0</v>
      </c>
      <c r="E177" s="22"/>
      <c r="F177" s="22" t="s">
        <v>7</v>
      </c>
      <c r="G177" s="22" t="s">
        <v>634</v>
      </c>
      <c r="H177" s="22" t="s">
        <v>11</v>
      </c>
      <c r="I177" s="22" t="s">
        <v>5473</v>
      </c>
      <c r="J177" s="22" t="s">
        <v>41</v>
      </c>
      <c r="K177" s="22">
        <v>5.1812406290124e+18</v>
      </c>
      <c r="L177" s="22" t="s">
        <v>633</v>
      </c>
      <c r="M177" s="25"/>
    </row>
    <row r="178" customHeight="1" spans="1:13">
      <c r="A178" s="21">
        <v>45870</v>
      </c>
      <c r="B178" s="22" t="s">
        <v>5495</v>
      </c>
      <c r="C178" s="23">
        <v>45888</v>
      </c>
      <c r="D178" s="24">
        <v>0</v>
      </c>
      <c r="E178" s="22"/>
      <c r="F178" s="22" t="s">
        <v>7</v>
      </c>
      <c r="G178" s="22" t="s">
        <v>637</v>
      </c>
      <c r="H178" s="22" t="s">
        <v>11</v>
      </c>
      <c r="I178" s="22" t="s">
        <v>5473</v>
      </c>
      <c r="J178" s="22" t="s">
        <v>41</v>
      </c>
      <c r="K178" s="22">
        <v>5.1812406290124e+18</v>
      </c>
      <c r="L178" s="22" t="s">
        <v>633</v>
      </c>
      <c r="M178" s="25"/>
    </row>
    <row r="179" customHeight="1" spans="1:13">
      <c r="A179" s="21">
        <v>45870</v>
      </c>
      <c r="B179" s="22" t="s">
        <v>5495</v>
      </c>
      <c r="C179" s="23">
        <v>45888</v>
      </c>
      <c r="D179" s="24">
        <v>0</v>
      </c>
      <c r="E179" s="22"/>
      <c r="F179" s="22" t="s">
        <v>105</v>
      </c>
      <c r="G179" s="22" t="s">
        <v>640</v>
      </c>
      <c r="H179" s="22" t="s">
        <v>12</v>
      </c>
      <c r="I179" s="22" t="s">
        <v>5473</v>
      </c>
      <c r="J179" s="22" t="s">
        <v>39</v>
      </c>
      <c r="K179" s="22">
        <v>5.1812406290124e+18</v>
      </c>
      <c r="L179" s="22" t="s">
        <v>633</v>
      </c>
      <c r="M179" s="25"/>
    </row>
    <row r="180" customHeight="1" spans="1:13">
      <c r="A180" s="21">
        <v>45870</v>
      </c>
      <c r="B180" s="22" t="s">
        <v>5495</v>
      </c>
      <c r="C180" s="23">
        <v>45890</v>
      </c>
      <c r="D180" s="24">
        <v>0</v>
      </c>
      <c r="E180" s="22"/>
      <c r="F180" s="22" t="s">
        <v>105</v>
      </c>
      <c r="G180" s="22" t="s">
        <v>643</v>
      </c>
      <c r="H180" s="22" t="s">
        <v>12</v>
      </c>
      <c r="I180" s="22" t="s">
        <v>5473</v>
      </c>
      <c r="J180" s="22" t="s">
        <v>39</v>
      </c>
      <c r="K180" s="22">
        <v>5.18125072504525e+18</v>
      </c>
      <c r="L180" s="22" t="s">
        <v>645</v>
      </c>
      <c r="M180" s="25"/>
    </row>
    <row r="181" customHeight="1" spans="1:13">
      <c r="A181" s="21">
        <v>45870</v>
      </c>
      <c r="B181" s="22" t="s">
        <v>5495</v>
      </c>
      <c r="C181" s="23">
        <v>45894</v>
      </c>
      <c r="D181" s="24">
        <v>0</v>
      </c>
      <c r="E181" s="22"/>
      <c r="F181" s="22" t="s">
        <v>105</v>
      </c>
      <c r="G181" s="22" t="s">
        <v>5496</v>
      </c>
      <c r="H181" s="22" t="s">
        <v>12</v>
      </c>
      <c r="I181" s="22" t="s">
        <v>5473</v>
      </c>
      <c r="J181" s="22" t="s">
        <v>39</v>
      </c>
      <c r="K181" s="22">
        <v>5.18124121203647e+18</v>
      </c>
      <c r="L181" s="22" t="s">
        <v>131</v>
      </c>
      <c r="M181" s="25"/>
    </row>
    <row r="182" customHeight="1" spans="1:13">
      <c r="A182" s="21">
        <v>45870</v>
      </c>
      <c r="B182" s="22" t="s">
        <v>5495</v>
      </c>
      <c r="C182" s="23">
        <v>45894</v>
      </c>
      <c r="D182" s="24">
        <v>0</v>
      </c>
      <c r="E182" s="22"/>
      <c r="F182" s="22" t="s">
        <v>105</v>
      </c>
      <c r="G182" s="22" t="s">
        <v>647</v>
      </c>
      <c r="H182" s="22" t="s">
        <v>12</v>
      </c>
      <c r="I182" s="22" t="s">
        <v>5473</v>
      </c>
      <c r="J182" s="22" t="s">
        <v>39</v>
      </c>
      <c r="K182" s="22">
        <v>5.18124121203647e+18</v>
      </c>
      <c r="L182" s="22" t="s">
        <v>131</v>
      </c>
      <c r="M182" s="25"/>
    </row>
    <row r="183" customHeight="1" spans="1:13">
      <c r="A183" s="21">
        <v>45870</v>
      </c>
      <c r="B183" s="22" t="s">
        <v>5495</v>
      </c>
      <c r="C183" s="23">
        <v>45894</v>
      </c>
      <c r="D183" s="24">
        <v>0</v>
      </c>
      <c r="E183" s="22"/>
      <c r="F183" s="22" t="s">
        <v>105</v>
      </c>
      <c r="G183" s="22" t="s">
        <v>648</v>
      </c>
      <c r="H183" s="22" t="s">
        <v>12</v>
      </c>
      <c r="I183" s="22" t="s">
        <v>5473</v>
      </c>
      <c r="J183" s="22" t="s">
        <v>39</v>
      </c>
      <c r="K183" s="22">
        <v>5.18124121203647e+18</v>
      </c>
      <c r="L183" s="22" t="s">
        <v>131</v>
      </c>
      <c r="M183" s="25"/>
    </row>
    <row r="184" customHeight="1" spans="1:13">
      <c r="A184" s="21">
        <v>45870</v>
      </c>
      <c r="B184" s="22" t="s">
        <v>5495</v>
      </c>
      <c r="C184" s="23">
        <v>45895</v>
      </c>
      <c r="D184" s="24">
        <v>0</v>
      </c>
      <c r="E184" s="22"/>
      <c r="F184" s="22" t="s">
        <v>105</v>
      </c>
      <c r="G184" s="22" t="s">
        <v>651</v>
      </c>
      <c r="H184" s="22" t="s">
        <v>12</v>
      </c>
      <c r="I184" s="22" t="s">
        <v>5473</v>
      </c>
      <c r="J184" s="22" t="s">
        <v>39</v>
      </c>
      <c r="K184" s="22">
        <v>5.18125071004474e+18</v>
      </c>
      <c r="L184" s="22" t="s">
        <v>653</v>
      </c>
      <c r="M184" s="25"/>
    </row>
    <row r="185" customHeight="1" spans="1:13">
      <c r="A185" s="21">
        <v>45870</v>
      </c>
      <c r="B185" s="22" t="s">
        <v>5495</v>
      </c>
      <c r="C185" s="23">
        <v>45895</v>
      </c>
      <c r="D185" s="24">
        <v>0</v>
      </c>
      <c r="E185" s="22"/>
      <c r="F185" s="22" t="s">
        <v>105</v>
      </c>
      <c r="G185" s="22" t="s">
        <v>655</v>
      </c>
      <c r="H185" s="22" t="s">
        <v>10</v>
      </c>
      <c r="I185" s="22" t="s">
        <v>5473</v>
      </c>
      <c r="J185" s="22" t="s">
        <v>39</v>
      </c>
      <c r="K185" s="22">
        <v>5.18125071004474e+18</v>
      </c>
      <c r="L185" s="22" t="s">
        <v>653</v>
      </c>
      <c r="M185" s="25"/>
    </row>
    <row r="186" customHeight="1" spans="1:13">
      <c r="A186" s="21">
        <v>45870</v>
      </c>
      <c r="B186" s="22" t="s">
        <v>5495</v>
      </c>
      <c r="C186" s="23">
        <v>45897</v>
      </c>
      <c r="D186" s="24">
        <v>0</v>
      </c>
      <c r="E186" s="22"/>
      <c r="F186" s="22" t="s">
        <v>7</v>
      </c>
      <c r="G186" s="22" t="s">
        <v>656</v>
      </c>
      <c r="H186" s="22" t="s">
        <v>11</v>
      </c>
      <c r="I186" s="22" t="s">
        <v>5473</v>
      </c>
      <c r="J186" s="22" t="s">
        <v>41</v>
      </c>
      <c r="K186" s="22">
        <v>5.18125082704676e+18</v>
      </c>
      <c r="L186" s="22" t="s">
        <v>658</v>
      </c>
      <c r="M186" s="25"/>
    </row>
    <row r="187" customHeight="1" spans="1:13">
      <c r="A187" s="21">
        <v>45901</v>
      </c>
      <c r="B187" s="22" t="s">
        <v>5497</v>
      </c>
      <c r="C187" s="23">
        <v>45901</v>
      </c>
      <c r="D187" s="24">
        <v>0</v>
      </c>
      <c r="E187" s="22"/>
      <c r="F187" s="22" t="s">
        <v>105</v>
      </c>
      <c r="G187" s="22" t="s">
        <v>5498</v>
      </c>
      <c r="H187" s="22" t="s">
        <v>12</v>
      </c>
      <c r="I187" s="22" t="s">
        <v>5473</v>
      </c>
      <c r="J187" s="22" t="s">
        <v>39</v>
      </c>
      <c r="K187" s="22">
        <v>5.18122110500275e+18</v>
      </c>
      <c r="L187" s="22" t="s">
        <v>663</v>
      </c>
      <c r="M187" s="25"/>
    </row>
    <row r="188" customHeight="1" spans="1:13">
      <c r="A188" s="21">
        <v>45901</v>
      </c>
      <c r="B188" s="22" t="s">
        <v>5497</v>
      </c>
      <c r="C188" s="23">
        <v>45901</v>
      </c>
      <c r="D188" s="24">
        <v>0</v>
      </c>
      <c r="E188" s="22"/>
      <c r="F188" s="22" t="s">
        <v>105</v>
      </c>
      <c r="G188" s="22" t="s">
        <v>664</v>
      </c>
      <c r="H188" s="22" t="s">
        <v>10</v>
      </c>
      <c r="I188" s="22" t="s">
        <v>5473</v>
      </c>
      <c r="J188" s="22" t="s">
        <v>40</v>
      </c>
      <c r="K188" s="22">
        <v>5.18122110500275e+18</v>
      </c>
      <c r="L188" s="22" t="s">
        <v>663</v>
      </c>
      <c r="M188" s="25"/>
    </row>
    <row r="189" customHeight="1" spans="1:13">
      <c r="A189" s="21">
        <v>45901</v>
      </c>
      <c r="B189" s="22" t="s">
        <v>5497</v>
      </c>
      <c r="C189" s="23">
        <v>45908</v>
      </c>
      <c r="D189" s="24">
        <v>0</v>
      </c>
      <c r="E189" s="22"/>
      <c r="F189" s="22" t="s">
        <v>105</v>
      </c>
      <c r="G189" s="22" t="s">
        <v>667</v>
      </c>
      <c r="H189" s="22" t="s">
        <v>12</v>
      </c>
      <c r="I189" s="22" t="s">
        <v>5473</v>
      </c>
      <c r="J189" s="22" t="s">
        <v>39</v>
      </c>
      <c r="K189" s="22">
        <v>5.18121112100043e+18</v>
      </c>
      <c r="L189" s="22" t="s">
        <v>669</v>
      </c>
      <c r="M189" s="25"/>
    </row>
    <row r="190" customHeight="1" spans="1:13">
      <c r="A190" s="21">
        <v>45901</v>
      </c>
      <c r="B190" s="22" t="s">
        <v>5497</v>
      </c>
      <c r="C190" s="23">
        <v>45908</v>
      </c>
      <c r="D190" s="24">
        <v>0</v>
      </c>
      <c r="E190" s="22"/>
      <c r="F190" s="22" t="s">
        <v>105</v>
      </c>
      <c r="G190" s="22" t="s">
        <v>671</v>
      </c>
      <c r="H190" s="22" t="s">
        <v>12</v>
      </c>
      <c r="I190" s="22" t="s">
        <v>5473</v>
      </c>
      <c r="J190" s="22" t="s">
        <v>39</v>
      </c>
      <c r="K190" s="22">
        <v>5.18121112100043e+18</v>
      </c>
      <c r="L190" s="22" t="s">
        <v>669</v>
      </c>
      <c r="M190" s="25"/>
    </row>
    <row r="191" customHeight="1" spans="1:13">
      <c r="A191" s="21">
        <v>45901</v>
      </c>
      <c r="B191" s="22" t="s">
        <v>5497</v>
      </c>
      <c r="C191" s="23">
        <v>45908</v>
      </c>
      <c r="D191" s="24">
        <v>0</v>
      </c>
      <c r="E191" s="22"/>
      <c r="F191" s="22" t="s">
        <v>105</v>
      </c>
      <c r="G191" s="22" t="s">
        <v>675</v>
      </c>
      <c r="H191" s="22" t="s">
        <v>12</v>
      </c>
      <c r="I191" s="22" t="s">
        <v>5473</v>
      </c>
      <c r="J191" s="22" t="s">
        <v>39</v>
      </c>
      <c r="K191" s="22">
        <v>5.18121112100043e+18</v>
      </c>
      <c r="L191" s="22" t="s">
        <v>669</v>
      </c>
      <c r="M191" s="25"/>
    </row>
    <row r="192" customHeight="1" spans="1:13">
      <c r="A192" s="21">
        <v>45901</v>
      </c>
      <c r="B192" s="22" t="s">
        <v>5497</v>
      </c>
      <c r="C192" s="23">
        <v>45910</v>
      </c>
      <c r="D192" s="24">
        <v>0</v>
      </c>
      <c r="E192" s="22"/>
      <c r="F192" s="22" t="s">
        <v>105</v>
      </c>
      <c r="G192" s="22" t="s">
        <v>679</v>
      </c>
      <c r="H192" s="22" t="s">
        <v>12</v>
      </c>
      <c r="I192" s="22" t="s">
        <v>5473</v>
      </c>
      <c r="J192" s="22" t="s">
        <v>39</v>
      </c>
      <c r="K192" s="22">
        <v>5.1812508180464e+18</v>
      </c>
      <c r="L192" s="22" t="s">
        <v>681</v>
      </c>
      <c r="M192" s="25"/>
    </row>
    <row r="193" customHeight="1" spans="1:13">
      <c r="A193" s="21">
        <v>45901</v>
      </c>
      <c r="B193" s="22" t="s">
        <v>5499</v>
      </c>
      <c r="C193" s="23">
        <v>45916</v>
      </c>
      <c r="D193" s="24">
        <v>0</v>
      </c>
      <c r="E193" s="22"/>
      <c r="F193" s="22" t="s">
        <v>105</v>
      </c>
      <c r="G193" s="22" t="s">
        <v>682</v>
      </c>
      <c r="H193" s="22" t="s">
        <v>11</v>
      </c>
      <c r="I193" s="22" t="s">
        <v>5473</v>
      </c>
      <c r="J193" s="22" t="s">
        <v>40</v>
      </c>
      <c r="K193" s="22">
        <v>5.18125080404585e+18</v>
      </c>
      <c r="L193" s="22" t="s">
        <v>684</v>
      </c>
      <c r="M193" s="25"/>
    </row>
    <row r="194" customHeight="1" spans="1:13">
      <c r="A194" s="21">
        <v>45901</v>
      </c>
      <c r="B194" s="22" t="s">
        <v>5499</v>
      </c>
      <c r="C194" s="23">
        <v>45916</v>
      </c>
      <c r="D194" s="24">
        <v>0</v>
      </c>
      <c r="E194" s="22"/>
      <c r="F194" s="22" t="s">
        <v>105</v>
      </c>
      <c r="G194" s="22" t="s">
        <v>686</v>
      </c>
      <c r="H194" s="22" t="s">
        <v>12</v>
      </c>
      <c r="I194" s="22" t="s">
        <v>5473</v>
      </c>
      <c r="J194" s="22" t="s">
        <v>39</v>
      </c>
      <c r="K194" s="22">
        <v>5.18125080404585e+18</v>
      </c>
      <c r="L194" s="22" t="s">
        <v>684</v>
      </c>
      <c r="M194" s="25"/>
    </row>
    <row r="195" customHeight="1" spans="1:13">
      <c r="A195" s="21">
        <v>45901</v>
      </c>
      <c r="B195" s="22" t="s">
        <v>5499</v>
      </c>
      <c r="C195" s="23">
        <v>45918</v>
      </c>
      <c r="D195" s="24">
        <v>0</v>
      </c>
      <c r="E195" s="22"/>
      <c r="F195" s="22" t="s">
        <v>105</v>
      </c>
      <c r="G195" s="22" t="s">
        <v>687</v>
      </c>
      <c r="H195" s="22" t="s">
        <v>10</v>
      </c>
      <c r="I195" s="22" t="s">
        <v>5473</v>
      </c>
      <c r="J195" s="22" t="s">
        <v>40</v>
      </c>
      <c r="K195" s="22">
        <v>5.18123051300007e+18</v>
      </c>
      <c r="L195" s="22" t="s">
        <v>104</v>
      </c>
      <c r="M195" s="25"/>
    </row>
    <row r="196" customHeight="1" spans="1:13">
      <c r="A196" s="21">
        <v>45901</v>
      </c>
      <c r="B196" s="22" t="s">
        <v>5499</v>
      </c>
      <c r="C196" s="23">
        <v>45918</v>
      </c>
      <c r="D196" s="24">
        <v>0</v>
      </c>
      <c r="E196" s="22"/>
      <c r="F196" s="22" t="s">
        <v>105</v>
      </c>
      <c r="G196" s="22" t="s">
        <v>690</v>
      </c>
      <c r="H196" s="22" t="s">
        <v>11</v>
      </c>
      <c r="I196" s="22" t="s">
        <v>5473</v>
      </c>
      <c r="J196" s="22" t="s">
        <v>40</v>
      </c>
      <c r="K196" s="22">
        <v>5.18123051300007e+18</v>
      </c>
      <c r="L196" s="22" t="s">
        <v>104</v>
      </c>
      <c r="M196" s="25"/>
    </row>
    <row r="197" customHeight="1" spans="1:13">
      <c r="A197" s="21">
        <v>45901</v>
      </c>
      <c r="B197" s="22" t="s">
        <v>5499</v>
      </c>
      <c r="C197" s="23">
        <v>45918</v>
      </c>
      <c r="D197" s="24">
        <v>0</v>
      </c>
      <c r="E197" s="22"/>
      <c r="F197" s="22" t="s">
        <v>105</v>
      </c>
      <c r="G197" s="22" t="s">
        <v>693</v>
      </c>
      <c r="H197" s="22" t="s">
        <v>10</v>
      </c>
      <c r="I197" s="22" t="s">
        <v>5473</v>
      </c>
      <c r="J197" s="22" t="s">
        <v>40</v>
      </c>
      <c r="K197" s="22">
        <v>5.18123051300007e+18</v>
      </c>
      <c r="L197" s="22" t="s">
        <v>104</v>
      </c>
      <c r="M197" s="25"/>
    </row>
    <row r="198" customHeight="1" spans="1:13">
      <c r="A198" s="21">
        <v>45901</v>
      </c>
      <c r="B198" s="22" t="s">
        <v>5499</v>
      </c>
      <c r="C198" s="23">
        <v>45922</v>
      </c>
      <c r="D198" s="24">
        <v>0</v>
      </c>
      <c r="E198" s="22"/>
      <c r="F198" s="22" t="s">
        <v>105</v>
      </c>
      <c r="G198" s="22" t="s">
        <v>696</v>
      </c>
      <c r="H198" s="22" t="s">
        <v>10</v>
      </c>
      <c r="I198" s="22" t="s">
        <v>5473</v>
      </c>
      <c r="J198" s="22" t="s">
        <v>43</v>
      </c>
      <c r="K198" s="22">
        <v>5.1812407150158e+18</v>
      </c>
      <c r="L198" s="22" t="s">
        <v>698</v>
      </c>
      <c r="M198" s="25"/>
    </row>
    <row r="199" customHeight="1" spans="1:13">
      <c r="A199" s="21">
        <v>45901</v>
      </c>
      <c r="B199" s="22" t="s">
        <v>5499</v>
      </c>
      <c r="C199" s="23">
        <v>45923</v>
      </c>
      <c r="D199" s="24">
        <v>0</v>
      </c>
      <c r="E199" s="22"/>
      <c r="F199" s="22" t="s">
        <v>105</v>
      </c>
      <c r="G199" s="22" t="s">
        <v>707</v>
      </c>
      <c r="H199" s="22" t="s">
        <v>10</v>
      </c>
      <c r="I199" s="22" t="s">
        <v>5473</v>
      </c>
      <c r="J199" s="22" t="s">
        <v>42</v>
      </c>
      <c r="K199" s="22">
        <v>5.1812503110388e+18</v>
      </c>
      <c r="L199" s="22" t="s">
        <v>709</v>
      </c>
      <c r="M199" s="25"/>
    </row>
    <row r="200" customHeight="1" spans="1:13">
      <c r="A200" s="21">
        <v>45901</v>
      </c>
      <c r="B200" s="22" t="s">
        <v>5499</v>
      </c>
      <c r="C200" s="23">
        <v>45929</v>
      </c>
      <c r="D200" s="24">
        <v>0</v>
      </c>
      <c r="E200" s="22"/>
      <c r="F200" s="22" t="s">
        <v>105</v>
      </c>
      <c r="G200" s="22" t="s">
        <v>712</v>
      </c>
      <c r="H200" s="22" t="s">
        <v>12</v>
      </c>
      <c r="I200" s="22" t="s">
        <v>5473</v>
      </c>
      <c r="J200" s="22" t="s">
        <v>39</v>
      </c>
      <c r="K200" s="22">
        <v>5.18125090504738e+18</v>
      </c>
      <c r="L200" s="22" t="s">
        <v>714</v>
      </c>
      <c r="M200" s="25"/>
    </row>
    <row r="201" customHeight="1" spans="1:13">
      <c r="A201" s="21">
        <v>45931</v>
      </c>
      <c r="B201" s="22" t="s">
        <v>5500</v>
      </c>
      <c r="C201" s="23">
        <v>45933</v>
      </c>
      <c r="D201" s="24">
        <v>0</v>
      </c>
      <c r="E201" s="22"/>
      <c r="F201" s="22" t="s">
        <v>105</v>
      </c>
      <c r="G201" s="22" t="s">
        <v>716</v>
      </c>
      <c r="H201" s="22" t="s">
        <v>12</v>
      </c>
      <c r="I201" s="22" t="s">
        <v>5473</v>
      </c>
      <c r="J201" s="22" t="s">
        <v>39</v>
      </c>
      <c r="K201" s="22">
        <v>5.18122042500142e+18</v>
      </c>
      <c r="L201" s="22" t="s">
        <v>718</v>
      </c>
      <c r="M201" s="25"/>
    </row>
    <row r="202" customHeight="1" spans="1:13">
      <c r="A202" s="21">
        <v>45931</v>
      </c>
      <c r="B202" s="22" t="s">
        <v>5500</v>
      </c>
      <c r="C202" s="23">
        <v>45938</v>
      </c>
      <c r="D202" s="24">
        <v>0</v>
      </c>
      <c r="E202" s="22"/>
      <c r="F202" s="22" t="s">
        <v>105</v>
      </c>
      <c r="G202" s="22" t="s">
        <v>719</v>
      </c>
      <c r="H202" s="22" t="s">
        <v>12</v>
      </c>
      <c r="I202" s="22" t="s">
        <v>5473</v>
      </c>
      <c r="J202" s="22" t="s">
        <v>39</v>
      </c>
      <c r="K202" s="22">
        <v>5.18125090904769e+18</v>
      </c>
      <c r="L202" s="22" t="s">
        <v>216</v>
      </c>
      <c r="M202" s="25"/>
    </row>
    <row r="203" customHeight="1" spans="1:13">
      <c r="A203" s="21">
        <v>45931</v>
      </c>
      <c r="B203" s="22" t="s">
        <v>5500</v>
      </c>
      <c r="C203" s="23">
        <v>45938</v>
      </c>
      <c r="D203" s="24">
        <v>0</v>
      </c>
      <c r="E203" s="22"/>
      <c r="F203" s="22" t="s">
        <v>105</v>
      </c>
      <c r="G203" s="22" t="s">
        <v>721</v>
      </c>
      <c r="H203" s="22" t="s">
        <v>12</v>
      </c>
      <c r="I203" s="22" t="s">
        <v>5473</v>
      </c>
      <c r="J203" s="22" t="s">
        <v>39</v>
      </c>
      <c r="K203" s="22">
        <v>5.18125090904769e+18</v>
      </c>
      <c r="L203" s="22" t="s">
        <v>216</v>
      </c>
      <c r="M203" s="25"/>
    </row>
    <row r="204" customHeight="1" spans="1:13">
      <c r="A204" s="21">
        <v>45931</v>
      </c>
      <c r="B204" s="22" t="s">
        <v>5500</v>
      </c>
      <c r="C204" s="23">
        <v>45939</v>
      </c>
      <c r="D204" s="24">
        <v>0</v>
      </c>
      <c r="E204" s="22"/>
      <c r="F204" s="22" t="s">
        <v>105</v>
      </c>
      <c r="G204" s="22" t="s">
        <v>724</v>
      </c>
      <c r="H204" s="22" t="s">
        <v>12</v>
      </c>
      <c r="I204" s="22" t="s">
        <v>5473</v>
      </c>
      <c r="J204" s="22" t="s">
        <v>39</v>
      </c>
      <c r="K204" s="22">
        <v>5.18125091004776e+18</v>
      </c>
      <c r="L204" s="22" t="s">
        <v>726</v>
      </c>
      <c r="M204" s="25"/>
    </row>
    <row r="205" customHeight="1" spans="1:13">
      <c r="A205" s="21">
        <v>45931</v>
      </c>
      <c r="B205" s="22" t="s">
        <v>5500</v>
      </c>
      <c r="C205" s="23">
        <v>45939</v>
      </c>
      <c r="D205" s="24">
        <v>0</v>
      </c>
      <c r="E205" s="22"/>
      <c r="F205" s="22" t="s">
        <v>105</v>
      </c>
      <c r="G205" s="22" t="s">
        <v>727</v>
      </c>
      <c r="H205" s="22" t="s">
        <v>12</v>
      </c>
      <c r="I205" s="22" t="s">
        <v>5473</v>
      </c>
      <c r="J205" s="22" t="s">
        <v>39</v>
      </c>
      <c r="K205" s="22">
        <v>5.18125091004776e+18</v>
      </c>
      <c r="L205" s="22" t="s">
        <v>726</v>
      </c>
      <c r="M205" s="25"/>
    </row>
    <row r="206" customHeight="1" spans="1:13">
      <c r="A206" s="21">
        <v>45931</v>
      </c>
      <c r="B206" s="22" t="s">
        <v>5500</v>
      </c>
      <c r="C206" s="23">
        <v>45939</v>
      </c>
      <c r="D206" s="24">
        <v>0</v>
      </c>
      <c r="E206" s="22"/>
      <c r="F206" s="22" t="s">
        <v>105</v>
      </c>
      <c r="G206" s="22" t="s">
        <v>730</v>
      </c>
      <c r="H206" s="22" t="s">
        <v>12</v>
      </c>
      <c r="I206" s="22" t="s">
        <v>5473</v>
      </c>
      <c r="J206" s="22" t="s">
        <v>39</v>
      </c>
      <c r="K206" s="22">
        <v>5.18125091004776e+18</v>
      </c>
      <c r="L206" s="22" t="s">
        <v>726</v>
      </c>
      <c r="M206" s="25"/>
    </row>
    <row r="207" customHeight="1" spans="1:13">
      <c r="A207" s="21">
        <v>45931</v>
      </c>
      <c r="B207" s="22" t="s">
        <v>5500</v>
      </c>
      <c r="C207" s="23">
        <v>45944</v>
      </c>
      <c r="D207" s="24">
        <v>0</v>
      </c>
      <c r="E207" s="22"/>
      <c r="F207" s="22" t="s">
        <v>105</v>
      </c>
      <c r="G207" s="22" t="s">
        <v>733</v>
      </c>
      <c r="H207" s="22" t="s">
        <v>12</v>
      </c>
      <c r="I207" s="22" t="s">
        <v>5473</v>
      </c>
      <c r="J207" s="22" t="s">
        <v>39</v>
      </c>
      <c r="K207" s="22">
        <v>5.18124090602525e+18</v>
      </c>
      <c r="L207" s="22" t="s">
        <v>228</v>
      </c>
      <c r="M207" s="25"/>
    </row>
    <row r="208" customHeight="1" spans="1:13">
      <c r="A208" s="21">
        <v>45931</v>
      </c>
      <c r="B208" s="22" t="s">
        <v>5501</v>
      </c>
      <c r="C208" s="23">
        <v>45946</v>
      </c>
      <c r="D208" s="24">
        <v>0</v>
      </c>
      <c r="E208" s="22"/>
      <c r="F208" s="22" t="s">
        <v>105</v>
      </c>
      <c r="G208" s="22" t="s">
        <v>734</v>
      </c>
      <c r="H208" s="22" t="s">
        <v>12</v>
      </c>
      <c r="I208" s="22" t="s">
        <v>5473</v>
      </c>
      <c r="J208" s="22" t="s">
        <v>39</v>
      </c>
      <c r="K208" s="22">
        <v>5.18124073101885e+18</v>
      </c>
      <c r="L208" s="22" t="s">
        <v>519</v>
      </c>
      <c r="M208" s="25"/>
    </row>
    <row r="209" customHeight="1" spans="1:13">
      <c r="A209" s="21">
        <v>45931</v>
      </c>
      <c r="B209" s="22" t="s">
        <v>5501</v>
      </c>
      <c r="C209" s="23">
        <v>45947</v>
      </c>
      <c r="D209" s="24">
        <v>0</v>
      </c>
      <c r="E209" s="22"/>
      <c r="F209" s="22" t="s">
        <v>105</v>
      </c>
      <c r="G209" s="22" t="s">
        <v>736</v>
      </c>
      <c r="H209" s="22" t="s">
        <v>10</v>
      </c>
      <c r="I209" s="22" t="s">
        <v>5473</v>
      </c>
      <c r="J209" s="22" t="s">
        <v>40</v>
      </c>
      <c r="K209" s="22">
        <v>5.18124111503546e+18</v>
      </c>
      <c r="L209" s="22" t="s">
        <v>738</v>
      </c>
      <c r="M209" s="25"/>
    </row>
    <row r="210" customHeight="1" spans="1:13">
      <c r="A210" s="21">
        <v>45962</v>
      </c>
      <c r="B210" s="22" t="s">
        <v>5502</v>
      </c>
      <c r="C210" s="23">
        <v>45966</v>
      </c>
      <c r="D210" s="24">
        <v>0</v>
      </c>
      <c r="E210" s="22"/>
      <c r="F210" s="22" t="s">
        <v>105</v>
      </c>
      <c r="G210" s="22" t="s">
        <v>739</v>
      </c>
      <c r="H210" s="22" t="s">
        <v>12</v>
      </c>
      <c r="I210" s="22" t="s">
        <v>5473</v>
      </c>
      <c r="J210" s="22" t="s">
        <v>39</v>
      </c>
      <c r="K210" s="22">
        <v>5.18122031900109e+18</v>
      </c>
      <c r="L210" s="22" t="s">
        <v>741</v>
      </c>
      <c r="M210" s="25"/>
    </row>
    <row r="211" customHeight="1" spans="1:13">
      <c r="A211" s="21">
        <v>45962</v>
      </c>
      <c r="B211" s="22" t="s">
        <v>5502</v>
      </c>
      <c r="C211" s="23">
        <v>45967</v>
      </c>
      <c r="D211" s="24">
        <v>0</v>
      </c>
      <c r="E211" s="22"/>
      <c r="F211" s="22" t="s">
        <v>105</v>
      </c>
      <c r="G211" s="22" t="s">
        <v>742</v>
      </c>
      <c r="H211" s="22" t="s">
        <v>11</v>
      </c>
      <c r="I211" s="22" t="s">
        <v>5473</v>
      </c>
      <c r="J211" s="22" t="s">
        <v>40</v>
      </c>
      <c r="K211" s="22">
        <v>5.18125102405024e+18</v>
      </c>
      <c r="L211" s="22" t="s">
        <v>744</v>
      </c>
      <c r="M211" s="25"/>
    </row>
    <row r="212" customHeight="1" spans="1:13">
      <c r="A212" s="21">
        <v>45962</v>
      </c>
      <c r="B212" s="22" t="s">
        <v>5502</v>
      </c>
      <c r="C212" s="23">
        <v>45968</v>
      </c>
      <c r="D212" s="24">
        <v>0</v>
      </c>
      <c r="E212" s="22"/>
      <c r="F212" s="22" t="s">
        <v>105</v>
      </c>
      <c r="G212" s="22" t="s">
        <v>745</v>
      </c>
      <c r="H212" s="22" t="s">
        <v>10</v>
      </c>
      <c r="I212" s="22" t="s">
        <v>5473</v>
      </c>
      <c r="J212" s="22" t="s">
        <v>39</v>
      </c>
      <c r="K212" s="22">
        <v>5.18123121200142e+18</v>
      </c>
      <c r="L212" s="22" t="s">
        <v>285</v>
      </c>
      <c r="M212" s="25"/>
    </row>
    <row r="213" customHeight="1" spans="1:13">
      <c r="A213" s="21">
        <v>45962</v>
      </c>
      <c r="B213" s="22" t="s">
        <v>5502</v>
      </c>
      <c r="C213" s="23">
        <v>45975</v>
      </c>
      <c r="D213" s="24">
        <v>0</v>
      </c>
      <c r="E213" s="22"/>
      <c r="F213" s="22" t="s">
        <v>105</v>
      </c>
      <c r="G213" s="22" t="s">
        <v>746</v>
      </c>
      <c r="H213" s="22" t="s">
        <v>11</v>
      </c>
      <c r="I213" s="22" t="s">
        <v>5473</v>
      </c>
      <c r="J213" s="22" t="s">
        <v>41</v>
      </c>
      <c r="K213" s="22">
        <v>5.18125110405093e+18</v>
      </c>
      <c r="L213" s="22" t="s">
        <v>748</v>
      </c>
      <c r="M213" s="25"/>
    </row>
    <row r="214" customHeight="1" spans="1:13">
      <c r="A214" s="21">
        <v>45962</v>
      </c>
      <c r="B214" s="22" t="s">
        <v>5472</v>
      </c>
      <c r="C214" s="23">
        <v>45988</v>
      </c>
      <c r="D214" s="24">
        <v>0</v>
      </c>
      <c r="E214" s="22"/>
      <c r="F214" s="22" t="s">
        <v>105</v>
      </c>
      <c r="G214" s="22" t="s">
        <v>750</v>
      </c>
      <c r="H214" s="22" t="s">
        <v>10</v>
      </c>
      <c r="I214" s="22" t="s">
        <v>5473</v>
      </c>
      <c r="J214" s="22" t="s">
        <v>43</v>
      </c>
      <c r="K214" s="24">
        <v>0</v>
      </c>
      <c r="L214" s="26" t="e">
        <v>#N/A</v>
      </c>
      <c r="M214" s="25"/>
    </row>
    <row r="215" customHeight="1" spans="1:13">
      <c r="A215" s="21">
        <v>45962</v>
      </c>
      <c r="B215" s="22" t="s">
        <v>5472</v>
      </c>
      <c r="C215" s="23">
        <v>45988</v>
      </c>
      <c r="D215" s="24">
        <v>0</v>
      </c>
      <c r="E215" s="22"/>
      <c r="F215" s="22" t="s">
        <v>105</v>
      </c>
      <c r="G215" s="22" t="s">
        <v>751</v>
      </c>
      <c r="H215" s="22" t="s">
        <v>12</v>
      </c>
      <c r="I215" s="22" t="s">
        <v>5473</v>
      </c>
      <c r="J215" s="22" t="s">
        <v>39</v>
      </c>
      <c r="K215" s="24">
        <v>0</v>
      </c>
      <c r="L215" s="26" t="e">
        <v>#N/A</v>
      </c>
      <c r="M215" s="25"/>
    </row>
    <row r="216" customHeight="1" spans="1:13">
      <c r="A216" s="21">
        <v>45992</v>
      </c>
      <c r="B216" s="22" t="s">
        <v>5474</v>
      </c>
      <c r="C216" s="23">
        <v>45996</v>
      </c>
      <c r="D216" s="24">
        <v>0</v>
      </c>
      <c r="E216" s="22"/>
      <c r="F216" s="22" t="s">
        <v>105</v>
      </c>
      <c r="G216" s="22" t="s">
        <v>754</v>
      </c>
      <c r="H216" s="22" t="s">
        <v>12</v>
      </c>
      <c r="I216" s="22" t="s">
        <v>5473</v>
      </c>
      <c r="J216" s="22" t="s">
        <v>39</v>
      </c>
      <c r="K216" s="22">
        <v>5.18125110605109e+18</v>
      </c>
      <c r="L216" s="22" t="s">
        <v>756</v>
      </c>
      <c r="M216" s="25"/>
    </row>
    <row r="217" customHeight="1" spans="1:13">
      <c r="A217" s="21">
        <v>45992</v>
      </c>
      <c r="B217" s="22" t="s">
        <v>5474</v>
      </c>
      <c r="C217" s="23">
        <v>45999</v>
      </c>
      <c r="D217" s="24">
        <v>0</v>
      </c>
      <c r="E217" s="22"/>
      <c r="F217" s="22" t="s">
        <v>105</v>
      </c>
      <c r="G217" s="22" t="s">
        <v>757</v>
      </c>
      <c r="H217" s="22" t="s">
        <v>10</v>
      </c>
      <c r="I217" s="22" t="s">
        <v>5473</v>
      </c>
      <c r="J217" s="22" t="s">
        <v>39</v>
      </c>
      <c r="K217" s="22">
        <v>5.18124010800169e+18</v>
      </c>
      <c r="L217" s="22" t="s">
        <v>759</v>
      </c>
      <c r="M217" s="25"/>
    </row>
    <row r="218" customHeight="1" spans="1:13">
      <c r="A218" s="21">
        <v>45992</v>
      </c>
      <c r="B218" s="22" t="s">
        <v>5474</v>
      </c>
      <c r="C218" s="23">
        <v>46001</v>
      </c>
      <c r="D218" s="24">
        <v>0</v>
      </c>
      <c r="E218" s="22"/>
      <c r="F218" s="22" t="s">
        <v>105</v>
      </c>
      <c r="G218" s="22" t="s">
        <v>760</v>
      </c>
      <c r="H218" s="22" t="s">
        <v>12</v>
      </c>
      <c r="I218" s="22" t="s">
        <v>5473</v>
      </c>
      <c r="J218" s="22" t="s">
        <v>39</v>
      </c>
      <c r="K218" s="22">
        <v>5.18125120505284e+18</v>
      </c>
      <c r="L218" s="22" t="s">
        <v>762</v>
      </c>
      <c r="M218" s="25"/>
    </row>
    <row r="219" customHeight="1" spans="1:13">
      <c r="A219" s="21">
        <v>45992</v>
      </c>
      <c r="B219" s="22" t="s">
        <v>5474</v>
      </c>
      <c r="C219" s="23">
        <v>46003</v>
      </c>
      <c r="D219" s="24">
        <v>0</v>
      </c>
      <c r="E219" s="22"/>
      <c r="F219" s="22" t="s">
        <v>105</v>
      </c>
      <c r="G219" s="22" t="s">
        <v>765</v>
      </c>
      <c r="H219" s="22" t="s">
        <v>12</v>
      </c>
      <c r="I219" s="22" t="s">
        <v>5473</v>
      </c>
      <c r="J219" s="22" t="s">
        <v>39</v>
      </c>
      <c r="K219" s="22">
        <v>5.18125120805317e+18</v>
      </c>
      <c r="L219" s="22" t="s">
        <v>767</v>
      </c>
      <c r="M219" s="25"/>
    </row>
    <row r="220" customHeight="1" spans="1:13">
      <c r="A220" s="21">
        <v>45992</v>
      </c>
      <c r="B220" s="22" t="s">
        <v>5474</v>
      </c>
      <c r="C220" s="23">
        <v>46006</v>
      </c>
      <c r="D220" s="24">
        <v>0</v>
      </c>
      <c r="E220" s="22"/>
      <c r="F220" s="22" t="s">
        <v>105</v>
      </c>
      <c r="G220" s="22" t="s">
        <v>768</v>
      </c>
      <c r="H220" s="22" t="s">
        <v>11</v>
      </c>
      <c r="I220" s="22" t="s">
        <v>5473</v>
      </c>
      <c r="J220" s="22" t="s">
        <v>41</v>
      </c>
      <c r="K220" s="22">
        <v>5.18125110405093e+18</v>
      </c>
      <c r="L220" s="22" t="s">
        <v>748</v>
      </c>
      <c r="M220" s="25"/>
    </row>
    <row r="221" customHeight="1" spans="1:13">
      <c r="A221" s="21">
        <v>45992</v>
      </c>
      <c r="B221" s="22" t="s">
        <v>5474</v>
      </c>
      <c r="C221" s="23">
        <v>46006</v>
      </c>
      <c r="D221" s="24">
        <v>0</v>
      </c>
      <c r="E221" s="22"/>
      <c r="F221" s="22" t="s">
        <v>105</v>
      </c>
      <c r="G221" s="22" t="s">
        <v>769</v>
      </c>
      <c r="H221" s="22" t="s">
        <v>12</v>
      </c>
      <c r="I221" s="22" t="s">
        <v>5473</v>
      </c>
      <c r="J221" s="22" t="s">
        <v>39</v>
      </c>
      <c r="K221" s="22">
        <v>5.18125110405093e+18</v>
      </c>
      <c r="L221" s="22" t="s">
        <v>748</v>
      </c>
      <c r="M221" s="25"/>
    </row>
    <row r="222" customHeight="1" spans="1:13">
      <c r="A222" s="21">
        <v>45992</v>
      </c>
      <c r="B222" s="22" t="s">
        <v>5474</v>
      </c>
      <c r="C222" s="23">
        <v>46006</v>
      </c>
      <c r="D222" s="24">
        <v>0</v>
      </c>
      <c r="E222" s="22"/>
      <c r="F222" s="22" t="s">
        <v>105</v>
      </c>
      <c r="G222" s="22" t="s">
        <v>771</v>
      </c>
      <c r="H222" s="22" t="s">
        <v>12</v>
      </c>
      <c r="I222" s="22" t="s">
        <v>5473</v>
      </c>
      <c r="J222" s="22" t="s">
        <v>39</v>
      </c>
      <c r="K222" s="22">
        <v>5.18125110405093e+18</v>
      </c>
      <c r="L222" s="22" t="s">
        <v>748</v>
      </c>
      <c r="M222" s="25"/>
    </row>
    <row r="223" customHeight="1" spans="1:13">
      <c r="A223" s="21">
        <v>45992</v>
      </c>
      <c r="B223" s="22" t="s">
        <v>5475</v>
      </c>
      <c r="C223" s="23">
        <v>46008</v>
      </c>
      <c r="D223" s="24">
        <v>0</v>
      </c>
      <c r="E223" s="22"/>
      <c r="F223" s="22" t="s">
        <v>105</v>
      </c>
      <c r="G223" s="22" t="s">
        <v>775</v>
      </c>
      <c r="H223" s="22" t="s">
        <v>12</v>
      </c>
      <c r="I223" s="22" t="s">
        <v>5473</v>
      </c>
      <c r="J223" s="22" t="s">
        <v>39</v>
      </c>
      <c r="K223" s="22">
        <v>5.18124100803107e+18</v>
      </c>
      <c r="L223" s="22" t="s">
        <v>777</v>
      </c>
      <c r="M223" s="25"/>
    </row>
    <row r="224" customHeight="1" spans="1:13">
      <c r="A224" s="21">
        <v>45992</v>
      </c>
      <c r="B224" s="22" t="s">
        <v>5475</v>
      </c>
      <c r="C224" s="23">
        <v>46014</v>
      </c>
      <c r="D224" s="24">
        <v>0</v>
      </c>
      <c r="E224" s="22"/>
      <c r="F224" s="22" t="s">
        <v>105</v>
      </c>
      <c r="G224" s="22" t="s">
        <v>780</v>
      </c>
      <c r="H224" s="22" t="s">
        <v>12</v>
      </c>
      <c r="I224" s="22" t="s">
        <v>5473</v>
      </c>
      <c r="J224" s="22" t="s">
        <v>39</v>
      </c>
      <c r="K224" s="22">
        <v>5.18123031700331e+18</v>
      </c>
      <c r="L224" s="22" t="s">
        <v>269</v>
      </c>
      <c r="M224" s="25"/>
    </row>
    <row r="225" customHeight="1" spans="1:13">
      <c r="A225" s="21">
        <v>46023</v>
      </c>
      <c r="B225" s="22" t="s">
        <v>5476</v>
      </c>
      <c r="C225" s="23">
        <v>46027</v>
      </c>
      <c r="D225" s="24">
        <v>0</v>
      </c>
      <c r="E225" s="22"/>
      <c r="F225" s="22" t="s">
        <v>105</v>
      </c>
      <c r="G225" s="22" t="s">
        <v>782</v>
      </c>
      <c r="H225" s="22" t="s">
        <v>10</v>
      </c>
      <c r="I225" s="22" t="s">
        <v>5473</v>
      </c>
      <c r="J225" s="22" t="s">
        <v>39</v>
      </c>
      <c r="K225" s="22">
        <v>5.18125120505286e+18</v>
      </c>
      <c r="L225" s="22" t="s">
        <v>784</v>
      </c>
      <c r="M225" s="25"/>
    </row>
    <row r="226" customHeight="1" spans="1:13">
      <c r="A226" s="21">
        <v>46023</v>
      </c>
      <c r="B226" s="22" t="s">
        <v>5476</v>
      </c>
      <c r="C226" s="23">
        <v>46028</v>
      </c>
      <c r="D226" s="24">
        <v>0</v>
      </c>
      <c r="E226" s="22"/>
      <c r="F226" s="22" t="s">
        <v>105</v>
      </c>
      <c r="G226" s="22" t="s">
        <v>786</v>
      </c>
      <c r="H226" s="22" t="s">
        <v>12</v>
      </c>
      <c r="I226" s="22" t="s">
        <v>5473</v>
      </c>
      <c r="J226" s="22" t="s">
        <v>39</v>
      </c>
      <c r="K226" s="22">
        <v>5.18125120505284e+18</v>
      </c>
      <c r="L226" s="22" t="s">
        <v>789</v>
      </c>
      <c r="M226" s="25"/>
    </row>
    <row r="227" customHeight="1" spans="1:13">
      <c r="A227" s="21">
        <v>46023</v>
      </c>
      <c r="B227" s="22" t="s">
        <v>5476</v>
      </c>
      <c r="C227" s="23">
        <v>46031</v>
      </c>
      <c r="D227" s="24">
        <v>0</v>
      </c>
      <c r="E227" s="22"/>
      <c r="F227" s="22" t="s">
        <v>105</v>
      </c>
      <c r="G227" s="22" t="s">
        <v>790</v>
      </c>
      <c r="H227" s="22" t="s">
        <v>10</v>
      </c>
      <c r="I227" s="22" t="s">
        <v>5473</v>
      </c>
      <c r="J227" s="22" t="s">
        <v>54</v>
      </c>
      <c r="K227" s="22">
        <v>5.18124061400619e+18</v>
      </c>
      <c r="L227" s="22" t="s">
        <v>792</v>
      </c>
      <c r="M227" s="25"/>
    </row>
    <row r="228" customHeight="1" spans="1:13">
      <c r="A228" s="21">
        <v>46023</v>
      </c>
      <c r="B228" s="22" t="s">
        <v>5476</v>
      </c>
      <c r="C228" s="23">
        <v>46034</v>
      </c>
      <c r="D228" s="24">
        <v>0</v>
      </c>
      <c r="E228" s="22"/>
      <c r="F228" s="22" t="s">
        <v>105</v>
      </c>
      <c r="G228" s="22" t="s">
        <v>793</v>
      </c>
      <c r="H228" s="22" t="s">
        <v>12</v>
      </c>
      <c r="I228" s="22" t="s">
        <v>5473</v>
      </c>
      <c r="J228" s="22" t="s">
        <v>39</v>
      </c>
      <c r="K228" s="22">
        <v>5.1812302230032e+18</v>
      </c>
      <c r="L228" s="22" t="s">
        <v>433</v>
      </c>
      <c r="M228" s="25"/>
    </row>
    <row r="229" customHeight="1" spans="1:13">
      <c r="A229" s="21">
        <v>46023</v>
      </c>
      <c r="B229" s="22" t="s">
        <v>5476</v>
      </c>
      <c r="C229" s="23">
        <v>46036</v>
      </c>
      <c r="D229" s="24">
        <v>0</v>
      </c>
      <c r="E229" s="22"/>
      <c r="F229" s="22" t="s">
        <v>105</v>
      </c>
      <c r="G229" s="22" t="s">
        <v>795</v>
      </c>
      <c r="H229" s="22" t="s">
        <v>10</v>
      </c>
      <c r="I229" s="22" t="s">
        <v>5473</v>
      </c>
      <c r="J229" s="22" t="s">
        <v>39</v>
      </c>
      <c r="K229" s="22">
        <v>5.18125121605374e+18</v>
      </c>
      <c r="L229" s="22" t="s">
        <v>797</v>
      </c>
      <c r="M229" s="25"/>
    </row>
    <row r="230" customHeight="1" spans="1:13">
      <c r="A230" s="21">
        <v>46023</v>
      </c>
      <c r="B230" s="22" t="s">
        <v>5476</v>
      </c>
      <c r="C230" s="23">
        <v>46036</v>
      </c>
      <c r="D230" s="24">
        <v>0</v>
      </c>
      <c r="E230" s="22"/>
      <c r="F230" s="22" t="s">
        <v>105</v>
      </c>
      <c r="G230" s="22" t="s">
        <v>798</v>
      </c>
      <c r="H230" s="22" t="s">
        <v>12</v>
      </c>
      <c r="I230" s="22" t="s">
        <v>5473</v>
      </c>
      <c r="J230" s="22" t="s">
        <v>39</v>
      </c>
      <c r="K230" s="22">
        <v>5.18125121605374e+18</v>
      </c>
      <c r="L230" s="22" t="s">
        <v>797</v>
      </c>
      <c r="M230" s="25"/>
    </row>
    <row r="231" customHeight="1" spans="1:13">
      <c r="A231" s="21">
        <v>46023</v>
      </c>
      <c r="B231" s="22" t="s">
        <v>5477</v>
      </c>
      <c r="C231" s="23">
        <v>46038</v>
      </c>
      <c r="D231" s="24">
        <v>0</v>
      </c>
      <c r="E231" s="22"/>
      <c r="F231" s="22" t="s">
        <v>105</v>
      </c>
      <c r="G231" s="22" t="s">
        <v>799</v>
      </c>
      <c r="H231" s="22" t="s">
        <v>10</v>
      </c>
      <c r="I231" s="22" t="s">
        <v>5473</v>
      </c>
      <c r="J231" s="22" t="s">
        <v>39</v>
      </c>
      <c r="K231" s="22">
        <v>5.18124012700191e+18</v>
      </c>
      <c r="L231" s="22" t="s">
        <v>452</v>
      </c>
      <c r="M231" s="25"/>
    </row>
    <row r="232" customHeight="1" spans="1:13">
      <c r="A232" s="21">
        <v>46023</v>
      </c>
      <c r="B232" s="22" t="s">
        <v>5477</v>
      </c>
      <c r="C232" s="23">
        <v>46038</v>
      </c>
      <c r="D232" s="24">
        <v>0</v>
      </c>
      <c r="E232" s="22"/>
      <c r="F232" s="22" t="s">
        <v>105</v>
      </c>
      <c r="G232" s="22" t="s">
        <v>799</v>
      </c>
      <c r="H232" s="22" t="s">
        <v>12</v>
      </c>
      <c r="I232" s="22" t="s">
        <v>5473</v>
      </c>
      <c r="J232" s="22" t="s">
        <v>39</v>
      </c>
      <c r="K232" s="22">
        <v>5.18124012700191e+18</v>
      </c>
      <c r="L232" s="22" t="s">
        <v>452</v>
      </c>
      <c r="M232" s="25"/>
    </row>
    <row r="233" customHeight="1" spans="1:13">
      <c r="A233" s="21">
        <v>46023</v>
      </c>
      <c r="B233" s="22" t="s">
        <v>5477</v>
      </c>
      <c r="C233" s="23">
        <v>46038</v>
      </c>
      <c r="D233" s="24">
        <v>0</v>
      </c>
      <c r="E233" s="22"/>
      <c r="F233" s="22" t="s">
        <v>105</v>
      </c>
      <c r="G233" s="22" t="s">
        <v>799</v>
      </c>
      <c r="H233" s="22" t="s">
        <v>12</v>
      </c>
      <c r="I233" s="22" t="s">
        <v>5473</v>
      </c>
      <c r="J233" s="22" t="s">
        <v>39</v>
      </c>
      <c r="K233" s="22">
        <v>5.18124012700191e+18</v>
      </c>
      <c r="L233" s="22" t="s">
        <v>452</v>
      </c>
      <c r="M233" s="25"/>
    </row>
    <row r="234" customHeight="1" spans="1:13">
      <c r="A234" s="21">
        <v>46023</v>
      </c>
      <c r="B234" s="22" t="s">
        <v>5477</v>
      </c>
      <c r="C234" s="23">
        <v>46042</v>
      </c>
      <c r="D234" s="24">
        <v>0</v>
      </c>
      <c r="E234" s="22"/>
      <c r="F234" s="22" t="s">
        <v>7</v>
      </c>
      <c r="G234" s="22" t="s">
        <v>802</v>
      </c>
      <c r="H234" s="22" t="s">
        <v>10</v>
      </c>
      <c r="I234" s="22" t="s">
        <v>5473</v>
      </c>
      <c r="J234" s="22" t="s">
        <v>41</v>
      </c>
      <c r="K234" s="22">
        <v>5.18124051300337e+18</v>
      </c>
      <c r="L234" s="22" t="s">
        <v>804</v>
      </c>
      <c r="M234" s="25"/>
    </row>
    <row r="235" customHeight="1" spans="1:13">
      <c r="A235" s="21">
        <v>46054</v>
      </c>
      <c r="B235" s="22" t="s">
        <v>5478</v>
      </c>
      <c r="C235" s="23">
        <v>46059</v>
      </c>
      <c r="D235" s="24">
        <v>0</v>
      </c>
      <c r="E235" s="22"/>
      <c r="F235" s="22" t="s">
        <v>105</v>
      </c>
      <c r="G235" s="22" t="s">
        <v>805</v>
      </c>
      <c r="H235" s="22" t="s">
        <v>11</v>
      </c>
      <c r="I235" s="22" t="s">
        <v>5473</v>
      </c>
      <c r="J235" s="22" t="s">
        <v>53</v>
      </c>
      <c r="K235" s="22" t="s">
        <v>5503</v>
      </c>
      <c r="L235" s="22" t="s">
        <v>5504</v>
      </c>
      <c r="M235" s="25"/>
    </row>
    <row r="236" customHeight="1" spans="1:13">
      <c r="A236" s="21">
        <v>46054</v>
      </c>
      <c r="B236" s="22" t="s">
        <v>5478</v>
      </c>
      <c r="C236" s="23">
        <v>46063</v>
      </c>
      <c r="D236" s="24">
        <v>0</v>
      </c>
      <c r="E236" s="22"/>
      <c r="F236" s="22" t="s">
        <v>105</v>
      </c>
      <c r="G236" s="22" t="s">
        <v>810</v>
      </c>
      <c r="H236" s="22" t="s">
        <v>10</v>
      </c>
      <c r="I236" s="22" t="s">
        <v>5473</v>
      </c>
      <c r="J236" s="22" t="s">
        <v>40</v>
      </c>
      <c r="K236" s="22">
        <v>5.18124101203189e+18</v>
      </c>
      <c r="L236" s="22" t="s">
        <v>812</v>
      </c>
      <c r="M236" s="25"/>
    </row>
    <row r="237" customHeight="1" spans="1:13">
      <c r="A237" s="21">
        <v>46054</v>
      </c>
      <c r="B237" s="22" t="s">
        <v>5478</v>
      </c>
      <c r="C237" s="23">
        <v>46064</v>
      </c>
      <c r="D237" s="24">
        <v>0</v>
      </c>
      <c r="E237" s="22"/>
      <c r="F237" s="22" t="s">
        <v>105</v>
      </c>
      <c r="G237" s="22" t="s">
        <v>814</v>
      </c>
      <c r="H237" s="22" t="s">
        <v>10</v>
      </c>
      <c r="I237" s="22" t="s">
        <v>5473</v>
      </c>
      <c r="J237" s="22" t="s">
        <v>39</v>
      </c>
      <c r="K237" s="22">
        <v>5.18126010405459e+18</v>
      </c>
      <c r="L237" s="22" t="s">
        <v>816</v>
      </c>
      <c r="M237" s="25"/>
    </row>
    <row r="238" customHeight="1" spans="1:13">
      <c r="A238" s="21">
        <v>46054</v>
      </c>
      <c r="B238" s="22" t="s">
        <v>5478</v>
      </c>
      <c r="C238" s="23">
        <v>46064</v>
      </c>
      <c r="D238" s="24">
        <v>0</v>
      </c>
      <c r="E238" s="22"/>
      <c r="F238" s="22" t="s">
        <v>105</v>
      </c>
      <c r="G238" s="22" t="s">
        <v>819</v>
      </c>
      <c r="H238" s="22" t="s">
        <v>10</v>
      </c>
      <c r="I238" s="22" t="s">
        <v>5473</v>
      </c>
      <c r="J238" s="22" t="s">
        <v>39</v>
      </c>
      <c r="K238" s="22">
        <v>5.18126010405459e+18</v>
      </c>
      <c r="L238" s="22" t="s">
        <v>816</v>
      </c>
      <c r="M238" s="25"/>
    </row>
    <row r="239" customHeight="1" spans="1:13">
      <c r="A239" s="21">
        <v>46054</v>
      </c>
      <c r="B239" s="22" t="s">
        <v>5478</v>
      </c>
      <c r="C239" s="23">
        <v>46064</v>
      </c>
      <c r="D239" s="24">
        <v>0</v>
      </c>
      <c r="E239" s="22"/>
      <c r="F239" s="22" t="s">
        <v>105</v>
      </c>
      <c r="G239" s="22" t="s">
        <v>823</v>
      </c>
      <c r="H239" s="22" t="s">
        <v>10</v>
      </c>
      <c r="I239" s="22" t="s">
        <v>5473</v>
      </c>
      <c r="J239" s="22" t="s">
        <v>39</v>
      </c>
      <c r="K239" s="22">
        <v>5.18126010405459e+18</v>
      </c>
      <c r="L239" s="22" t="s">
        <v>816</v>
      </c>
      <c r="M239" s="25"/>
    </row>
    <row r="240" customHeight="1" spans="1:13">
      <c r="A240" s="21">
        <v>46054</v>
      </c>
      <c r="B240" s="22" t="s">
        <v>5478</v>
      </c>
      <c r="C240" s="23">
        <v>46064</v>
      </c>
      <c r="D240" s="24">
        <v>0</v>
      </c>
      <c r="E240" s="22"/>
      <c r="F240" s="22" t="s">
        <v>105</v>
      </c>
      <c r="G240" s="22" t="s">
        <v>827</v>
      </c>
      <c r="H240" s="22" t="s">
        <v>12</v>
      </c>
      <c r="I240" s="22" t="s">
        <v>5473</v>
      </c>
      <c r="J240" s="22" t="s">
        <v>39</v>
      </c>
      <c r="K240" s="22">
        <v>5.18126010405459e+18</v>
      </c>
      <c r="L240" s="22" t="s">
        <v>816</v>
      </c>
      <c r="M240" s="25"/>
    </row>
    <row r="241" customHeight="1" spans="1:13">
      <c r="A241" s="21">
        <v>46054</v>
      </c>
      <c r="B241" s="22" t="s">
        <v>5478</v>
      </c>
      <c r="C241" s="23">
        <v>46064</v>
      </c>
      <c r="D241" s="24">
        <v>0</v>
      </c>
      <c r="E241" s="22"/>
      <c r="F241" s="22" t="s">
        <v>105</v>
      </c>
      <c r="G241" s="22" t="s">
        <v>830</v>
      </c>
      <c r="H241" s="22" t="s">
        <v>12</v>
      </c>
      <c r="I241" s="22" t="s">
        <v>5473</v>
      </c>
      <c r="J241" s="22" t="s">
        <v>39</v>
      </c>
      <c r="K241" s="22">
        <v>5.18126010405459e+18</v>
      </c>
      <c r="L241" s="22" t="s">
        <v>816</v>
      </c>
      <c r="M241" s="25"/>
    </row>
    <row r="242" customHeight="1" spans="1:13">
      <c r="A242" s="21">
        <v>46054</v>
      </c>
      <c r="B242" s="22" t="s">
        <v>5478</v>
      </c>
      <c r="C242" s="23">
        <v>46065</v>
      </c>
      <c r="D242" s="24">
        <v>0</v>
      </c>
      <c r="E242" s="22"/>
      <c r="F242" s="22" t="s">
        <v>105</v>
      </c>
      <c r="G242" s="22" t="s">
        <v>834</v>
      </c>
      <c r="H242" s="22" t="s">
        <v>12</v>
      </c>
      <c r="I242" s="22" t="s">
        <v>5473</v>
      </c>
      <c r="J242" s="22" t="s">
        <v>39</v>
      </c>
      <c r="K242" s="22">
        <v>5.18121110800039e+18</v>
      </c>
      <c r="L242" s="22" t="s">
        <v>836</v>
      </c>
      <c r="M242" s="25"/>
    </row>
    <row r="243" customHeight="1" spans="1:13">
      <c r="A243" s="21">
        <v>46054</v>
      </c>
      <c r="B243" s="22" t="s">
        <v>5479</v>
      </c>
      <c r="C243" s="23">
        <v>46072</v>
      </c>
      <c r="D243" s="24">
        <v>0</v>
      </c>
      <c r="E243" s="22"/>
      <c r="F243" s="22" t="s">
        <v>105</v>
      </c>
      <c r="G243" s="22" t="s">
        <v>837</v>
      </c>
      <c r="H243" s="22" t="s">
        <v>10</v>
      </c>
      <c r="I243" s="22" t="s">
        <v>5473</v>
      </c>
      <c r="J243" s="22" t="s">
        <v>40</v>
      </c>
      <c r="K243" s="22">
        <v>5.18124111503546e+18</v>
      </c>
      <c r="L243" s="22" t="s">
        <v>738</v>
      </c>
      <c r="M243" s="25"/>
    </row>
    <row r="244" customHeight="1" spans="1:13">
      <c r="A244" s="21">
        <v>46054</v>
      </c>
      <c r="B244" s="22" t="s">
        <v>5479</v>
      </c>
      <c r="C244" s="23">
        <v>46073</v>
      </c>
      <c r="D244" s="24">
        <v>0</v>
      </c>
      <c r="E244" s="22"/>
      <c r="F244" s="22" t="s">
        <v>105</v>
      </c>
      <c r="G244" s="22" t="s">
        <v>838</v>
      </c>
      <c r="H244" s="22" t="s">
        <v>12</v>
      </c>
      <c r="I244" s="22" t="s">
        <v>5473</v>
      </c>
      <c r="J244" s="22" t="s">
        <v>39</v>
      </c>
      <c r="K244" s="22">
        <v>5.18121110800039e+18</v>
      </c>
      <c r="L244" s="22" t="s">
        <v>836</v>
      </c>
      <c r="M244" s="25"/>
    </row>
    <row r="245" customHeight="1" spans="1:13">
      <c r="A245" s="21">
        <v>46054</v>
      </c>
      <c r="B245" s="22" t="s">
        <v>5479</v>
      </c>
      <c r="C245" s="23">
        <v>46077</v>
      </c>
      <c r="D245" s="24">
        <v>0</v>
      </c>
      <c r="E245" s="22"/>
      <c r="F245" s="22" t="s">
        <v>105</v>
      </c>
      <c r="G245" s="22" t="s">
        <v>839</v>
      </c>
      <c r="H245" s="22" t="s">
        <v>10</v>
      </c>
      <c r="I245" s="22" t="s">
        <v>5473</v>
      </c>
      <c r="J245" s="22" t="s">
        <v>47</v>
      </c>
      <c r="K245" s="22">
        <v>5.18122022400088e+18</v>
      </c>
      <c r="L245" s="22" t="s">
        <v>841</v>
      </c>
      <c r="M245" s="25"/>
    </row>
    <row r="246" customHeight="1" spans="1:13">
      <c r="A246" s="21">
        <v>46054</v>
      </c>
      <c r="B246" s="22" t="s">
        <v>5479</v>
      </c>
      <c r="C246" s="23">
        <v>46077</v>
      </c>
      <c r="D246" s="24">
        <v>0</v>
      </c>
      <c r="E246" s="22"/>
      <c r="F246" s="22" t="s">
        <v>105</v>
      </c>
      <c r="G246" s="22" t="s">
        <v>842</v>
      </c>
      <c r="H246" s="22" t="s">
        <v>12</v>
      </c>
      <c r="I246" s="22" t="s">
        <v>5473</v>
      </c>
      <c r="J246" s="22" t="s">
        <v>39</v>
      </c>
      <c r="K246" s="22">
        <v>5.18122022400088e+18</v>
      </c>
      <c r="L246" s="22" t="s">
        <v>841</v>
      </c>
      <c r="M246" s="25"/>
    </row>
    <row r="247" customHeight="1" spans="1:13">
      <c r="A247" s="21">
        <v>46054</v>
      </c>
      <c r="B247" s="22" t="s">
        <v>5479</v>
      </c>
      <c r="C247" s="23">
        <v>46079</v>
      </c>
      <c r="D247" s="24">
        <v>0</v>
      </c>
      <c r="E247" s="22"/>
      <c r="F247" s="22" t="s">
        <v>105</v>
      </c>
      <c r="G247" s="22" t="s">
        <v>845</v>
      </c>
      <c r="H247" s="22" t="s">
        <v>12</v>
      </c>
      <c r="I247" s="22" t="s">
        <v>5473</v>
      </c>
      <c r="J247" s="22" t="s">
        <v>47</v>
      </c>
      <c r="K247" s="24">
        <v>0</v>
      </c>
      <c r="L247" s="26" t="e">
        <v>#N/A</v>
      </c>
      <c r="M247" s="25"/>
    </row>
    <row r="248" customHeight="1" spans="1:13">
      <c r="A248" s="21">
        <v>46082</v>
      </c>
      <c r="B248" s="22" t="s">
        <v>5480</v>
      </c>
      <c r="C248" s="23">
        <v>46083</v>
      </c>
      <c r="D248" s="24">
        <v>0</v>
      </c>
      <c r="E248" s="22"/>
      <c r="F248" s="22" t="s">
        <v>105</v>
      </c>
      <c r="G248" s="22" t="s">
        <v>846</v>
      </c>
      <c r="H248" s="22" t="s">
        <v>10</v>
      </c>
      <c r="I248" s="22" t="s">
        <v>5473</v>
      </c>
      <c r="J248" s="22" t="s">
        <v>39</v>
      </c>
      <c r="K248" s="22">
        <v>5.18126021305637e+18</v>
      </c>
      <c r="L248" s="22" t="s">
        <v>848</v>
      </c>
      <c r="M248" s="25"/>
    </row>
    <row r="249" customHeight="1" spans="1:13">
      <c r="A249" s="21">
        <v>46082</v>
      </c>
      <c r="B249" s="22" t="s">
        <v>5480</v>
      </c>
      <c r="C249" s="23">
        <v>46085</v>
      </c>
      <c r="D249" s="24">
        <v>0</v>
      </c>
      <c r="E249" s="22"/>
      <c r="F249" s="22" t="s">
        <v>105</v>
      </c>
      <c r="G249" s="22" t="s">
        <v>850</v>
      </c>
      <c r="H249" s="22" t="s">
        <v>10</v>
      </c>
      <c r="I249" s="22" t="s">
        <v>5473</v>
      </c>
      <c r="J249" s="22" t="s">
        <v>54</v>
      </c>
      <c r="K249" s="22">
        <v>5.18124052800352e+18</v>
      </c>
      <c r="L249" s="22" t="s">
        <v>852</v>
      </c>
      <c r="M249" s="25"/>
    </row>
    <row r="250" customHeight="1" spans="1:13">
      <c r="A250" s="21">
        <v>46082</v>
      </c>
      <c r="B250" s="22" t="s">
        <v>5480</v>
      </c>
      <c r="C250" s="23">
        <v>46090</v>
      </c>
      <c r="D250" s="24">
        <v>0</v>
      </c>
      <c r="E250" s="22"/>
      <c r="F250" s="22" t="s">
        <v>105</v>
      </c>
      <c r="G250" s="22" t="s">
        <v>853</v>
      </c>
      <c r="H250" s="22" t="s">
        <v>10</v>
      </c>
      <c r="I250" s="22" t="s">
        <v>5473</v>
      </c>
      <c r="J250" s="22" t="s">
        <v>53</v>
      </c>
      <c r="K250" s="22" t="s">
        <v>5505</v>
      </c>
      <c r="L250" s="22" t="s">
        <v>5506</v>
      </c>
      <c r="M250" s="25"/>
    </row>
    <row r="251" customHeight="1" spans="1:13">
      <c r="A251" s="21">
        <v>46082</v>
      </c>
      <c r="B251" s="22" t="s">
        <v>5480</v>
      </c>
      <c r="C251" s="23">
        <v>46091</v>
      </c>
      <c r="D251" s="24">
        <v>0</v>
      </c>
      <c r="E251" s="22"/>
      <c r="F251" s="22" t="s">
        <v>105</v>
      </c>
      <c r="G251" s="22" t="s">
        <v>857</v>
      </c>
      <c r="H251" s="22" t="s">
        <v>12</v>
      </c>
      <c r="I251" s="22" t="s">
        <v>5473</v>
      </c>
      <c r="J251" s="22" t="s">
        <v>39</v>
      </c>
      <c r="K251" s="22">
        <v>5.18126020605619e+18</v>
      </c>
      <c r="L251" s="22" t="s">
        <v>859</v>
      </c>
      <c r="M251" s="25"/>
    </row>
    <row r="252" customHeight="1" spans="1:13">
      <c r="A252" s="21">
        <v>46082</v>
      </c>
      <c r="B252" s="22" t="s">
        <v>5481</v>
      </c>
      <c r="C252" s="23">
        <v>46099</v>
      </c>
      <c r="D252" s="24">
        <v>0</v>
      </c>
      <c r="E252" s="22"/>
      <c r="F252" s="22" t="s">
        <v>105</v>
      </c>
      <c r="G252" s="22" t="s">
        <v>860</v>
      </c>
      <c r="H252" s="22" t="s">
        <v>12</v>
      </c>
      <c r="I252" s="22" t="s">
        <v>5473</v>
      </c>
      <c r="J252" s="22" t="s">
        <v>39</v>
      </c>
      <c r="K252" s="22">
        <v>5.18122040800128e+18</v>
      </c>
      <c r="L252" s="22" t="s">
        <v>862</v>
      </c>
      <c r="M252" s="25"/>
    </row>
    <row r="253" customHeight="1" spans="1:13">
      <c r="A253" s="21">
        <v>46082</v>
      </c>
      <c r="B253" s="22" t="s">
        <v>5481</v>
      </c>
      <c r="C253" s="23">
        <v>46100</v>
      </c>
      <c r="D253" s="24">
        <v>0</v>
      </c>
      <c r="E253" s="22"/>
      <c r="F253" s="22" t="s">
        <v>105</v>
      </c>
      <c r="G253" s="22" t="s">
        <v>863</v>
      </c>
      <c r="H253" s="22" t="s">
        <v>10</v>
      </c>
      <c r="I253" s="22" t="s">
        <v>5473</v>
      </c>
      <c r="J253" s="22" t="s">
        <v>40</v>
      </c>
      <c r="K253" s="22">
        <v>5.18126031605799e+18</v>
      </c>
      <c r="L253" s="22" t="s">
        <v>865</v>
      </c>
      <c r="M253" s="25"/>
    </row>
    <row r="254" customHeight="1" spans="1:13">
      <c r="A254" s="21">
        <v>46113</v>
      </c>
      <c r="B254" s="22" t="s">
        <v>5482</v>
      </c>
      <c r="C254" s="23">
        <v>46114</v>
      </c>
      <c r="D254" s="24">
        <v>0</v>
      </c>
      <c r="E254" s="22"/>
      <c r="F254" s="22" t="s">
        <v>105</v>
      </c>
      <c r="G254" s="22" t="s">
        <v>866</v>
      </c>
      <c r="H254" s="22" t="s">
        <v>10</v>
      </c>
      <c r="I254" s="22" t="s">
        <v>5473</v>
      </c>
      <c r="J254" s="22" t="s">
        <v>39</v>
      </c>
      <c r="K254" s="22">
        <v>5.18126033105925e+18</v>
      </c>
      <c r="L254" s="22" t="s">
        <v>868</v>
      </c>
      <c r="M254" s="25"/>
    </row>
    <row r="255" customHeight="1" spans="1:13">
      <c r="A255" s="21">
        <v>46113</v>
      </c>
      <c r="B255" s="22" t="s">
        <v>5482</v>
      </c>
      <c r="C255" s="23">
        <v>46114</v>
      </c>
      <c r="D255" s="24">
        <v>0</v>
      </c>
      <c r="E255" s="22"/>
      <c r="F255" s="22" t="s">
        <v>105</v>
      </c>
      <c r="G255" s="22" t="s">
        <v>869</v>
      </c>
      <c r="H255" s="22" t="s">
        <v>12</v>
      </c>
      <c r="I255" s="22" t="s">
        <v>5473</v>
      </c>
      <c r="J255" s="22" t="s">
        <v>41</v>
      </c>
      <c r="K255" s="22">
        <v>5.18126033105925e+18</v>
      </c>
      <c r="L255" s="22" t="s">
        <v>868</v>
      </c>
      <c r="M255" s="25"/>
    </row>
    <row r="256" customHeight="1" spans="1:13">
      <c r="A256" s="21">
        <v>46113</v>
      </c>
      <c r="B256" s="22" t="s">
        <v>5482</v>
      </c>
      <c r="C256" s="23">
        <v>46113</v>
      </c>
      <c r="D256" s="24">
        <v>0</v>
      </c>
      <c r="E256" s="22"/>
      <c r="F256" s="22" t="s">
        <v>105</v>
      </c>
      <c r="G256" s="22" t="s">
        <v>873</v>
      </c>
      <c r="H256" s="22" t="s">
        <v>12</v>
      </c>
      <c r="I256" s="22" t="s">
        <v>5473</v>
      </c>
      <c r="J256" s="22" t="s">
        <v>39</v>
      </c>
      <c r="K256" s="22">
        <v>5.18126022705672e+18</v>
      </c>
      <c r="L256" s="22" t="s">
        <v>875</v>
      </c>
      <c r="M256" s="25"/>
    </row>
    <row r="257" customHeight="1" spans="1:13">
      <c r="A257" s="21">
        <v>46113</v>
      </c>
      <c r="B257" s="22" t="s">
        <v>5482</v>
      </c>
      <c r="C257" s="23">
        <v>46115</v>
      </c>
      <c r="D257" s="24">
        <v>0</v>
      </c>
      <c r="E257" s="22"/>
      <c r="F257" s="22" t="s">
        <v>105</v>
      </c>
      <c r="G257" s="22" t="s">
        <v>877</v>
      </c>
      <c r="H257" s="22" t="s">
        <v>11</v>
      </c>
      <c r="I257" s="22" t="s">
        <v>5473</v>
      </c>
      <c r="J257" s="22" t="s">
        <v>47</v>
      </c>
      <c r="K257" s="22">
        <v>5.18123090800073e+18</v>
      </c>
      <c r="L257" s="22" t="s">
        <v>879</v>
      </c>
      <c r="M257" s="25"/>
    </row>
    <row r="258" customHeight="1" spans="1:13">
      <c r="A258" s="21">
        <v>46113</v>
      </c>
      <c r="B258" s="22" t="s">
        <v>5482</v>
      </c>
      <c r="C258" s="23">
        <v>46120</v>
      </c>
      <c r="D258" s="24">
        <v>0</v>
      </c>
      <c r="E258" s="22"/>
      <c r="F258" s="22" t="s">
        <v>105</v>
      </c>
      <c r="G258" s="22" t="s">
        <v>880</v>
      </c>
      <c r="H258" s="22" t="s">
        <v>10</v>
      </c>
      <c r="I258" s="22" t="s">
        <v>5473</v>
      </c>
      <c r="J258" s="22" t="s">
        <v>39</v>
      </c>
      <c r="K258" s="22">
        <v>5.18126031305779e+18</v>
      </c>
      <c r="L258" s="22" t="s">
        <v>882</v>
      </c>
      <c r="M258" s="25"/>
    </row>
    <row r="259" customHeight="1" spans="1:13">
      <c r="A259" s="21">
        <v>46113</v>
      </c>
      <c r="B259" s="22" t="s">
        <v>5482</v>
      </c>
      <c r="C259" s="23">
        <v>46126</v>
      </c>
      <c r="D259" s="24">
        <v>0</v>
      </c>
      <c r="E259" s="22"/>
      <c r="F259" s="22" t="s">
        <v>105</v>
      </c>
      <c r="G259" s="22" t="s">
        <v>883</v>
      </c>
      <c r="H259" s="22" t="s">
        <v>10</v>
      </c>
      <c r="I259" s="22" t="s">
        <v>5473</v>
      </c>
      <c r="J259" s="22" t="s">
        <v>39</v>
      </c>
      <c r="K259" s="22">
        <v>5.18123061100024e+18</v>
      </c>
      <c r="L259" s="22" t="s">
        <v>885</v>
      </c>
      <c r="M259" s="25"/>
    </row>
    <row r="260" customHeight="1" spans="1:13">
      <c r="A260" s="21">
        <v>46113</v>
      </c>
      <c r="B260" s="22" t="s">
        <v>5482</v>
      </c>
      <c r="C260" s="23">
        <v>46127</v>
      </c>
      <c r="D260" s="24">
        <v>0</v>
      </c>
      <c r="E260" s="22"/>
      <c r="F260" s="22" t="s">
        <v>105</v>
      </c>
      <c r="G260" s="22" t="s">
        <v>886</v>
      </c>
      <c r="H260" s="22" t="s">
        <v>10</v>
      </c>
      <c r="I260" s="22" t="s">
        <v>5473</v>
      </c>
      <c r="J260" s="22" t="s">
        <v>39</v>
      </c>
      <c r="K260" s="22">
        <v>5.18126032505866e+18</v>
      </c>
      <c r="L260" s="22" t="s">
        <v>888</v>
      </c>
      <c r="M260" s="25"/>
    </row>
    <row r="261" customHeight="1" spans="1:13">
      <c r="A261" s="21">
        <v>46113</v>
      </c>
      <c r="B261" s="22" t="s">
        <v>5482</v>
      </c>
      <c r="C261" s="23">
        <v>46127</v>
      </c>
      <c r="D261" s="24">
        <v>0</v>
      </c>
      <c r="E261" s="22"/>
      <c r="F261" s="22" t="s">
        <v>105</v>
      </c>
      <c r="G261" s="22" t="s">
        <v>5507</v>
      </c>
      <c r="H261" s="22" t="s">
        <v>10</v>
      </c>
      <c r="I261" s="22" t="s">
        <v>5473</v>
      </c>
      <c r="J261" s="22" t="s">
        <v>39</v>
      </c>
      <c r="K261" s="22">
        <v>5.18126032505866e+18</v>
      </c>
      <c r="L261" s="22" t="s">
        <v>888</v>
      </c>
      <c r="M261" s="25"/>
    </row>
    <row r="262" customHeight="1" spans="1:13">
      <c r="A262" s="21">
        <v>46113</v>
      </c>
      <c r="B262" s="22" t="s">
        <v>5483</v>
      </c>
      <c r="C262" s="23">
        <v>46129</v>
      </c>
      <c r="D262" s="24">
        <v>0</v>
      </c>
      <c r="E262" s="22"/>
      <c r="F262" s="22" t="s">
        <v>105</v>
      </c>
      <c r="G262" s="22" t="s">
        <v>893</v>
      </c>
      <c r="H262" s="22" t="s">
        <v>10</v>
      </c>
      <c r="I262" s="22" t="s">
        <v>5473</v>
      </c>
      <c r="J262" s="22" t="s">
        <v>892</v>
      </c>
      <c r="K262" s="24">
        <v>0</v>
      </c>
      <c r="L262" s="26" t="e">
        <v>#N/A</v>
      </c>
      <c r="M262" s="25"/>
    </row>
    <row r="263" customHeight="1" spans="1:13">
      <c r="A263" s="21">
        <v>46113</v>
      </c>
      <c r="B263" s="22" t="s">
        <v>5483</v>
      </c>
      <c r="C263" s="23">
        <v>46129</v>
      </c>
      <c r="D263" s="24">
        <v>0</v>
      </c>
      <c r="E263" s="22"/>
      <c r="F263" s="22" t="s">
        <v>105</v>
      </c>
      <c r="G263" s="22" t="s">
        <v>895</v>
      </c>
      <c r="H263" s="22" t="s">
        <v>10</v>
      </c>
      <c r="I263" s="22" t="s">
        <v>5473</v>
      </c>
      <c r="J263" s="22" t="s">
        <v>39</v>
      </c>
      <c r="K263" s="24">
        <v>0</v>
      </c>
      <c r="L263" s="26" t="e">
        <v>#N/A</v>
      </c>
      <c r="M263" s="25"/>
    </row>
    <row r="264" customHeight="1" spans="1:13">
      <c r="A264" s="21">
        <v>46113</v>
      </c>
      <c r="B264" s="22" t="s">
        <v>5483</v>
      </c>
      <c r="C264" s="23">
        <v>46129</v>
      </c>
      <c r="D264" s="24">
        <v>0</v>
      </c>
      <c r="E264" s="22"/>
      <c r="F264" s="22" t="s">
        <v>105</v>
      </c>
      <c r="G264" s="22" t="s">
        <v>898</v>
      </c>
      <c r="H264" s="22" t="s">
        <v>10</v>
      </c>
      <c r="I264" s="22" t="s">
        <v>5473</v>
      </c>
      <c r="J264" s="22" t="s">
        <v>40</v>
      </c>
      <c r="K264" s="24">
        <v>0</v>
      </c>
      <c r="L264" s="26" t="e">
        <v>#N/A</v>
      </c>
      <c r="M264" s="25"/>
    </row>
    <row r="265" customHeight="1" spans="1:13">
      <c r="A265" s="21">
        <v>46113</v>
      </c>
      <c r="B265" s="22" t="s">
        <v>5483</v>
      </c>
      <c r="C265" s="23">
        <v>46129</v>
      </c>
      <c r="D265" s="24">
        <v>0</v>
      </c>
      <c r="E265" s="22"/>
      <c r="F265" s="22" t="s">
        <v>105</v>
      </c>
      <c r="G265" s="22" t="s">
        <v>901</v>
      </c>
      <c r="H265" s="22" t="s">
        <v>10</v>
      </c>
      <c r="I265" s="22" t="s">
        <v>5473</v>
      </c>
      <c r="J265" s="22" t="s">
        <v>40</v>
      </c>
      <c r="K265" s="24">
        <v>0</v>
      </c>
      <c r="L265" s="26" t="e">
        <v>#N/A</v>
      </c>
      <c r="M265" s="25"/>
    </row>
    <row r="266" customHeight="1" spans="1:13">
      <c r="A266" s="21">
        <v>46113</v>
      </c>
      <c r="B266" s="22" t="s">
        <v>5483</v>
      </c>
      <c r="C266" s="23">
        <v>46140</v>
      </c>
      <c r="D266" s="24">
        <v>0</v>
      </c>
      <c r="E266" s="22"/>
      <c r="F266" s="22" t="s">
        <v>105</v>
      </c>
      <c r="G266" s="22" t="s">
        <v>5508</v>
      </c>
      <c r="H266" s="22" t="s">
        <v>10</v>
      </c>
      <c r="I266" s="22" t="s">
        <v>5473</v>
      </c>
      <c r="J266" s="22" t="s">
        <v>39</v>
      </c>
      <c r="K266" s="22">
        <v>5.1812403140025e+18</v>
      </c>
      <c r="L266" s="22" t="s">
        <v>119</v>
      </c>
      <c r="M266" s="25"/>
    </row>
    <row r="267" customHeight="1" spans="1:13">
      <c r="A267" s="21">
        <v>46143</v>
      </c>
      <c r="B267" s="22" t="s">
        <v>5484</v>
      </c>
      <c r="C267" s="23">
        <v>46147</v>
      </c>
      <c r="D267" s="24">
        <v>0</v>
      </c>
      <c r="E267" s="22"/>
      <c r="F267" s="22" t="s">
        <v>105</v>
      </c>
      <c r="G267" s="22" t="s">
        <v>905</v>
      </c>
      <c r="H267" s="22" t="s">
        <v>12</v>
      </c>
      <c r="I267" s="22" t="s">
        <v>5473</v>
      </c>
      <c r="J267" s="22" t="s">
        <v>51</v>
      </c>
      <c r="K267" s="22">
        <v>5.18124102503362e+18</v>
      </c>
      <c r="L267" s="22" t="s">
        <v>907</v>
      </c>
      <c r="M267" s="25"/>
    </row>
    <row r="268" customHeight="1" spans="1:13">
      <c r="A268" s="21">
        <v>46143</v>
      </c>
      <c r="B268" s="22" t="s">
        <v>5484</v>
      </c>
      <c r="C268" s="23">
        <v>46147</v>
      </c>
      <c r="D268" s="24">
        <v>0</v>
      </c>
      <c r="E268" s="22"/>
      <c r="F268" s="22" t="s">
        <v>105</v>
      </c>
      <c r="G268" s="22" t="s">
        <v>909</v>
      </c>
      <c r="H268" s="22" t="s">
        <v>10</v>
      </c>
      <c r="I268" s="22" t="s">
        <v>5473</v>
      </c>
      <c r="J268" s="22" t="s">
        <v>54</v>
      </c>
      <c r="K268" s="22">
        <v>5.18124102503362e+18</v>
      </c>
      <c r="L268" s="22" t="s">
        <v>907</v>
      </c>
      <c r="M268" s="25"/>
    </row>
    <row r="269" customHeight="1" spans="1:13">
      <c r="A269" s="21">
        <v>46143</v>
      </c>
      <c r="B269" s="22" t="s">
        <v>5484</v>
      </c>
      <c r="C269" s="23">
        <v>46149</v>
      </c>
      <c r="D269" s="24">
        <v>0</v>
      </c>
      <c r="E269" s="22"/>
      <c r="F269" s="22" t="s">
        <v>105</v>
      </c>
      <c r="G269" s="22" t="s">
        <v>5509</v>
      </c>
      <c r="H269" s="22" t="s">
        <v>10</v>
      </c>
      <c r="I269" s="22" t="s">
        <v>5473</v>
      </c>
      <c r="J269" s="22" t="s">
        <v>39</v>
      </c>
      <c r="K269" s="22">
        <v>5.18126042706189e+18</v>
      </c>
      <c r="L269" s="22" t="s">
        <v>914</v>
      </c>
      <c r="M269" s="25"/>
    </row>
    <row r="270" customHeight="1" spans="1:13">
      <c r="A270" s="21">
        <v>46143</v>
      </c>
      <c r="B270" s="22" t="s">
        <v>5484</v>
      </c>
      <c r="C270" s="23">
        <v>46149</v>
      </c>
      <c r="D270" s="24">
        <v>0</v>
      </c>
      <c r="E270" s="22"/>
      <c r="F270" s="22" t="s">
        <v>105</v>
      </c>
      <c r="G270" s="22" t="s">
        <v>915</v>
      </c>
      <c r="H270" s="22" t="s">
        <v>11</v>
      </c>
      <c r="I270" s="22" t="s">
        <v>5473</v>
      </c>
      <c r="J270" s="22" t="s">
        <v>40</v>
      </c>
      <c r="K270" s="22">
        <v>5.18126042706189e+18</v>
      </c>
      <c r="L270" s="22" t="s">
        <v>914</v>
      </c>
      <c r="M270" s="25"/>
    </row>
    <row r="271" customHeight="1" spans="1:13">
      <c r="A271" s="21">
        <v>46143</v>
      </c>
      <c r="B271" s="22" t="s">
        <v>5484</v>
      </c>
      <c r="C271" s="23">
        <v>46150</v>
      </c>
      <c r="D271" s="24">
        <v>0</v>
      </c>
      <c r="E271" s="22"/>
      <c r="F271" s="22" t="s">
        <v>105</v>
      </c>
      <c r="G271" s="22" t="s">
        <v>918</v>
      </c>
      <c r="H271" s="22" t="s">
        <v>12</v>
      </c>
      <c r="I271" s="22" t="s">
        <v>5473</v>
      </c>
      <c r="J271" s="22" t="s">
        <v>39</v>
      </c>
      <c r="K271" s="22">
        <v>5.18124062501136e+18</v>
      </c>
      <c r="L271" s="22" t="s">
        <v>920</v>
      </c>
      <c r="M271" s="25"/>
    </row>
    <row r="272" customHeight="1" spans="1:13">
      <c r="A272" s="21">
        <v>46143</v>
      </c>
      <c r="B272" s="22" t="s">
        <v>5484</v>
      </c>
      <c r="C272" s="23">
        <v>46153</v>
      </c>
      <c r="D272" s="24">
        <v>0</v>
      </c>
      <c r="E272" s="22"/>
      <c r="F272" s="22" t="s">
        <v>105</v>
      </c>
      <c r="G272" s="22" t="s">
        <v>921</v>
      </c>
      <c r="H272" s="22" t="s">
        <v>10</v>
      </c>
      <c r="I272" s="22" t="s">
        <v>5473</v>
      </c>
      <c r="J272" s="22" t="s">
        <v>39</v>
      </c>
      <c r="K272" s="22">
        <v>5.18125081704639e+18</v>
      </c>
      <c r="L272" s="22" t="s">
        <v>875</v>
      </c>
      <c r="M272" s="25"/>
    </row>
    <row r="273" customHeight="1" spans="1:13">
      <c r="A273" s="21">
        <v>46143</v>
      </c>
      <c r="B273" s="22" t="s">
        <v>5484</v>
      </c>
      <c r="C273" s="23">
        <v>46155</v>
      </c>
      <c r="D273" s="24">
        <v>0</v>
      </c>
      <c r="E273" s="22"/>
      <c r="F273" s="22" t="s">
        <v>105</v>
      </c>
      <c r="G273" s="22" t="s">
        <v>923</v>
      </c>
      <c r="H273" s="22" t="s">
        <v>10</v>
      </c>
      <c r="I273" s="22" t="s">
        <v>5473</v>
      </c>
      <c r="J273" s="22" t="s">
        <v>40</v>
      </c>
      <c r="K273" s="22">
        <v>5.18125102705044e+18</v>
      </c>
      <c r="L273" s="22" t="s">
        <v>925</v>
      </c>
      <c r="M273" s="25"/>
    </row>
    <row r="274" customHeight="1" spans="1:13">
      <c r="A274" s="21">
        <v>46143</v>
      </c>
      <c r="B274" s="22" t="s">
        <v>5484</v>
      </c>
      <c r="C274" s="23">
        <v>46157</v>
      </c>
      <c r="D274" s="24">
        <v>0</v>
      </c>
      <c r="E274" s="22"/>
      <c r="F274" s="22" t="s">
        <v>105</v>
      </c>
      <c r="G274" s="22" t="s">
        <v>926</v>
      </c>
      <c r="H274" s="22" t="s">
        <v>12</v>
      </c>
      <c r="I274" s="22" t="s">
        <v>5473</v>
      </c>
      <c r="J274" s="22" t="s">
        <v>39</v>
      </c>
      <c r="K274" s="22">
        <v>5.1812506180437e+18</v>
      </c>
      <c r="L274" s="22" t="s">
        <v>222</v>
      </c>
      <c r="M274" s="25"/>
    </row>
    <row r="275" customHeight="1" spans="1:13">
      <c r="A275" s="21">
        <v>46143</v>
      </c>
      <c r="B275" s="22" t="s">
        <v>5485</v>
      </c>
      <c r="C275" s="23">
        <v>46163</v>
      </c>
      <c r="D275" s="24">
        <v>0</v>
      </c>
      <c r="E275" s="22"/>
      <c r="F275" s="22" t="s">
        <v>105</v>
      </c>
      <c r="G275" s="22" t="s">
        <v>928</v>
      </c>
      <c r="H275" s="22" t="s">
        <v>10</v>
      </c>
      <c r="I275" s="22" t="s">
        <v>5473</v>
      </c>
      <c r="J275" s="22" t="s">
        <v>43</v>
      </c>
      <c r="K275" s="22">
        <v>5.18122060100173e+18</v>
      </c>
      <c r="L275" s="22" t="s">
        <v>930</v>
      </c>
      <c r="M275" s="25"/>
    </row>
    <row r="276" customHeight="1" spans="1:13">
      <c r="A276" s="21">
        <v>46143</v>
      </c>
      <c r="B276" s="22" t="s">
        <v>5485</v>
      </c>
      <c r="C276" s="23">
        <v>46168</v>
      </c>
      <c r="D276" s="24">
        <v>0</v>
      </c>
      <c r="E276" s="22"/>
      <c r="F276" s="22" t="s">
        <v>105</v>
      </c>
      <c r="G276" s="22" t="s">
        <v>949</v>
      </c>
      <c r="H276" s="22" t="s">
        <v>10</v>
      </c>
      <c r="I276" s="22" t="s">
        <v>5473</v>
      </c>
      <c r="J276" s="22" t="s">
        <v>40</v>
      </c>
      <c r="K276" s="22">
        <v>5.18124032900286e+18</v>
      </c>
      <c r="L276" s="22" t="s">
        <v>951</v>
      </c>
      <c r="M276" s="25"/>
    </row>
    <row r="277" customHeight="1" spans="1:13">
      <c r="A277" s="21">
        <v>46143</v>
      </c>
      <c r="B277" s="22" t="s">
        <v>5485</v>
      </c>
      <c r="C277" s="23">
        <v>46169</v>
      </c>
      <c r="D277" s="24">
        <v>0</v>
      </c>
      <c r="E277" s="22"/>
      <c r="F277" s="22" t="s">
        <v>105</v>
      </c>
      <c r="G277" s="22" t="s">
        <v>952</v>
      </c>
      <c r="H277" s="22" t="s">
        <v>11</v>
      </c>
      <c r="I277" s="22" t="s">
        <v>5473</v>
      </c>
      <c r="J277" s="22" t="s">
        <v>47</v>
      </c>
      <c r="K277" s="22">
        <v>5.18124010400165e+18</v>
      </c>
      <c r="L277" s="22" t="s">
        <v>954</v>
      </c>
      <c r="M277" s="25"/>
    </row>
    <row r="278" customHeight="1" spans="1:13">
      <c r="A278" s="21">
        <v>46143</v>
      </c>
      <c r="B278" s="22" t="s">
        <v>5485</v>
      </c>
      <c r="C278" s="23">
        <v>46170</v>
      </c>
      <c r="D278" s="24">
        <v>0</v>
      </c>
      <c r="E278" s="22"/>
      <c r="F278" s="22" t="s">
        <v>105</v>
      </c>
      <c r="G278" s="22" t="s">
        <v>955</v>
      </c>
      <c r="H278" s="22" t="s">
        <v>10</v>
      </c>
      <c r="I278" s="22" t="s">
        <v>5473</v>
      </c>
      <c r="J278" s="22" t="s">
        <v>40</v>
      </c>
      <c r="K278" s="22">
        <v>5.18126050906317e+18</v>
      </c>
      <c r="L278" s="22" t="s">
        <v>957</v>
      </c>
      <c r="M278" s="25"/>
    </row>
    <row r="279" customHeight="1" spans="1:13">
      <c r="A279" s="21">
        <v>46143</v>
      </c>
      <c r="B279" s="22" t="s">
        <v>5485</v>
      </c>
      <c r="C279" s="23">
        <v>46170</v>
      </c>
      <c r="D279" s="24">
        <v>0</v>
      </c>
      <c r="E279" s="22"/>
      <c r="F279" s="22" t="s">
        <v>105</v>
      </c>
      <c r="G279" s="22" t="s">
        <v>958</v>
      </c>
      <c r="H279" s="22" t="s">
        <v>10</v>
      </c>
      <c r="I279" s="22" t="s">
        <v>5473</v>
      </c>
      <c r="J279" s="22" t="s">
        <v>53</v>
      </c>
      <c r="K279" s="22">
        <v>5.18126050906317e+18</v>
      </c>
      <c r="L279" s="22" t="s">
        <v>957</v>
      </c>
      <c r="M279" s="25"/>
    </row>
    <row r="280" customHeight="1" spans="1:13">
      <c r="A280" s="21">
        <v>46143</v>
      </c>
      <c r="B280" s="22" t="s">
        <v>5485</v>
      </c>
      <c r="C280" s="23">
        <v>46171</v>
      </c>
      <c r="D280" s="24">
        <v>0</v>
      </c>
      <c r="E280" s="22"/>
      <c r="F280" s="22" t="s">
        <v>105</v>
      </c>
      <c r="G280" s="22" t="s">
        <v>964</v>
      </c>
      <c r="H280" s="22" t="s">
        <v>10</v>
      </c>
      <c r="I280" s="22" t="s">
        <v>5473</v>
      </c>
      <c r="J280" s="22" t="s">
        <v>39</v>
      </c>
      <c r="K280" s="22">
        <v>5.18126050206243e+18</v>
      </c>
      <c r="L280" s="22" t="s">
        <v>966</v>
      </c>
      <c r="M280" s="25"/>
    </row>
    <row r="281" customHeight="1" spans="1:13">
      <c r="A281" s="21">
        <v>46174</v>
      </c>
      <c r="B281" s="22" t="s">
        <v>5487</v>
      </c>
      <c r="C281" s="23">
        <v>46176</v>
      </c>
      <c r="D281" s="24">
        <v>0</v>
      </c>
      <c r="E281" s="22"/>
      <c r="F281" s="22" t="s">
        <v>105</v>
      </c>
      <c r="G281" s="22" t="s">
        <v>968</v>
      </c>
      <c r="H281" s="22" t="s">
        <v>10</v>
      </c>
      <c r="I281" s="22" t="s">
        <v>5473</v>
      </c>
      <c r="J281" s="22" t="s">
        <v>39</v>
      </c>
      <c r="K281" s="22">
        <v>5.18126050606277e+18</v>
      </c>
      <c r="L281" s="22" t="s">
        <v>970</v>
      </c>
      <c r="M281" s="25"/>
    </row>
    <row r="282" customHeight="1" spans="1:13">
      <c r="A282" s="21">
        <v>46174</v>
      </c>
      <c r="B282" s="22" t="s">
        <v>5487</v>
      </c>
      <c r="C282" s="23">
        <v>46178</v>
      </c>
      <c r="D282" s="24">
        <v>0</v>
      </c>
      <c r="E282" s="22"/>
      <c r="F282" s="22" t="s">
        <v>105</v>
      </c>
      <c r="G282" s="22" t="s">
        <v>971</v>
      </c>
      <c r="H282" s="22" t="s">
        <v>10</v>
      </c>
      <c r="I282" s="22" t="s">
        <v>5473</v>
      </c>
      <c r="J282" s="22" t="s">
        <v>39</v>
      </c>
      <c r="K282" s="22">
        <v>5.18124090402492e+18</v>
      </c>
      <c r="L282" s="22" t="s">
        <v>5510</v>
      </c>
      <c r="M282" s="25"/>
    </row>
    <row r="283" customHeight="1" spans="1:13">
      <c r="A283" s="21">
        <v>46174</v>
      </c>
      <c r="B283" s="22" t="s">
        <v>5487</v>
      </c>
      <c r="C283" s="23">
        <v>46179</v>
      </c>
      <c r="D283" s="24">
        <v>0</v>
      </c>
      <c r="E283" s="22"/>
      <c r="F283" s="22" t="s">
        <v>105</v>
      </c>
      <c r="G283" s="22" t="s">
        <v>992</v>
      </c>
      <c r="H283" s="22" t="s">
        <v>10</v>
      </c>
      <c r="I283" s="22" t="s">
        <v>5473</v>
      </c>
      <c r="J283" s="22" t="s">
        <v>39</v>
      </c>
      <c r="K283" s="22">
        <v>5.18126041306051e+18</v>
      </c>
      <c r="L283" s="22" t="s">
        <v>994</v>
      </c>
      <c r="M283" s="25"/>
    </row>
    <row r="284" customHeight="1" spans="1:13">
      <c r="A284" s="21">
        <v>46174</v>
      </c>
      <c r="B284" s="22" t="s">
        <v>5489</v>
      </c>
      <c r="C284" s="23">
        <v>46191</v>
      </c>
      <c r="D284" s="24">
        <v>0</v>
      </c>
      <c r="E284" s="22"/>
      <c r="F284" s="22" t="s">
        <v>105</v>
      </c>
      <c r="G284" s="22" t="s">
        <v>996</v>
      </c>
      <c r="H284" s="22" t="s">
        <v>10</v>
      </c>
      <c r="I284" s="22" t="s">
        <v>5473</v>
      </c>
      <c r="J284" s="22" t="s">
        <v>39</v>
      </c>
      <c r="K284" s="22">
        <v>5.18123111300118e+18</v>
      </c>
      <c r="L284" s="22" t="s">
        <v>583</v>
      </c>
      <c r="M284" s="25"/>
    </row>
    <row r="285" customHeight="1" spans="1:13">
      <c r="A285" s="21">
        <v>45597</v>
      </c>
      <c r="B285" s="22" t="s">
        <v>5502</v>
      </c>
      <c r="C285" s="23">
        <v>45604</v>
      </c>
      <c r="D285" s="24">
        <v>200</v>
      </c>
      <c r="E285" s="22" t="s">
        <v>149</v>
      </c>
      <c r="F285" s="22" t="s">
        <v>7</v>
      </c>
      <c r="G285" s="22" t="s">
        <v>1008</v>
      </c>
      <c r="H285" s="22" t="s">
        <v>10</v>
      </c>
      <c r="I285" s="22" t="s">
        <v>5511</v>
      </c>
      <c r="J285" s="22" t="s">
        <v>40</v>
      </c>
      <c r="K285" s="24">
        <v>0</v>
      </c>
      <c r="L285" s="26" t="e">
        <v>#N/A</v>
      </c>
      <c r="M285" s="25"/>
    </row>
    <row r="286" customHeight="1" spans="1:13">
      <c r="A286" s="21">
        <v>45597</v>
      </c>
      <c r="B286" s="22" t="s">
        <v>5502</v>
      </c>
      <c r="C286" s="23">
        <v>45608</v>
      </c>
      <c r="D286" s="24">
        <v>2.8</v>
      </c>
      <c r="E286" s="22" t="s">
        <v>149</v>
      </c>
      <c r="F286" s="22" t="s">
        <v>7</v>
      </c>
      <c r="G286" s="22" t="s">
        <v>1012</v>
      </c>
      <c r="H286" s="22" t="s">
        <v>10</v>
      </c>
      <c r="I286" s="22" t="s">
        <v>5511</v>
      </c>
      <c r="J286" s="22" t="s">
        <v>40</v>
      </c>
      <c r="K286" s="24">
        <v>0</v>
      </c>
      <c r="L286" s="26" t="e">
        <v>#N/A</v>
      </c>
      <c r="M286" s="25"/>
    </row>
    <row r="287" customHeight="1" spans="1:13">
      <c r="A287" s="21">
        <v>45597</v>
      </c>
      <c r="B287" s="22" t="s">
        <v>5502</v>
      </c>
      <c r="C287" s="23">
        <v>45609</v>
      </c>
      <c r="D287" s="24">
        <v>160</v>
      </c>
      <c r="E287" s="22" t="s">
        <v>139</v>
      </c>
      <c r="F287" s="22" t="s">
        <v>7</v>
      </c>
      <c r="G287" s="22" t="s">
        <v>1013</v>
      </c>
      <c r="H287" s="22" t="s">
        <v>10</v>
      </c>
      <c r="I287" s="22" t="s">
        <v>5511</v>
      </c>
      <c r="J287" s="22" t="s">
        <v>40</v>
      </c>
      <c r="K287" s="24">
        <v>0</v>
      </c>
      <c r="L287" s="26" t="e">
        <v>#N/A</v>
      </c>
      <c r="M287" s="25"/>
    </row>
    <row r="288" customHeight="1" spans="1:13">
      <c r="A288" s="21">
        <v>45597</v>
      </c>
      <c r="B288" s="22" t="s">
        <v>5502</v>
      </c>
      <c r="C288" s="23">
        <v>45609</v>
      </c>
      <c r="D288" s="24">
        <v>70</v>
      </c>
      <c r="E288" s="22" t="s">
        <v>149</v>
      </c>
      <c r="F288" s="22" t="s">
        <v>7</v>
      </c>
      <c r="G288" s="22" t="s">
        <v>1015</v>
      </c>
      <c r="H288" s="22" t="s">
        <v>10</v>
      </c>
      <c r="I288" s="22" t="s">
        <v>5511</v>
      </c>
      <c r="J288" s="22" t="s">
        <v>40</v>
      </c>
      <c r="K288" s="24">
        <v>0</v>
      </c>
      <c r="L288" s="26" t="e">
        <v>#N/A</v>
      </c>
      <c r="M288" s="25"/>
    </row>
    <row r="289" customHeight="1" spans="1:13">
      <c r="A289" s="21">
        <v>45597</v>
      </c>
      <c r="B289" s="22" t="s">
        <v>5472</v>
      </c>
      <c r="C289" s="23">
        <v>45615</v>
      </c>
      <c r="D289" s="24">
        <v>80</v>
      </c>
      <c r="E289" s="22" t="s">
        <v>139</v>
      </c>
      <c r="F289" s="22" t="s">
        <v>7</v>
      </c>
      <c r="G289" s="22" t="s">
        <v>1017</v>
      </c>
      <c r="H289" s="22" t="s">
        <v>10</v>
      </c>
      <c r="I289" s="22" t="s">
        <v>5511</v>
      </c>
      <c r="J289" s="22" t="s">
        <v>40</v>
      </c>
      <c r="K289" s="24">
        <v>0</v>
      </c>
      <c r="L289" s="26" t="e">
        <v>#N/A</v>
      </c>
      <c r="M289" s="25"/>
    </row>
    <row r="290" customHeight="1" spans="1:13">
      <c r="A290" s="21">
        <v>45597</v>
      </c>
      <c r="B290" s="22" t="s">
        <v>5472</v>
      </c>
      <c r="C290" s="23">
        <v>45616</v>
      </c>
      <c r="D290" s="24">
        <v>74.01</v>
      </c>
      <c r="E290" s="22" t="s">
        <v>149</v>
      </c>
      <c r="F290" s="22" t="s">
        <v>7</v>
      </c>
      <c r="G290" s="22" t="s">
        <v>1021</v>
      </c>
      <c r="H290" s="22" t="s">
        <v>10</v>
      </c>
      <c r="I290" s="22" t="s">
        <v>5511</v>
      </c>
      <c r="J290" s="22" t="s">
        <v>40</v>
      </c>
      <c r="K290" s="22">
        <v>5.18124053100357e+18</v>
      </c>
      <c r="L290" s="24">
        <v>0</v>
      </c>
      <c r="M290" s="25"/>
    </row>
    <row r="291" customHeight="1" spans="1:13">
      <c r="A291" s="21">
        <v>45597</v>
      </c>
      <c r="B291" s="22" t="s">
        <v>5472</v>
      </c>
      <c r="C291" s="23">
        <v>45621</v>
      </c>
      <c r="D291" s="24">
        <v>315.38</v>
      </c>
      <c r="E291" s="22" t="s">
        <v>80</v>
      </c>
      <c r="F291" s="22" t="s">
        <v>7</v>
      </c>
      <c r="G291" s="22" t="s">
        <v>1025</v>
      </c>
      <c r="H291" s="22" t="s">
        <v>10</v>
      </c>
      <c r="I291" s="22" t="s">
        <v>5511</v>
      </c>
      <c r="J291" s="22" t="s">
        <v>40</v>
      </c>
      <c r="K291" s="22">
        <v>5.18124012900193e+18</v>
      </c>
      <c r="L291" s="24">
        <v>0</v>
      </c>
      <c r="M291" s="25"/>
    </row>
    <row r="292" customHeight="1" spans="1:13">
      <c r="A292" s="21">
        <v>45627</v>
      </c>
      <c r="B292" s="22" t="s">
        <v>5474</v>
      </c>
      <c r="C292" s="23">
        <v>45631</v>
      </c>
      <c r="D292" s="27">
        <v>1569213.59</v>
      </c>
      <c r="E292" s="22" t="s">
        <v>149</v>
      </c>
      <c r="F292" s="22" t="s">
        <v>7</v>
      </c>
      <c r="G292" s="22" t="s">
        <v>1030</v>
      </c>
      <c r="H292" s="22" t="s">
        <v>12</v>
      </c>
      <c r="I292" s="22" t="s">
        <v>5511</v>
      </c>
      <c r="J292" s="22" t="s">
        <v>46</v>
      </c>
      <c r="K292" s="22">
        <v>5.18123042300348e+18</v>
      </c>
      <c r="L292" s="22" t="s">
        <v>1032</v>
      </c>
      <c r="M292" s="25"/>
    </row>
    <row r="293" customHeight="1" spans="1:13">
      <c r="A293" s="21">
        <v>45627</v>
      </c>
      <c r="B293" s="22" t="s">
        <v>5474</v>
      </c>
      <c r="C293" s="23">
        <v>45635</v>
      </c>
      <c r="D293" s="27">
        <v>3813347</v>
      </c>
      <c r="E293" s="22" t="s">
        <v>1037</v>
      </c>
      <c r="F293" s="22" t="s">
        <v>7</v>
      </c>
      <c r="G293" s="24">
        <v>2581730</v>
      </c>
      <c r="H293" s="22" t="s">
        <v>12</v>
      </c>
      <c r="I293" s="22" t="s">
        <v>5511</v>
      </c>
      <c r="J293" s="22" t="s">
        <v>44</v>
      </c>
      <c r="K293" s="22">
        <v>5.18123111300118e+18</v>
      </c>
      <c r="L293" s="22" t="s">
        <v>871</v>
      </c>
      <c r="M293" s="25"/>
    </row>
    <row r="294" customHeight="1" spans="1:13">
      <c r="A294" s="21">
        <v>45627</v>
      </c>
      <c r="B294" s="22" t="s">
        <v>5474</v>
      </c>
      <c r="C294" s="23">
        <v>45636</v>
      </c>
      <c r="D294" s="27">
        <v>1193281.04</v>
      </c>
      <c r="E294" s="22" t="s">
        <v>149</v>
      </c>
      <c r="F294" s="22" t="s">
        <v>7</v>
      </c>
      <c r="G294" s="22" t="s">
        <v>1039</v>
      </c>
      <c r="H294" s="22" t="s">
        <v>12</v>
      </c>
      <c r="I294" s="22" t="s">
        <v>5511</v>
      </c>
      <c r="J294" s="22" t="s">
        <v>46</v>
      </c>
      <c r="K294" s="22">
        <v>5.18123042300348e+18</v>
      </c>
      <c r="L294" s="22" t="s">
        <v>1032</v>
      </c>
      <c r="M294" s="25"/>
    </row>
    <row r="295" customHeight="1" spans="1:13">
      <c r="A295" s="21">
        <v>45627</v>
      </c>
      <c r="B295" s="22" t="s">
        <v>5474</v>
      </c>
      <c r="C295" s="23">
        <v>45636</v>
      </c>
      <c r="D295" s="27">
        <v>7876.24</v>
      </c>
      <c r="E295" s="22" t="s">
        <v>173</v>
      </c>
      <c r="F295" s="22" t="s">
        <v>7</v>
      </c>
      <c r="G295" s="24">
        <v>2582799</v>
      </c>
      <c r="H295" s="22" t="s">
        <v>10</v>
      </c>
      <c r="I295" s="22" t="s">
        <v>5511</v>
      </c>
      <c r="J295" s="22" t="s">
        <v>44</v>
      </c>
      <c r="K295" s="22">
        <v>5.18123042300348e+18</v>
      </c>
      <c r="L295" s="22" t="s">
        <v>1032</v>
      </c>
      <c r="M295" s="25"/>
    </row>
    <row r="296" customHeight="1" spans="1:13">
      <c r="A296" s="21">
        <v>45627</v>
      </c>
      <c r="B296" s="22" t="s">
        <v>5475</v>
      </c>
      <c r="C296" s="23">
        <v>45642</v>
      </c>
      <c r="D296" s="27">
        <v>8430</v>
      </c>
      <c r="E296" s="22" t="s">
        <v>173</v>
      </c>
      <c r="F296" s="22" t="s">
        <v>7</v>
      </c>
      <c r="G296" s="22" t="s">
        <v>1046</v>
      </c>
      <c r="H296" s="22" t="s">
        <v>12</v>
      </c>
      <c r="I296" s="22" t="s">
        <v>5511</v>
      </c>
      <c r="J296" s="22" t="s">
        <v>39</v>
      </c>
      <c r="K296" s="22">
        <v>5.18123092600087e+18</v>
      </c>
      <c r="L296" s="22" t="s">
        <v>1049</v>
      </c>
      <c r="M296" s="25"/>
    </row>
    <row r="297" customHeight="1" spans="1:13">
      <c r="A297" s="21">
        <v>45627</v>
      </c>
      <c r="B297" s="22" t="s">
        <v>5475</v>
      </c>
      <c r="C297" s="23">
        <v>45645</v>
      </c>
      <c r="D297" s="24">
        <v>108</v>
      </c>
      <c r="E297" s="22" t="s">
        <v>139</v>
      </c>
      <c r="F297" s="22" t="s">
        <v>7</v>
      </c>
      <c r="G297" s="22" t="s">
        <v>1051</v>
      </c>
      <c r="H297" s="22" t="s">
        <v>10</v>
      </c>
      <c r="I297" s="22" t="s">
        <v>5511</v>
      </c>
      <c r="J297" s="22" t="s">
        <v>40</v>
      </c>
      <c r="K297" s="22">
        <v>5.18124120403626e+18</v>
      </c>
      <c r="L297" s="22" t="s">
        <v>1054</v>
      </c>
      <c r="M297" s="25"/>
    </row>
    <row r="298" customHeight="1" spans="1:13">
      <c r="A298" s="21">
        <v>45627</v>
      </c>
      <c r="B298" s="22" t="s">
        <v>5475</v>
      </c>
      <c r="C298" s="23">
        <v>45649</v>
      </c>
      <c r="D298" s="27">
        <v>2200504</v>
      </c>
      <c r="E298" s="22" t="s">
        <v>1037</v>
      </c>
      <c r="F298" s="22" t="s">
        <v>7</v>
      </c>
      <c r="G298" s="24">
        <v>2601789</v>
      </c>
      <c r="H298" s="22" t="s">
        <v>12</v>
      </c>
      <c r="I298" s="22" t="s">
        <v>5511</v>
      </c>
      <c r="J298" s="22" t="s">
        <v>44</v>
      </c>
      <c r="K298" s="22">
        <v>5.18123111300118e+18</v>
      </c>
      <c r="L298" s="22" t="s">
        <v>871</v>
      </c>
      <c r="M298" s="25"/>
    </row>
    <row r="299" customHeight="1" spans="1:13">
      <c r="A299" s="21">
        <v>45658</v>
      </c>
      <c r="B299" s="22" t="s">
        <v>5476</v>
      </c>
      <c r="C299" s="23">
        <v>45659</v>
      </c>
      <c r="D299" s="27">
        <v>400000</v>
      </c>
      <c r="E299" s="22" t="s">
        <v>1062</v>
      </c>
      <c r="F299" s="22" t="s">
        <v>7</v>
      </c>
      <c r="G299" s="22" t="s">
        <v>1057</v>
      </c>
      <c r="H299" s="22" t="s">
        <v>11</v>
      </c>
      <c r="I299" s="22" t="s">
        <v>5511</v>
      </c>
      <c r="J299" s="22" t="s">
        <v>39</v>
      </c>
      <c r="K299" s="22">
        <v>5.18124010400165e+18</v>
      </c>
      <c r="L299" s="22" t="s">
        <v>1061</v>
      </c>
      <c r="M299" s="25"/>
    </row>
    <row r="300" customHeight="1" spans="1:13">
      <c r="A300" s="21">
        <v>45658</v>
      </c>
      <c r="B300" s="22" t="s">
        <v>5476</v>
      </c>
      <c r="C300" s="23">
        <v>45663</v>
      </c>
      <c r="D300" s="27">
        <v>7550</v>
      </c>
      <c r="E300" s="22" t="s">
        <v>173</v>
      </c>
      <c r="F300" s="22" t="s">
        <v>7</v>
      </c>
      <c r="G300" s="22" t="s">
        <v>1065</v>
      </c>
      <c r="H300" s="22" t="s">
        <v>11</v>
      </c>
      <c r="I300" s="22" t="s">
        <v>5511</v>
      </c>
      <c r="J300" s="22" t="s">
        <v>39</v>
      </c>
      <c r="K300" s="22">
        <v>5.18124082002214e+18</v>
      </c>
      <c r="L300" s="22" t="s">
        <v>1068</v>
      </c>
      <c r="M300" s="25"/>
    </row>
    <row r="301" customHeight="1" spans="1:13">
      <c r="A301" s="21">
        <v>45658</v>
      </c>
      <c r="B301" s="22" t="s">
        <v>5476</v>
      </c>
      <c r="C301" s="23">
        <v>45664</v>
      </c>
      <c r="D301" s="27">
        <v>51316</v>
      </c>
      <c r="E301" s="22" t="s">
        <v>173</v>
      </c>
      <c r="F301" s="22" t="s">
        <v>7</v>
      </c>
      <c r="G301" s="22" t="s">
        <v>5512</v>
      </c>
      <c r="H301" s="22" t="s">
        <v>12</v>
      </c>
      <c r="I301" s="22" t="s">
        <v>5511</v>
      </c>
      <c r="J301" s="22" t="s">
        <v>39</v>
      </c>
      <c r="K301" s="22">
        <v>5.18123060200019e+18</v>
      </c>
      <c r="L301" s="22" t="s">
        <v>1072</v>
      </c>
      <c r="M301" s="25"/>
    </row>
    <row r="302" customHeight="1" spans="1:13">
      <c r="A302" s="21">
        <v>45658</v>
      </c>
      <c r="B302" s="22" t="s">
        <v>5476</v>
      </c>
      <c r="C302" s="23">
        <v>45666</v>
      </c>
      <c r="D302" s="27">
        <v>5831.31</v>
      </c>
      <c r="E302" s="22" t="s">
        <v>173</v>
      </c>
      <c r="F302" s="22" t="s">
        <v>7</v>
      </c>
      <c r="G302" s="24">
        <v>2613762</v>
      </c>
      <c r="H302" s="22" t="s">
        <v>12</v>
      </c>
      <c r="I302" s="22" t="s">
        <v>5511</v>
      </c>
      <c r="J302" s="22" t="s">
        <v>44</v>
      </c>
      <c r="K302" s="22">
        <v>5.18124032100271e+18</v>
      </c>
      <c r="L302" s="22" t="s">
        <v>1076</v>
      </c>
      <c r="M302" s="25"/>
    </row>
    <row r="303" customHeight="1" spans="1:13">
      <c r="A303" s="21">
        <v>45658</v>
      </c>
      <c r="B303" s="22" t="s">
        <v>5476</v>
      </c>
      <c r="C303" s="23">
        <v>45670</v>
      </c>
      <c r="D303" s="27">
        <v>23604</v>
      </c>
      <c r="E303" s="22" t="s">
        <v>173</v>
      </c>
      <c r="F303" s="22" t="s">
        <v>7</v>
      </c>
      <c r="G303" s="22">
        <v>2.025011316374e+20</v>
      </c>
      <c r="H303" s="22" t="s">
        <v>11</v>
      </c>
      <c r="I303" s="22" t="s">
        <v>5511</v>
      </c>
      <c r="J303" s="22" t="s">
        <v>47</v>
      </c>
      <c r="K303" s="22">
        <v>5.18123091400079e+18</v>
      </c>
      <c r="L303" s="22" t="s">
        <v>1082</v>
      </c>
      <c r="M303" s="25"/>
    </row>
    <row r="304" customHeight="1" spans="1:13">
      <c r="A304" s="21">
        <v>45658</v>
      </c>
      <c r="B304" s="22" t="s">
        <v>5476</v>
      </c>
      <c r="C304" s="23">
        <v>45670</v>
      </c>
      <c r="D304" s="24">
        <v>800</v>
      </c>
      <c r="E304" s="22" t="s">
        <v>173</v>
      </c>
      <c r="F304" s="22" t="s">
        <v>105</v>
      </c>
      <c r="G304" s="22" t="s">
        <v>1085</v>
      </c>
      <c r="H304" s="22" t="s">
        <v>11</v>
      </c>
      <c r="I304" s="22" t="s">
        <v>5511</v>
      </c>
      <c r="J304" s="22" t="s">
        <v>39</v>
      </c>
      <c r="K304" s="22">
        <v>5.18123091400079e+18</v>
      </c>
      <c r="L304" s="22" t="s">
        <v>1082</v>
      </c>
      <c r="M304" s="25"/>
    </row>
    <row r="305" customHeight="1" spans="1:13">
      <c r="A305" s="21">
        <v>45658</v>
      </c>
      <c r="B305" s="22" t="s">
        <v>5477</v>
      </c>
      <c r="C305" s="23">
        <v>45679</v>
      </c>
      <c r="D305" s="24">
        <v>266.06</v>
      </c>
      <c r="E305" s="22" t="s">
        <v>80</v>
      </c>
      <c r="F305" s="22" t="s">
        <v>7</v>
      </c>
      <c r="G305" s="22" t="s">
        <v>1090</v>
      </c>
      <c r="H305" s="22" t="s">
        <v>10</v>
      </c>
      <c r="I305" s="22" t="s">
        <v>5511</v>
      </c>
      <c r="J305" s="22" t="s">
        <v>40</v>
      </c>
      <c r="K305" s="22">
        <v>5.18124022600216e+18</v>
      </c>
      <c r="L305" s="22" t="s">
        <v>1092</v>
      </c>
      <c r="M305" s="25"/>
    </row>
    <row r="306" customHeight="1" spans="1:13">
      <c r="A306" s="21">
        <v>45658</v>
      </c>
      <c r="B306" s="22" t="s">
        <v>5477</v>
      </c>
      <c r="C306" s="23">
        <v>45679</v>
      </c>
      <c r="D306" s="24">
        <v>352.02</v>
      </c>
      <c r="E306" s="22" t="s">
        <v>80</v>
      </c>
      <c r="F306" s="22" t="s">
        <v>7</v>
      </c>
      <c r="G306" s="22" t="s">
        <v>1093</v>
      </c>
      <c r="H306" s="22" t="s">
        <v>10</v>
      </c>
      <c r="I306" s="22" t="s">
        <v>5511</v>
      </c>
      <c r="J306" s="22" t="s">
        <v>40</v>
      </c>
      <c r="K306" s="22">
        <v>5.18124022600216e+18</v>
      </c>
      <c r="L306" s="22" t="s">
        <v>1092</v>
      </c>
      <c r="M306" s="25"/>
    </row>
    <row r="307" customHeight="1" spans="1:13">
      <c r="A307" s="21">
        <v>45658</v>
      </c>
      <c r="B307" s="22" t="s">
        <v>5477</v>
      </c>
      <c r="C307" s="23">
        <v>45681</v>
      </c>
      <c r="D307" s="27">
        <v>127467.87</v>
      </c>
      <c r="E307" s="22" t="s">
        <v>173</v>
      </c>
      <c r="F307" s="22" t="s">
        <v>7</v>
      </c>
      <c r="G307" s="22" t="s">
        <v>1097</v>
      </c>
      <c r="H307" s="22" t="s">
        <v>11</v>
      </c>
      <c r="I307" s="22" t="s">
        <v>5511</v>
      </c>
      <c r="J307" s="22" t="s">
        <v>39</v>
      </c>
      <c r="K307" s="22">
        <v>5.18124101703252e+18</v>
      </c>
      <c r="L307" s="22" t="s">
        <v>1100</v>
      </c>
      <c r="M307" s="25"/>
    </row>
    <row r="308" customHeight="1" spans="1:13">
      <c r="A308" s="21">
        <v>45658</v>
      </c>
      <c r="B308" s="22" t="s">
        <v>5477</v>
      </c>
      <c r="C308" s="23">
        <v>45681</v>
      </c>
      <c r="D308" s="27">
        <v>1020</v>
      </c>
      <c r="E308" s="22" t="s">
        <v>139</v>
      </c>
      <c r="F308" s="22" t="s">
        <v>7</v>
      </c>
      <c r="G308" s="22" t="s">
        <v>1102</v>
      </c>
      <c r="H308" s="22" t="s">
        <v>12</v>
      </c>
      <c r="I308" s="22" t="s">
        <v>5511</v>
      </c>
      <c r="J308" s="22" t="s">
        <v>39</v>
      </c>
      <c r="K308" s="22">
        <v>5.18124101703252e+18</v>
      </c>
      <c r="L308" s="22" t="s">
        <v>1100</v>
      </c>
      <c r="M308" s="25"/>
    </row>
    <row r="309" customHeight="1" spans="1:13">
      <c r="A309" s="21">
        <v>45658</v>
      </c>
      <c r="B309" s="22" t="s">
        <v>5477</v>
      </c>
      <c r="C309" s="23">
        <v>45681</v>
      </c>
      <c r="D309" s="24">
        <v>331.09</v>
      </c>
      <c r="E309" s="22" t="s">
        <v>80</v>
      </c>
      <c r="F309" s="22" t="s">
        <v>7</v>
      </c>
      <c r="G309" s="22" t="s">
        <v>1107</v>
      </c>
      <c r="H309" s="22" t="s">
        <v>10</v>
      </c>
      <c r="I309" s="22" t="s">
        <v>5511</v>
      </c>
      <c r="J309" s="22" t="s">
        <v>40</v>
      </c>
      <c r="K309" s="22">
        <v>5.18124101703252e+18</v>
      </c>
      <c r="L309" s="22" t="s">
        <v>1100</v>
      </c>
      <c r="M309" s="25"/>
    </row>
    <row r="310" customHeight="1" spans="1:13">
      <c r="A310" s="21">
        <v>45658</v>
      </c>
      <c r="B310" s="22" t="s">
        <v>5477</v>
      </c>
      <c r="C310" s="23">
        <v>45686</v>
      </c>
      <c r="D310" s="24">
        <v>320</v>
      </c>
      <c r="E310" s="22" t="s">
        <v>149</v>
      </c>
      <c r="F310" s="22" t="s">
        <v>7</v>
      </c>
      <c r="G310" s="22" t="s">
        <v>1112</v>
      </c>
      <c r="H310" s="22" t="s">
        <v>10</v>
      </c>
      <c r="I310" s="22" t="s">
        <v>5511</v>
      </c>
      <c r="J310" s="22" t="s">
        <v>40</v>
      </c>
      <c r="K310" s="22">
        <v>5.1812408230227e+18</v>
      </c>
      <c r="L310" s="22" t="s">
        <v>1115</v>
      </c>
      <c r="M310" s="25"/>
    </row>
    <row r="311" customHeight="1" spans="1:13">
      <c r="A311" s="21">
        <v>45658</v>
      </c>
      <c r="B311" s="22" t="s">
        <v>5477</v>
      </c>
      <c r="C311" s="23">
        <v>45684</v>
      </c>
      <c r="D311" s="27">
        <v>1000</v>
      </c>
      <c r="E311" s="22" t="s">
        <v>149</v>
      </c>
      <c r="F311" s="22" t="s">
        <v>7</v>
      </c>
      <c r="G311" s="22" t="s">
        <v>1116</v>
      </c>
      <c r="H311" s="22" t="s">
        <v>11</v>
      </c>
      <c r="I311" s="22" t="s">
        <v>5511</v>
      </c>
      <c r="J311" s="22" t="s">
        <v>40</v>
      </c>
      <c r="K311" s="22">
        <v>5.18124111503545e+18</v>
      </c>
      <c r="L311" s="22" t="s">
        <v>1119</v>
      </c>
      <c r="M311" s="25"/>
    </row>
    <row r="312" customHeight="1" spans="1:13">
      <c r="A312" s="21">
        <v>45689</v>
      </c>
      <c r="B312" s="22" t="s">
        <v>5478</v>
      </c>
      <c r="C312" s="23">
        <v>45692</v>
      </c>
      <c r="D312" s="27">
        <v>10520</v>
      </c>
      <c r="E312" s="22" t="s">
        <v>139</v>
      </c>
      <c r="F312" s="22" t="s">
        <v>105</v>
      </c>
      <c r="G312" s="22" t="s">
        <v>1120</v>
      </c>
      <c r="H312" s="22" t="s">
        <v>12</v>
      </c>
      <c r="I312" s="22" t="s">
        <v>5511</v>
      </c>
      <c r="J312" s="22" t="s">
        <v>39</v>
      </c>
      <c r="K312" s="22">
        <v>5.18121041200008e+18</v>
      </c>
      <c r="L312" s="22" t="s">
        <v>1104</v>
      </c>
      <c r="M312" s="25"/>
    </row>
    <row r="313" customHeight="1" spans="1:13">
      <c r="A313" s="21">
        <v>45689</v>
      </c>
      <c r="B313" s="22" t="s">
        <v>5478</v>
      </c>
      <c r="C313" s="23">
        <v>45692</v>
      </c>
      <c r="D313" s="27">
        <v>1325.02</v>
      </c>
      <c r="E313" s="22" t="s">
        <v>173</v>
      </c>
      <c r="F313" s="22" t="s">
        <v>105</v>
      </c>
      <c r="G313" s="22" t="s">
        <v>1122</v>
      </c>
      <c r="H313" s="22" t="s">
        <v>11</v>
      </c>
      <c r="I313" s="22" t="s">
        <v>5511</v>
      </c>
      <c r="J313" s="22" t="s">
        <v>39</v>
      </c>
      <c r="K313" s="22">
        <v>5.18121041200008e+18</v>
      </c>
      <c r="L313" s="22" t="s">
        <v>1104</v>
      </c>
      <c r="M313" s="25"/>
    </row>
    <row r="314" customHeight="1" spans="1:13">
      <c r="A314" s="21">
        <v>45689</v>
      </c>
      <c r="B314" s="22" t="s">
        <v>5478</v>
      </c>
      <c r="C314" s="23">
        <v>45699</v>
      </c>
      <c r="D314" s="27">
        <v>2020</v>
      </c>
      <c r="E314" s="22" t="s">
        <v>139</v>
      </c>
      <c r="F314" s="22" t="s">
        <v>105</v>
      </c>
      <c r="G314" s="22" t="s">
        <v>1126</v>
      </c>
      <c r="H314" s="22" t="s">
        <v>12</v>
      </c>
      <c r="I314" s="22" t="s">
        <v>5511</v>
      </c>
      <c r="J314" s="22" t="s">
        <v>39</v>
      </c>
      <c r="K314" s="22">
        <v>5.18121041200008e+18</v>
      </c>
      <c r="L314" s="22" t="s">
        <v>1104</v>
      </c>
      <c r="M314" s="25"/>
    </row>
    <row r="315" customHeight="1" spans="1:13">
      <c r="A315" s="21">
        <v>45689</v>
      </c>
      <c r="B315" s="22" t="s">
        <v>5478</v>
      </c>
      <c r="C315" s="23">
        <v>45695</v>
      </c>
      <c r="D315" s="27">
        <v>7080</v>
      </c>
      <c r="E315" s="22" t="s">
        <v>1128</v>
      </c>
      <c r="F315" s="22" t="s">
        <v>105</v>
      </c>
      <c r="G315" s="22" t="s">
        <v>1127</v>
      </c>
      <c r="H315" s="22" t="s">
        <v>12</v>
      </c>
      <c r="I315" s="22" t="s">
        <v>5511</v>
      </c>
      <c r="J315" s="22" t="s">
        <v>39</v>
      </c>
      <c r="K315" s="22">
        <v>5.18121041200008e+18</v>
      </c>
      <c r="L315" s="22" t="s">
        <v>1104</v>
      </c>
      <c r="M315" s="25"/>
    </row>
    <row r="316" customHeight="1" spans="1:13">
      <c r="A316" s="21">
        <v>45689</v>
      </c>
      <c r="B316" s="22" t="s">
        <v>5478</v>
      </c>
      <c r="C316" s="23">
        <v>45700</v>
      </c>
      <c r="D316" s="24">
        <v>190</v>
      </c>
      <c r="E316" s="22" t="s">
        <v>149</v>
      </c>
      <c r="F316" s="22" t="s">
        <v>7</v>
      </c>
      <c r="G316" s="22" t="s">
        <v>1130</v>
      </c>
      <c r="H316" s="22" t="s">
        <v>10</v>
      </c>
      <c r="I316" s="22" t="s">
        <v>5511</v>
      </c>
      <c r="J316" s="22" t="s">
        <v>40</v>
      </c>
      <c r="K316" s="22">
        <v>5.1812408230227e+18</v>
      </c>
      <c r="L316" s="22" t="s">
        <v>1115</v>
      </c>
      <c r="M316" s="25"/>
    </row>
    <row r="317" customHeight="1" spans="1:13">
      <c r="A317" s="21">
        <v>45689</v>
      </c>
      <c r="B317" s="22" t="s">
        <v>5479</v>
      </c>
      <c r="C317" s="23">
        <v>45705</v>
      </c>
      <c r="D317" s="27">
        <v>84163.5</v>
      </c>
      <c r="E317" s="22" t="s">
        <v>173</v>
      </c>
      <c r="F317" s="22" t="s">
        <v>7</v>
      </c>
      <c r="G317" s="22" t="s">
        <v>1133</v>
      </c>
      <c r="H317" s="22" t="s">
        <v>11</v>
      </c>
      <c r="I317" s="22" t="s">
        <v>5511</v>
      </c>
      <c r="J317" s="22" t="s">
        <v>39</v>
      </c>
      <c r="K317" s="22">
        <v>5.18124110603479e+18</v>
      </c>
      <c r="L317" s="22" t="s">
        <v>1136</v>
      </c>
      <c r="M317" s="25"/>
    </row>
    <row r="318" customHeight="1" spans="1:13">
      <c r="A318" s="21">
        <v>45689</v>
      </c>
      <c r="B318" s="22" t="s">
        <v>5479</v>
      </c>
      <c r="C318" s="23">
        <v>45705</v>
      </c>
      <c r="D318" s="27">
        <v>8266.48</v>
      </c>
      <c r="E318" s="22" t="s">
        <v>173</v>
      </c>
      <c r="F318" s="22" t="s">
        <v>7</v>
      </c>
      <c r="G318" s="22" t="s">
        <v>1139</v>
      </c>
      <c r="H318" s="22" t="s">
        <v>11</v>
      </c>
      <c r="I318" s="22" t="s">
        <v>5511</v>
      </c>
      <c r="J318" s="22" t="s">
        <v>39</v>
      </c>
      <c r="K318" s="22">
        <v>5.18124110603479e+18</v>
      </c>
      <c r="L318" s="22" t="s">
        <v>1136</v>
      </c>
      <c r="M318" s="25"/>
    </row>
    <row r="319" customHeight="1" spans="1:13">
      <c r="A319" s="21">
        <v>45689</v>
      </c>
      <c r="B319" s="22" t="s">
        <v>5479</v>
      </c>
      <c r="C319" s="23">
        <v>45713</v>
      </c>
      <c r="D319" s="27">
        <v>58272275</v>
      </c>
      <c r="E319" s="22" t="s">
        <v>1037</v>
      </c>
      <c r="F319" s="22" t="s">
        <v>7</v>
      </c>
      <c r="G319" s="22" t="s">
        <v>5513</v>
      </c>
      <c r="H319" s="22" t="s">
        <v>11</v>
      </c>
      <c r="I319" s="22" t="s">
        <v>5511</v>
      </c>
      <c r="J319" s="22" t="s">
        <v>39</v>
      </c>
      <c r="K319" s="22">
        <v>5.18124081302102e+18</v>
      </c>
      <c r="L319" s="22" t="s">
        <v>1147</v>
      </c>
      <c r="M319" s="25"/>
    </row>
    <row r="320" customHeight="1" spans="1:13">
      <c r="A320" s="21">
        <v>45689</v>
      </c>
      <c r="B320" s="22" t="s">
        <v>5479</v>
      </c>
      <c r="C320" s="23">
        <v>45715</v>
      </c>
      <c r="D320" s="24">
        <v>360</v>
      </c>
      <c r="E320" s="22" t="s">
        <v>149</v>
      </c>
      <c r="F320" s="22" t="s">
        <v>7</v>
      </c>
      <c r="G320" s="22" t="s">
        <v>1149</v>
      </c>
      <c r="H320" s="22" t="s">
        <v>10</v>
      </c>
      <c r="I320" s="22" t="s">
        <v>5511</v>
      </c>
      <c r="J320" s="22" t="s">
        <v>40</v>
      </c>
      <c r="K320" s="22">
        <v>5.18124032100271e+18</v>
      </c>
      <c r="L320" s="22" t="s">
        <v>1076</v>
      </c>
      <c r="M320" s="25"/>
    </row>
    <row r="321" customHeight="1" spans="1:13">
      <c r="A321" s="21">
        <v>45689</v>
      </c>
      <c r="B321" s="22" t="s">
        <v>5479</v>
      </c>
      <c r="C321" s="23">
        <v>45716</v>
      </c>
      <c r="D321" s="27">
        <v>64875.98</v>
      </c>
      <c r="E321" s="22" t="s">
        <v>173</v>
      </c>
      <c r="F321" s="22" t="s">
        <v>7</v>
      </c>
      <c r="G321" s="22" t="s">
        <v>5514</v>
      </c>
      <c r="H321" s="22" t="s">
        <v>11</v>
      </c>
      <c r="I321" s="22" t="s">
        <v>5511</v>
      </c>
      <c r="J321" s="22" t="s">
        <v>39</v>
      </c>
      <c r="K321" s="22">
        <v>5.18124101703252e+18</v>
      </c>
      <c r="L321" s="22" t="s">
        <v>1100</v>
      </c>
      <c r="M321" s="25"/>
    </row>
    <row r="322" customHeight="1" spans="1:13">
      <c r="A322" s="21">
        <v>45717</v>
      </c>
      <c r="B322" s="22" t="s">
        <v>5480</v>
      </c>
      <c r="C322" s="23">
        <v>45722</v>
      </c>
      <c r="D322" s="24">
        <v>280</v>
      </c>
      <c r="E322" s="22" t="s">
        <v>139</v>
      </c>
      <c r="F322" s="22" t="s">
        <v>7</v>
      </c>
      <c r="G322" s="22" t="s">
        <v>1152</v>
      </c>
      <c r="H322" s="22" t="s">
        <v>10</v>
      </c>
      <c r="I322" s="22" t="s">
        <v>5511</v>
      </c>
      <c r="J322" s="22" t="s">
        <v>40</v>
      </c>
      <c r="K322" s="22">
        <v>5.18125010903717e+18</v>
      </c>
      <c r="L322" s="22" t="s">
        <v>1155</v>
      </c>
      <c r="M322" s="25"/>
    </row>
    <row r="323" customHeight="1" spans="1:13">
      <c r="A323" s="21">
        <v>45717</v>
      </c>
      <c r="B323" s="22" t="s">
        <v>5480</v>
      </c>
      <c r="C323" s="23">
        <v>45723</v>
      </c>
      <c r="D323" s="24">
        <v>165.5</v>
      </c>
      <c r="E323" s="22" t="s">
        <v>149</v>
      </c>
      <c r="F323" s="22" t="s">
        <v>7</v>
      </c>
      <c r="G323" s="22" t="s">
        <v>1156</v>
      </c>
      <c r="H323" s="22" t="s">
        <v>10</v>
      </c>
      <c r="I323" s="22" t="s">
        <v>5511</v>
      </c>
      <c r="J323" s="22" t="s">
        <v>40</v>
      </c>
      <c r="K323" s="22">
        <v>5.18124053100357e+18</v>
      </c>
      <c r="L323" s="24">
        <v>0</v>
      </c>
      <c r="M323" s="25"/>
    </row>
    <row r="324" customHeight="1" spans="1:13">
      <c r="A324" s="21">
        <v>45717</v>
      </c>
      <c r="B324" s="22" t="s">
        <v>5480</v>
      </c>
      <c r="C324" s="23">
        <v>45727</v>
      </c>
      <c r="D324" s="27">
        <v>68073.5</v>
      </c>
      <c r="E324" s="22" t="s">
        <v>173</v>
      </c>
      <c r="F324" s="22" t="s">
        <v>7</v>
      </c>
      <c r="G324" s="22" t="s">
        <v>1158</v>
      </c>
      <c r="H324" s="22" t="s">
        <v>12</v>
      </c>
      <c r="I324" s="22" t="s">
        <v>5511</v>
      </c>
      <c r="J324" s="22" t="s">
        <v>46</v>
      </c>
      <c r="K324" s="22">
        <v>5.18123102500102e+18</v>
      </c>
      <c r="L324" s="22" t="s">
        <v>1160</v>
      </c>
      <c r="M324" s="25"/>
    </row>
    <row r="325" customHeight="1" spans="1:13">
      <c r="A325" s="21">
        <v>45717</v>
      </c>
      <c r="B325" s="22" t="s">
        <v>5480</v>
      </c>
      <c r="C325" s="23">
        <v>45727</v>
      </c>
      <c r="D325" s="24">
        <v>100</v>
      </c>
      <c r="E325" s="22" t="s">
        <v>139</v>
      </c>
      <c r="F325" s="22" t="s">
        <v>7</v>
      </c>
      <c r="G325" s="22" t="s">
        <v>1163</v>
      </c>
      <c r="H325" s="22" t="s">
        <v>10</v>
      </c>
      <c r="I325" s="22" t="s">
        <v>5511</v>
      </c>
      <c r="J325" s="22" t="s">
        <v>40</v>
      </c>
      <c r="K325" s="22">
        <v>5.18123102500102e+18</v>
      </c>
      <c r="L325" s="22" t="s">
        <v>1160</v>
      </c>
      <c r="M325" s="25"/>
    </row>
    <row r="326" customHeight="1" spans="1:13">
      <c r="A326" s="21">
        <v>45717</v>
      </c>
      <c r="B326" s="22" t="s">
        <v>5480</v>
      </c>
      <c r="C326" s="23">
        <v>45728</v>
      </c>
      <c r="D326" s="27">
        <v>89000000</v>
      </c>
      <c r="E326" s="22" t="s">
        <v>1172</v>
      </c>
      <c r="F326" s="22" t="s">
        <v>7</v>
      </c>
      <c r="G326" s="22" t="s">
        <v>1168</v>
      </c>
      <c r="H326" s="22" t="s">
        <v>10</v>
      </c>
      <c r="I326" s="22" t="s">
        <v>5511</v>
      </c>
      <c r="J326" s="22" t="s">
        <v>44</v>
      </c>
      <c r="K326" s="22">
        <v>5.18124122903695e+18</v>
      </c>
      <c r="L326" s="22" t="s">
        <v>1170</v>
      </c>
      <c r="M326" s="25"/>
    </row>
    <row r="327" customHeight="1" spans="1:13">
      <c r="A327" s="21">
        <v>45717</v>
      </c>
      <c r="B327" s="22" t="s">
        <v>5480</v>
      </c>
      <c r="C327" s="23">
        <v>45728</v>
      </c>
      <c r="D327" s="27">
        <v>22437700</v>
      </c>
      <c r="E327" s="22" t="s">
        <v>1172</v>
      </c>
      <c r="F327" s="22" t="s">
        <v>7</v>
      </c>
      <c r="G327" s="22" t="s">
        <v>1174</v>
      </c>
      <c r="H327" s="22" t="s">
        <v>10</v>
      </c>
      <c r="I327" s="22" t="s">
        <v>5511</v>
      </c>
      <c r="J327" s="22" t="s">
        <v>44</v>
      </c>
      <c r="K327" s="22">
        <v>5.18124122903695e+18</v>
      </c>
      <c r="L327" s="22" t="s">
        <v>1170</v>
      </c>
      <c r="M327" s="25"/>
    </row>
    <row r="328" customHeight="1" spans="1:13">
      <c r="A328" s="21">
        <v>45717</v>
      </c>
      <c r="B328" s="22" t="s">
        <v>5481</v>
      </c>
      <c r="C328" s="23">
        <v>45733</v>
      </c>
      <c r="D328" s="27">
        <v>7040.16</v>
      </c>
      <c r="E328" s="22" t="s">
        <v>173</v>
      </c>
      <c r="F328" s="22" t="s">
        <v>7</v>
      </c>
      <c r="G328" s="22" t="s">
        <v>1179</v>
      </c>
      <c r="H328" s="22" t="s">
        <v>12</v>
      </c>
      <c r="I328" s="22" t="s">
        <v>5511</v>
      </c>
      <c r="J328" s="22" t="s">
        <v>46</v>
      </c>
      <c r="K328" s="22">
        <v>5.18123102500102e+18</v>
      </c>
      <c r="L328" s="22" t="s">
        <v>1160</v>
      </c>
      <c r="M328" s="25"/>
    </row>
    <row r="329" customHeight="1" spans="1:13">
      <c r="A329" s="21">
        <v>45717</v>
      </c>
      <c r="B329" s="22" t="s">
        <v>5481</v>
      </c>
      <c r="C329" s="23">
        <v>45741</v>
      </c>
      <c r="D329" s="27">
        <v>1993910</v>
      </c>
      <c r="E329" s="22" t="s">
        <v>1186</v>
      </c>
      <c r="F329" s="22" t="s">
        <v>7</v>
      </c>
      <c r="G329" s="22" t="s">
        <v>1182</v>
      </c>
      <c r="H329" s="22" t="s">
        <v>12</v>
      </c>
      <c r="I329" s="22" t="s">
        <v>5511</v>
      </c>
      <c r="J329" s="22" t="s">
        <v>39</v>
      </c>
      <c r="K329" s="22">
        <v>5.18123122800158e+18</v>
      </c>
      <c r="L329" s="22" t="s">
        <v>1185</v>
      </c>
      <c r="M329" s="25"/>
    </row>
    <row r="330" customHeight="1" spans="1:13">
      <c r="A330" s="21">
        <v>45717</v>
      </c>
      <c r="B330" s="22" t="s">
        <v>5481</v>
      </c>
      <c r="C330" s="23">
        <v>45743</v>
      </c>
      <c r="D330" s="24">
        <v>629.66</v>
      </c>
      <c r="E330" s="22" t="s">
        <v>303</v>
      </c>
      <c r="F330" s="22" t="s">
        <v>105</v>
      </c>
      <c r="G330" s="22" t="s">
        <v>1189</v>
      </c>
      <c r="H330" s="22" t="s">
        <v>10</v>
      </c>
      <c r="I330" s="22" t="s">
        <v>5511</v>
      </c>
      <c r="J330" s="22" t="s">
        <v>40</v>
      </c>
      <c r="K330" s="22">
        <v>5.18124042100317e+18</v>
      </c>
      <c r="L330" s="22" t="s">
        <v>1190</v>
      </c>
      <c r="M330" s="25"/>
    </row>
    <row r="331" customHeight="1" spans="1:13">
      <c r="A331" s="21">
        <v>45717</v>
      </c>
      <c r="B331" s="22" t="s">
        <v>5481</v>
      </c>
      <c r="C331" s="23">
        <v>45747</v>
      </c>
      <c r="D331" s="27">
        <v>10000</v>
      </c>
      <c r="E331" s="22" t="s">
        <v>173</v>
      </c>
      <c r="F331" s="22" t="s">
        <v>7</v>
      </c>
      <c r="G331" s="22" t="s">
        <v>1192</v>
      </c>
      <c r="H331" s="22" t="s">
        <v>12</v>
      </c>
      <c r="I331" s="22" t="s">
        <v>5511</v>
      </c>
      <c r="J331" s="22" t="s">
        <v>46</v>
      </c>
      <c r="K331" s="22">
        <v>5.18120120900005e+18</v>
      </c>
      <c r="L331" s="22" t="s">
        <v>1195</v>
      </c>
      <c r="M331" s="25"/>
    </row>
    <row r="332" customHeight="1" spans="1:13">
      <c r="A332" s="21">
        <v>45748</v>
      </c>
      <c r="B332" s="22" t="s">
        <v>5482</v>
      </c>
      <c r="C332" s="23">
        <v>45749</v>
      </c>
      <c r="D332" s="27">
        <v>79275</v>
      </c>
      <c r="E332" s="22" t="s">
        <v>173</v>
      </c>
      <c r="F332" s="22" t="s">
        <v>7</v>
      </c>
      <c r="G332" s="22" t="s">
        <v>1196</v>
      </c>
      <c r="H332" s="22" t="s">
        <v>12</v>
      </c>
      <c r="I332" s="22" t="s">
        <v>5511</v>
      </c>
      <c r="J332" s="22" t="s">
        <v>39</v>
      </c>
      <c r="K332" s="22">
        <v>5.18123060200019e+18</v>
      </c>
      <c r="L332" s="22" t="s">
        <v>1072</v>
      </c>
      <c r="M332" s="25"/>
    </row>
    <row r="333" customHeight="1" spans="1:13">
      <c r="A333" s="21">
        <v>45748</v>
      </c>
      <c r="B333" s="22" t="s">
        <v>5482</v>
      </c>
      <c r="C333" s="23">
        <v>45749</v>
      </c>
      <c r="D333" s="27">
        <v>82006.8</v>
      </c>
      <c r="E333" s="22" t="s">
        <v>173</v>
      </c>
      <c r="F333" s="22" t="s">
        <v>7</v>
      </c>
      <c r="G333" s="22" t="s">
        <v>1197</v>
      </c>
      <c r="H333" s="22" t="s">
        <v>11</v>
      </c>
      <c r="I333" s="22" t="s">
        <v>5511</v>
      </c>
      <c r="J333" s="22" t="s">
        <v>39</v>
      </c>
      <c r="K333" s="22">
        <v>5.18123060200019e+18</v>
      </c>
      <c r="L333" s="22" t="s">
        <v>1072</v>
      </c>
      <c r="M333" s="25"/>
    </row>
    <row r="334" customHeight="1" spans="1:13">
      <c r="A334" s="21">
        <v>45748</v>
      </c>
      <c r="B334" s="22" t="s">
        <v>5482</v>
      </c>
      <c r="C334" s="23">
        <v>45750</v>
      </c>
      <c r="D334" s="24">
        <v>186.57</v>
      </c>
      <c r="E334" s="22" t="s">
        <v>80</v>
      </c>
      <c r="F334" s="22" t="s">
        <v>105</v>
      </c>
      <c r="G334" s="22" t="s">
        <v>1203</v>
      </c>
      <c r="H334" s="22" t="s">
        <v>10</v>
      </c>
      <c r="I334" s="22" t="s">
        <v>5511</v>
      </c>
      <c r="J334" s="22" t="s">
        <v>40</v>
      </c>
      <c r="K334" s="22">
        <v>5.1812410310343e+18</v>
      </c>
      <c r="L334" s="22" t="s">
        <v>190</v>
      </c>
      <c r="M334" s="25"/>
    </row>
    <row r="335" customHeight="1" spans="1:13">
      <c r="A335" s="21">
        <v>45748</v>
      </c>
      <c r="B335" s="22" t="s">
        <v>5482</v>
      </c>
      <c r="C335" s="23">
        <v>45758</v>
      </c>
      <c r="D335" s="27">
        <v>155803.74</v>
      </c>
      <c r="E335" s="22" t="s">
        <v>173</v>
      </c>
      <c r="F335" s="22" t="s">
        <v>7</v>
      </c>
      <c r="G335" s="22" t="s">
        <v>1205</v>
      </c>
      <c r="H335" s="22" t="s">
        <v>11</v>
      </c>
      <c r="I335" s="22" t="s">
        <v>5511</v>
      </c>
      <c r="J335" s="22" t="s">
        <v>39</v>
      </c>
      <c r="K335" s="22">
        <v>5.1812412270369e+18</v>
      </c>
      <c r="L335" s="22" t="s">
        <v>1208</v>
      </c>
      <c r="M335" s="25"/>
    </row>
    <row r="336" customHeight="1" spans="1:13">
      <c r="A336" s="21">
        <v>45748</v>
      </c>
      <c r="B336" s="22" t="s">
        <v>5482</v>
      </c>
      <c r="C336" s="23">
        <v>45761</v>
      </c>
      <c r="D336" s="27">
        <v>12408.8</v>
      </c>
      <c r="E336" s="22" t="s">
        <v>173</v>
      </c>
      <c r="F336" s="22" t="s">
        <v>7</v>
      </c>
      <c r="G336" s="22" t="s">
        <v>1209</v>
      </c>
      <c r="H336" s="22" t="s">
        <v>12</v>
      </c>
      <c r="I336" s="22" t="s">
        <v>5511</v>
      </c>
      <c r="J336" s="22" t="s">
        <v>39</v>
      </c>
      <c r="K336" s="22">
        <v>5.18123122800158e+18</v>
      </c>
      <c r="L336" s="22" t="s">
        <v>1211</v>
      </c>
      <c r="M336" s="25"/>
    </row>
    <row r="337" customHeight="1" spans="1:13">
      <c r="A337" s="21">
        <v>45748</v>
      </c>
      <c r="B337" s="22" t="s">
        <v>5482</v>
      </c>
      <c r="C337" s="23">
        <v>45762</v>
      </c>
      <c r="D337" s="24">
        <v>74.92</v>
      </c>
      <c r="E337" s="22" t="s">
        <v>80</v>
      </c>
      <c r="F337" s="22" t="s">
        <v>105</v>
      </c>
      <c r="G337" s="22" t="s">
        <v>1215</v>
      </c>
      <c r="H337" s="22" t="s">
        <v>10</v>
      </c>
      <c r="I337" s="22" t="s">
        <v>5511</v>
      </c>
      <c r="J337" s="22" t="s">
        <v>40</v>
      </c>
      <c r="K337" s="22">
        <v>5.18124012300186e+18</v>
      </c>
      <c r="L337" s="22" t="s">
        <v>1217</v>
      </c>
      <c r="M337" s="25"/>
    </row>
    <row r="338" customHeight="1" spans="1:13">
      <c r="A338" s="21">
        <v>45748</v>
      </c>
      <c r="B338" s="22" t="s">
        <v>5483</v>
      </c>
      <c r="C338" s="23">
        <v>45763</v>
      </c>
      <c r="D338" s="24">
        <v>41.07</v>
      </c>
      <c r="E338" s="22" t="s">
        <v>80</v>
      </c>
      <c r="F338" s="22" t="s">
        <v>105</v>
      </c>
      <c r="G338" s="22" t="s">
        <v>1219</v>
      </c>
      <c r="H338" s="22" t="s">
        <v>10</v>
      </c>
      <c r="I338" s="22" t="s">
        <v>5511</v>
      </c>
      <c r="J338" s="22" t="s">
        <v>40</v>
      </c>
      <c r="K338" s="22">
        <v>5.18121090400017e+18</v>
      </c>
      <c r="L338" s="22" t="s">
        <v>1222</v>
      </c>
      <c r="M338" s="25"/>
    </row>
    <row r="339" customHeight="1" spans="1:13">
      <c r="A339" s="21">
        <v>45748</v>
      </c>
      <c r="B339" s="22" t="s">
        <v>5483</v>
      </c>
      <c r="C339" s="23">
        <v>45764</v>
      </c>
      <c r="D339" s="27">
        <v>122142.62</v>
      </c>
      <c r="E339" s="22" t="s">
        <v>173</v>
      </c>
      <c r="F339" s="22" t="s">
        <v>7</v>
      </c>
      <c r="G339" s="22" t="s">
        <v>5515</v>
      </c>
      <c r="H339" s="22" t="s">
        <v>11</v>
      </c>
      <c r="I339" s="22" t="s">
        <v>5511</v>
      </c>
      <c r="J339" s="22" t="s">
        <v>39</v>
      </c>
      <c r="K339" s="22">
        <v>5.1812412270369e+18</v>
      </c>
      <c r="L339" s="22" t="s">
        <v>1208</v>
      </c>
      <c r="M339" s="25"/>
    </row>
    <row r="340" customHeight="1" spans="1:13">
      <c r="A340" s="21">
        <v>45748</v>
      </c>
      <c r="B340" s="22" t="s">
        <v>5483</v>
      </c>
      <c r="C340" s="23">
        <v>45764</v>
      </c>
      <c r="D340" s="24">
        <v>168</v>
      </c>
      <c r="E340" s="22" t="s">
        <v>139</v>
      </c>
      <c r="F340" s="22" t="s">
        <v>105</v>
      </c>
      <c r="G340" s="22" t="s">
        <v>1227</v>
      </c>
      <c r="H340" s="22" t="s">
        <v>10</v>
      </c>
      <c r="I340" s="22" t="s">
        <v>5511</v>
      </c>
      <c r="J340" s="22" t="s">
        <v>40</v>
      </c>
      <c r="K340" s="22">
        <v>5.1812412270369e+18</v>
      </c>
      <c r="L340" s="22" t="s">
        <v>1208</v>
      </c>
      <c r="M340" s="25"/>
    </row>
    <row r="341" customHeight="1" spans="1:13">
      <c r="A341" s="21">
        <v>45748</v>
      </c>
      <c r="B341" s="22" t="s">
        <v>5483</v>
      </c>
      <c r="C341" s="23">
        <v>45770</v>
      </c>
      <c r="D341" s="27">
        <v>45000</v>
      </c>
      <c r="E341" s="22" t="s">
        <v>173</v>
      </c>
      <c r="F341" s="22" t="s">
        <v>7</v>
      </c>
      <c r="G341" s="22" t="s">
        <v>1231</v>
      </c>
      <c r="H341" s="22" t="s">
        <v>12</v>
      </c>
      <c r="I341" s="22" t="s">
        <v>5511</v>
      </c>
      <c r="J341" s="22" t="s">
        <v>39</v>
      </c>
      <c r="K341" s="22">
        <v>5.18123060200019e+18</v>
      </c>
      <c r="L341" s="22" t="s">
        <v>1072</v>
      </c>
      <c r="M341" s="25"/>
    </row>
    <row r="342" customHeight="1" spans="1:13">
      <c r="A342" s="21">
        <v>45748</v>
      </c>
      <c r="B342" s="22" t="s">
        <v>5483</v>
      </c>
      <c r="C342" s="23">
        <v>45771</v>
      </c>
      <c r="D342" s="27">
        <v>12955</v>
      </c>
      <c r="E342" s="22" t="s">
        <v>1239</v>
      </c>
      <c r="F342" s="22" t="s">
        <v>7</v>
      </c>
      <c r="G342" s="22" t="s">
        <v>5516</v>
      </c>
      <c r="H342" s="22" t="s">
        <v>11</v>
      </c>
      <c r="I342" s="22" t="s">
        <v>5511</v>
      </c>
      <c r="J342" s="22" t="s">
        <v>39</v>
      </c>
      <c r="K342" s="22">
        <v>5.18125030503858e+18</v>
      </c>
      <c r="L342" s="22" t="s">
        <v>1238</v>
      </c>
      <c r="M342" s="25"/>
    </row>
    <row r="343" customHeight="1" spans="1:13">
      <c r="A343" s="21">
        <v>45748</v>
      </c>
      <c r="B343" s="22" t="s">
        <v>5483</v>
      </c>
      <c r="C343" s="23">
        <v>45775</v>
      </c>
      <c r="D343" s="24">
        <v>197.1</v>
      </c>
      <c r="E343" s="22" t="s">
        <v>80</v>
      </c>
      <c r="F343" s="22" t="s">
        <v>105</v>
      </c>
      <c r="G343" s="22" t="s">
        <v>1241</v>
      </c>
      <c r="H343" s="22" t="s">
        <v>10</v>
      </c>
      <c r="I343" s="22" t="s">
        <v>5511</v>
      </c>
      <c r="J343" s="22" t="s">
        <v>40</v>
      </c>
      <c r="K343" s="22">
        <v>5.1812410310343e+18</v>
      </c>
      <c r="L343" s="22" t="s">
        <v>190</v>
      </c>
      <c r="M343" s="25"/>
    </row>
    <row r="344" customHeight="1" spans="1:13">
      <c r="A344" s="21">
        <v>45748</v>
      </c>
      <c r="B344" s="22" t="s">
        <v>5483</v>
      </c>
      <c r="C344" s="23">
        <v>45777</v>
      </c>
      <c r="D344" s="27">
        <v>58290</v>
      </c>
      <c r="E344" s="22" t="s">
        <v>173</v>
      </c>
      <c r="F344" s="22" t="s">
        <v>7</v>
      </c>
      <c r="G344" s="22" t="s">
        <v>5517</v>
      </c>
      <c r="H344" s="22" t="s">
        <v>11</v>
      </c>
      <c r="I344" s="22" t="s">
        <v>5511</v>
      </c>
      <c r="J344" s="22" t="s">
        <v>39</v>
      </c>
      <c r="K344" s="22">
        <v>5.18125021703785e+18</v>
      </c>
      <c r="L344" s="22" t="s">
        <v>1244</v>
      </c>
      <c r="M344" s="25"/>
    </row>
    <row r="345" customHeight="1" spans="1:13">
      <c r="A345" s="21">
        <v>45778</v>
      </c>
      <c r="B345" s="22" t="s">
        <v>5484</v>
      </c>
      <c r="C345" s="23">
        <v>45782</v>
      </c>
      <c r="D345" s="24">
        <v>0.01</v>
      </c>
      <c r="E345" s="22" t="s">
        <v>139</v>
      </c>
      <c r="F345" s="22" t="s">
        <v>105</v>
      </c>
      <c r="G345" s="22" t="s">
        <v>1248</v>
      </c>
      <c r="H345" s="22" t="s">
        <v>10</v>
      </c>
      <c r="I345" s="22" t="s">
        <v>5511</v>
      </c>
      <c r="J345" s="22" t="s">
        <v>40</v>
      </c>
      <c r="K345" s="22">
        <v>5.18122103100272e+18</v>
      </c>
      <c r="L345" s="22" t="s">
        <v>1250</v>
      </c>
      <c r="M345" s="25"/>
    </row>
    <row r="346" customHeight="1" spans="1:13">
      <c r="A346" s="21">
        <v>45778</v>
      </c>
      <c r="B346" s="22" t="s">
        <v>5484</v>
      </c>
      <c r="C346" s="23">
        <v>45783</v>
      </c>
      <c r="D346" s="24">
        <v>129</v>
      </c>
      <c r="E346" s="22" t="s">
        <v>80</v>
      </c>
      <c r="F346" s="22" t="s">
        <v>105</v>
      </c>
      <c r="G346" s="22" t="s">
        <v>1252</v>
      </c>
      <c r="H346" s="22" t="s">
        <v>10</v>
      </c>
      <c r="I346" s="22" t="s">
        <v>5511</v>
      </c>
      <c r="J346" s="22" t="s">
        <v>40</v>
      </c>
      <c r="K346" s="22">
        <v>5.18124052800352e+18</v>
      </c>
      <c r="L346" s="22" t="s">
        <v>1253</v>
      </c>
      <c r="M346" s="25"/>
    </row>
    <row r="347" customHeight="1" spans="1:13">
      <c r="A347" s="21">
        <v>45778</v>
      </c>
      <c r="B347" s="22" t="s">
        <v>5484</v>
      </c>
      <c r="C347" s="23">
        <v>45791</v>
      </c>
      <c r="D347" s="27">
        <v>20000</v>
      </c>
      <c r="E347" s="22" t="s">
        <v>173</v>
      </c>
      <c r="F347" s="22" t="s">
        <v>7</v>
      </c>
      <c r="G347" s="22" t="s">
        <v>5518</v>
      </c>
      <c r="H347" s="22" t="s">
        <v>11</v>
      </c>
      <c r="I347" s="22" t="s">
        <v>5511</v>
      </c>
      <c r="J347" s="22" t="s">
        <v>39</v>
      </c>
      <c r="K347" s="22">
        <v>5.18125021703785e+18</v>
      </c>
      <c r="L347" s="22" t="s">
        <v>1244</v>
      </c>
      <c r="M347" s="25"/>
    </row>
    <row r="348" customHeight="1" spans="1:13">
      <c r="A348" s="21">
        <v>45778</v>
      </c>
      <c r="B348" s="22" t="s">
        <v>5485</v>
      </c>
      <c r="C348" s="23">
        <v>45797</v>
      </c>
      <c r="D348" s="27">
        <v>44780</v>
      </c>
      <c r="E348" s="22" t="s">
        <v>149</v>
      </c>
      <c r="F348" s="22" t="s">
        <v>7</v>
      </c>
      <c r="G348" s="22" t="s">
        <v>1256</v>
      </c>
      <c r="H348" s="22" t="s">
        <v>11</v>
      </c>
      <c r="I348" s="22" t="s">
        <v>5511</v>
      </c>
      <c r="J348" s="22" t="s">
        <v>40</v>
      </c>
      <c r="K348" s="22">
        <v>5.18125032603948e+18</v>
      </c>
      <c r="L348" s="22" t="s">
        <v>1259</v>
      </c>
      <c r="M348" s="25"/>
    </row>
    <row r="349" customHeight="1" spans="1:13">
      <c r="A349" s="21">
        <v>45778</v>
      </c>
      <c r="B349" s="22" t="s">
        <v>5485</v>
      </c>
      <c r="C349" s="23">
        <v>45797</v>
      </c>
      <c r="D349" s="27">
        <v>2606</v>
      </c>
      <c r="E349" s="22" t="s">
        <v>173</v>
      </c>
      <c r="F349" s="22" t="s">
        <v>7</v>
      </c>
      <c r="G349" s="22" t="s">
        <v>1260</v>
      </c>
      <c r="H349" s="22" t="s">
        <v>11</v>
      </c>
      <c r="I349" s="22" t="s">
        <v>5511</v>
      </c>
      <c r="J349" s="22" t="s">
        <v>44</v>
      </c>
      <c r="K349" s="22">
        <v>5.18125032603948e+18</v>
      </c>
      <c r="L349" s="22" t="s">
        <v>1259</v>
      </c>
      <c r="M349" s="25"/>
    </row>
    <row r="350" customHeight="1" spans="1:13">
      <c r="A350" s="21">
        <v>45778</v>
      </c>
      <c r="B350" s="22" t="s">
        <v>5485</v>
      </c>
      <c r="C350" s="23">
        <v>45798</v>
      </c>
      <c r="D350" s="27">
        <v>5000</v>
      </c>
      <c r="E350" s="22" t="s">
        <v>173</v>
      </c>
      <c r="F350" s="22" t="s">
        <v>7</v>
      </c>
      <c r="G350" s="22" t="s">
        <v>1262</v>
      </c>
      <c r="H350" s="22" t="s">
        <v>11</v>
      </c>
      <c r="I350" s="22" t="s">
        <v>5511</v>
      </c>
      <c r="J350" s="22" t="s">
        <v>39</v>
      </c>
      <c r="K350" s="22">
        <v>5.18125032603948e+18</v>
      </c>
      <c r="L350" s="22" t="s">
        <v>1259</v>
      </c>
      <c r="M350" s="25"/>
    </row>
    <row r="351" customHeight="1" spans="1:13">
      <c r="A351" s="21">
        <v>45778</v>
      </c>
      <c r="B351" s="22" t="s">
        <v>5485</v>
      </c>
      <c r="C351" s="23">
        <v>45803</v>
      </c>
      <c r="D351" s="27">
        <v>183341.79</v>
      </c>
      <c r="E351" s="22" t="s">
        <v>173</v>
      </c>
      <c r="F351" s="22" t="s">
        <v>7</v>
      </c>
      <c r="G351" s="22" t="s">
        <v>1264</v>
      </c>
      <c r="H351" s="22" t="s">
        <v>11</v>
      </c>
      <c r="I351" s="22" t="s">
        <v>5511</v>
      </c>
      <c r="J351" s="22" t="s">
        <v>39</v>
      </c>
      <c r="K351" s="22">
        <v>5.1812412270369e+18</v>
      </c>
      <c r="L351" s="22" t="s">
        <v>1208</v>
      </c>
      <c r="M351" s="25"/>
    </row>
    <row r="352" customHeight="1" spans="1:13">
      <c r="A352" s="21">
        <v>45778</v>
      </c>
      <c r="B352" s="22" t="s">
        <v>5485</v>
      </c>
      <c r="C352" s="23">
        <v>45804</v>
      </c>
      <c r="D352" s="27">
        <v>77235.7</v>
      </c>
      <c r="E352" s="22" t="s">
        <v>173</v>
      </c>
      <c r="F352" s="22" t="s">
        <v>7</v>
      </c>
      <c r="G352" s="22" t="s">
        <v>1267</v>
      </c>
      <c r="H352" s="22" t="s">
        <v>11</v>
      </c>
      <c r="I352" s="22" t="s">
        <v>5511</v>
      </c>
      <c r="J352" s="22" t="s">
        <v>39</v>
      </c>
      <c r="K352" s="22">
        <v>5.18124090502501e+18</v>
      </c>
      <c r="L352" s="22" t="s">
        <v>1270</v>
      </c>
      <c r="M352" s="25"/>
    </row>
    <row r="353" customHeight="1" spans="1:13">
      <c r="A353" s="21">
        <v>45778</v>
      </c>
      <c r="B353" s="22" t="s">
        <v>5485</v>
      </c>
      <c r="C353" s="23">
        <v>45807</v>
      </c>
      <c r="D353" s="24">
        <v>50</v>
      </c>
      <c r="E353" s="22" t="s">
        <v>139</v>
      </c>
      <c r="F353" s="22" t="s">
        <v>105</v>
      </c>
      <c r="G353" s="22" t="s">
        <v>1272</v>
      </c>
      <c r="H353" s="22" t="s">
        <v>10</v>
      </c>
      <c r="I353" s="22" t="s">
        <v>5511</v>
      </c>
      <c r="J353" s="22" t="s">
        <v>40</v>
      </c>
      <c r="K353" s="22">
        <v>5.18125051504151e+18</v>
      </c>
      <c r="L353" s="22" t="s">
        <v>1275</v>
      </c>
      <c r="M353" s="25"/>
    </row>
    <row r="354" customHeight="1" spans="1:13">
      <c r="A354" s="21">
        <v>45809</v>
      </c>
      <c r="B354" s="22" t="s">
        <v>5487</v>
      </c>
      <c r="C354" s="23">
        <v>45811</v>
      </c>
      <c r="D354" s="27">
        <v>47586</v>
      </c>
      <c r="E354" s="22" t="s">
        <v>1062</v>
      </c>
      <c r="F354" s="22" t="s">
        <v>7</v>
      </c>
      <c r="G354" s="22" t="s">
        <v>1277</v>
      </c>
      <c r="H354" s="22" t="s">
        <v>11</v>
      </c>
      <c r="I354" s="22" t="s">
        <v>5511</v>
      </c>
      <c r="J354" s="22" t="s">
        <v>39</v>
      </c>
      <c r="K354" s="22">
        <v>5.18124072901827e+18</v>
      </c>
      <c r="L354" s="22" t="s">
        <v>1279</v>
      </c>
      <c r="M354" s="25"/>
    </row>
    <row r="355" customHeight="1" spans="1:13">
      <c r="A355" s="21">
        <v>45809</v>
      </c>
      <c r="B355" s="22" t="s">
        <v>5487</v>
      </c>
      <c r="C355" s="23">
        <v>45812</v>
      </c>
      <c r="D355" s="27">
        <v>32560</v>
      </c>
      <c r="E355" s="22" t="s">
        <v>149</v>
      </c>
      <c r="F355" s="22" t="s">
        <v>7</v>
      </c>
      <c r="G355" s="22" t="s">
        <v>1281</v>
      </c>
      <c r="H355" s="22" t="s">
        <v>11</v>
      </c>
      <c r="I355" s="22" t="s">
        <v>5511</v>
      </c>
      <c r="J355" s="22" t="s">
        <v>40</v>
      </c>
      <c r="K355" s="22">
        <v>5.18124111603548e+18</v>
      </c>
      <c r="L355" s="22" t="s">
        <v>1284</v>
      </c>
      <c r="M355" s="25"/>
    </row>
    <row r="356" customHeight="1" spans="1:13">
      <c r="A356" s="21">
        <v>45809</v>
      </c>
      <c r="B356" s="22" t="s">
        <v>5487</v>
      </c>
      <c r="C356" s="23">
        <v>45813</v>
      </c>
      <c r="D356" s="27">
        <v>17439.64</v>
      </c>
      <c r="E356" s="22" t="s">
        <v>173</v>
      </c>
      <c r="F356" s="22" t="s">
        <v>7</v>
      </c>
      <c r="G356" s="22" t="s">
        <v>1285</v>
      </c>
      <c r="H356" s="22" t="s">
        <v>11</v>
      </c>
      <c r="I356" s="22" t="s">
        <v>5511</v>
      </c>
      <c r="J356" s="22" t="s">
        <v>39</v>
      </c>
      <c r="K356" s="22">
        <v>5.18124090502501e+18</v>
      </c>
      <c r="L356" s="22" t="s">
        <v>1270</v>
      </c>
      <c r="M356" s="25"/>
    </row>
    <row r="357" customHeight="1" spans="1:13">
      <c r="A357" s="21">
        <v>45809</v>
      </c>
      <c r="B357" s="22" t="s">
        <v>5487</v>
      </c>
      <c r="C357" s="23">
        <v>45819</v>
      </c>
      <c r="D357" s="27">
        <v>125868.9</v>
      </c>
      <c r="E357" s="22" t="s">
        <v>173</v>
      </c>
      <c r="F357" s="22" t="s">
        <v>7</v>
      </c>
      <c r="G357" s="22" t="s">
        <v>1287</v>
      </c>
      <c r="H357" s="22" t="s">
        <v>11</v>
      </c>
      <c r="I357" s="22" t="s">
        <v>5511</v>
      </c>
      <c r="J357" s="22" t="s">
        <v>39</v>
      </c>
      <c r="K357" s="22">
        <v>5.18124121203647e+18</v>
      </c>
      <c r="L357" s="22" t="s">
        <v>1200</v>
      </c>
      <c r="M357" s="25"/>
    </row>
    <row r="358" customHeight="1" spans="1:13">
      <c r="A358" s="21">
        <v>45809</v>
      </c>
      <c r="B358" s="22" t="s">
        <v>5487</v>
      </c>
      <c r="C358" s="23">
        <v>45813</v>
      </c>
      <c r="D358" s="24">
        <v>0.08</v>
      </c>
      <c r="E358" s="22" t="s">
        <v>80</v>
      </c>
      <c r="F358" s="22" t="s">
        <v>105</v>
      </c>
      <c r="G358" s="22" t="s">
        <v>1289</v>
      </c>
      <c r="H358" s="22" t="s">
        <v>10</v>
      </c>
      <c r="I358" s="22" t="s">
        <v>5511</v>
      </c>
      <c r="J358" s="22" t="s">
        <v>40</v>
      </c>
      <c r="K358" s="22">
        <v>5.18124090502501e+18</v>
      </c>
      <c r="L358" s="22" t="s">
        <v>1270</v>
      </c>
      <c r="M358" s="25"/>
    </row>
    <row r="359" customHeight="1" spans="1:13">
      <c r="A359" s="21">
        <v>45809</v>
      </c>
      <c r="B359" s="22" t="s">
        <v>5487</v>
      </c>
      <c r="C359" s="23">
        <v>45819</v>
      </c>
      <c r="D359" s="24">
        <v>205.59</v>
      </c>
      <c r="E359" s="22" t="s">
        <v>80</v>
      </c>
      <c r="F359" s="22" t="s">
        <v>105</v>
      </c>
      <c r="G359" s="22" t="s">
        <v>1292</v>
      </c>
      <c r="H359" s="22" t="s">
        <v>10</v>
      </c>
      <c r="I359" s="22" t="s">
        <v>5511</v>
      </c>
      <c r="J359" s="22" t="s">
        <v>40</v>
      </c>
      <c r="K359" s="22">
        <v>5.18124121203647e+18</v>
      </c>
      <c r="L359" s="22" t="s">
        <v>1200</v>
      </c>
      <c r="M359" s="25"/>
    </row>
    <row r="360" customHeight="1" spans="1:13">
      <c r="A360" s="21">
        <v>45809</v>
      </c>
      <c r="B360" s="22" t="s">
        <v>5487</v>
      </c>
      <c r="C360" s="23">
        <v>45819</v>
      </c>
      <c r="D360" s="24">
        <v>52.22</v>
      </c>
      <c r="E360" s="22" t="s">
        <v>80</v>
      </c>
      <c r="F360" s="22" t="s">
        <v>105</v>
      </c>
      <c r="G360" s="22" t="s">
        <v>5519</v>
      </c>
      <c r="H360" s="22" t="s">
        <v>10</v>
      </c>
      <c r="I360" s="22" t="s">
        <v>5511</v>
      </c>
      <c r="J360" s="22" t="s">
        <v>40</v>
      </c>
      <c r="K360" s="22">
        <v>5.18124121203647e+18</v>
      </c>
      <c r="L360" s="22" t="s">
        <v>1200</v>
      </c>
      <c r="M360" s="25"/>
    </row>
    <row r="361" customHeight="1" spans="1:13">
      <c r="A361" s="21">
        <v>45809</v>
      </c>
      <c r="B361" s="22" t="s">
        <v>5487</v>
      </c>
      <c r="C361" s="23">
        <v>45820</v>
      </c>
      <c r="D361" s="27">
        <v>680317.94</v>
      </c>
      <c r="E361" s="22" t="s">
        <v>1062</v>
      </c>
      <c r="F361" s="22" t="s">
        <v>7</v>
      </c>
      <c r="G361" s="22" t="s">
        <v>5520</v>
      </c>
      <c r="H361" s="22" t="s">
        <v>12</v>
      </c>
      <c r="I361" s="22" t="s">
        <v>5511</v>
      </c>
      <c r="J361" s="22" t="s">
        <v>39</v>
      </c>
      <c r="K361" s="22">
        <v>5.18124073101875e+18</v>
      </c>
      <c r="L361" s="22" t="s">
        <v>1297</v>
      </c>
      <c r="M361" s="25"/>
    </row>
    <row r="362" customHeight="1" spans="1:13">
      <c r="A362" s="21">
        <v>45809</v>
      </c>
      <c r="B362" s="22" t="s">
        <v>5487</v>
      </c>
      <c r="C362" s="23">
        <v>45820</v>
      </c>
      <c r="D362" s="27">
        <v>809658.74</v>
      </c>
      <c r="E362" s="22" t="s">
        <v>1062</v>
      </c>
      <c r="F362" s="22" t="s">
        <v>7</v>
      </c>
      <c r="G362" s="22" t="s">
        <v>5521</v>
      </c>
      <c r="H362" s="22" t="s">
        <v>12</v>
      </c>
      <c r="I362" s="22" t="s">
        <v>5511</v>
      </c>
      <c r="J362" s="22" t="s">
        <v>39</v>
      </c>
      <c r="K362" s="22">
        <v>5.18124073101875e+18</v>
      </c>
      <c r="L362" s="22" t="s">
        <v>1297</v>
      </c>
      <c r="M362" s="25"/>
    </row>
    <row r="363" customHeight="1" spans="1:13">
      <c r="A363" s="21">
        <v>45809</v>
      </c>
      <c r="B363" s="22" t="s">
        <v>5487</v>
      </c>
      <c r="C363" s="23">
        <v>45820</v>
      </c>
      <c r="D363" s="27">
        <v>8340</v>
      </c>
      <c r="E363" s="22" t="s">
        <v>149</v>
      </c>
      <c r="F363" s="22" t="s">
        <v>105</v>
      </c>
      <c r="G363" s="22" t="s">
        <v>1301</v>
      </c>
      <c r="H363" s="22" t="s">
        <v>11</v>
      </c>
      <c r="I363" s="22" t="s">
        <v>5511</v>
      </c>
      <c r="J363" s="22" t="s">
        <v>40</v>
      </c>
      <c r="K363" s="22">
        <v>5.18124073101875e+18</v>
      </c>
      <c r="L363" s="22" t="s">
        <v>1297</v>
      </c>
      <c r="M363" s="25"/>
    </row>
    <row r="364" customHeight="1" spans="1:13">
      <c r="A364" s="21">
        <v>45809</v>
      </c>
      <c r="B364" s="22" t="s">
        <v>5487</v>
      </c>
      <c r="C364" s="23">
        <v>45821</v>
      </c>
      <c r="D364" s="27">
        <v>60128.26</v>
      </c>
      <c r="E364" s="22" t="s">
        <v>1062</v>
      </c>
      <c r="F364" s="22" t="s">
        <v>7</v>
      </c>
      <c r="G364" s="22" t="s">
        <v>5522</v>
      </c>
      <c r="H364" s="22" t="s">
        <v>12</v>
      </c>
      <c r="I364" s="22" t="s">
        <v>5511</v>
      </c>
      <c r="J364" s="22" t="s">
        <v>39</v>
      </c>
      <c r="K364" s="22">
        <v>5.18123060200019e+18</v>
      </c>
      <c r="L364" s="22" t="s">
        <v>1072</v>
      </c>
      <c r="M364" s="25"/>
    </row>
    <row r="365" customHeight="1" spans="1:13">
      <c r="A365" s="21">
        <v>45809</v>
      </c>
      <c r="B365" s="22" t="s">
        <v>5489</v>
      </c>
      <c r="C365" s="23">
        <v>45824</v>
      </c>
      <c r="D365" s="27">
        <v>4465</v>
      </c>
      <c r="E365" s="22" t="s">
        <v>173</v>
      </c>
      <c r="F365" s="22" t="s">
        <v>105</v>
      </c>
      <c r="G365" s="22" t="s">
        <v>1307</v>
      </c>
      <c r="H365" s="22" t="s">
        <v>12</v>
      </c>
      <c r="I365" s="22" t="s">
        <v>5511</v>
      </c>
      <c r="J365" s="22" t="s">
        <v>39</v>
      </c>
      <c r="K365" s="22">
        <v>5.18123122800158e+18</v>
      </c>
      <c r="L365" s="22" t="s">
        <v>1211</v>
      </c>
      <c r="M365" s="25"/>
    </row>
    <row r="366" customHeight="1" spans="1:13">
      <c r="A366" s="21">
        <v>45809</v>
      </c>
      <c r="B366" s="22" t="s">
        <v>5489</v>
      </c>
      <c r="C366" s="23">
        <v>45824</v>
      </c>
      <c r="D366" s="24">
        <v>200</v>
      </c>
      <c r="E366" s="22" t="s">
        <v>173</v>
      </c>
      <c r="F366" s="22" t="s">
        <v>105</v>
      </c>
      <c r="G366" s="22" t="s">
        <v>1309</v>
      </c>
      <c r="H366" s="22" t="s">
        <v>12</v>
      </c>
      <c r="I366" s="22" t="s">
        <v>5511</v>
      </c>
      <c r="J366" s="22" t="s">
        <v>39</v>
      </c>
      <c r="K366" s="22">
        <v>5.18123122800158e+18</v>
      </c>
      <c r="L366" s="22" t="s">
        <v>1211</v>
      </c>
      <c r="M366" s="25"/>
    </row>
    <row r="367" customHeight="1" spans="1:13">
      <c r="A367" s="21">
        <v>45809</v>
      </c>
      <c r="B367" s="22" t="s">
        <v>5489</v>
      </c>
      <c r="C367" s="23">
        <v>45824</v>
      </c>
      <c r="D367" s="27">
        <v>2340</v>
      </c>
      <c r="E367" s="22" t="s">
        <v>173</v>
      </c>
      <c r="F367" s="22" t="s">
        <v>105</v>
      </c>
      <c r="G367" s="22" t="s">
        <v>1310</v>
      </c>
      <c r="H367" s="22" t="s">
        <v>12</v>
      </c>
      <c r="I367" s="22" t="s">
        <v>5511</v>
      </c>
      <c r="J367" s="22" t="s">
        <v>39</v>
      </c>
      <c r="K367" s="22">
        <v>5.18123122800158e+18</v>
      </c>
      <c r="L367" s="22" t="s">
        <v>1211</v>
      </c>
      <c r="M367" s="25"/>
    </row>
    <row r="368" customHeight="1" spans="1:13">
      <c r="A368" s="21">
        <v>45809</v>
      </c>
      <c r="B368" s="22" t="s">
        <v>5489</v>
      </c>
      <c r="C368" s="23">
        <v>45824</v>
      </c>
      <c r="D368" s="27">
        <v>2340</v>
      </c>
      <c r="E368" s="22" t="s">
        <v>173</v>
      </c>
      <c r="F368" s="22" t="s">
        <v>105</v>
      </c>
      <c r="G368" s="22" t="s">
        <v>1312</v>
      </c>
      <c r="H368" s="22" t="s">
        <v>12</v>
      </c>
      <c r="I368" s="22" t="s">
        <v>5511</v>
      </c>
      <c r="J368" s="22" t="s">
        <v>39</v>
      </c>
      <c r="K368" s="22">
        <v>5.18123122800158e+18</v>
      </c>
      <c r="L368" s="22" t="s">
        <v>1211</v>
      </c>
      <c r="M368" s="25"/>
    </row>
    <row r="369" customHeight="1" spans="1:13">
      <c r="A369" s="21">
        <v>45809</v>
      </c>
      <c r="B369" s="22" t="s">
        <v>5489</v>
      </c>
      <c r="C369" s="23">
        <v>45824</v>
      </c>
      <c r="D369" s="24">
        <v>210</v>
      </c>
      <c r="E369" s="22" t="s">
        <v>80</v>
      </c>
      <c r="F369" s="22" t="s">
        <v>105</v>
      </c>
      <c r="G369" s="22" t="s">
        <v>1315</v>
      </c>
      <c r="H369" s="22" t="s">
        <v>10</v>
      </c>
      <c r="I369" s="22" t="s">
        <v>5511</v>
      </c>
      <c r="J369" s="22" t="s">
        <v>40</v>
      </c>
      <c r="K369" s="22">
        <v>5.18123122800158e+18</v>
      </c>
      <c r="L369" s="22" t="s">
        <v>1211</v>
      </c>
      <c r="M369" s="25"/>
    </row>
    <row r="370" customHeight="1" spans="1:13">
      <c r="A370" s="21">
        <v>45809</v>
      </c>
      <c r="B370" s="22" t="s">
        <v>5489</v>
      </c>
      <c r="C370" s="23">
        <v>45824</v>
      </c>
      <c r="D370" s="27">
        <v>15950</v>
      </c>
      <c r="E370" s="22" t="s">
        <v>149</v>
      </c>
      <c r="F370" s="22" t="s">
        <v>105</v>
      </c>
      <c r="G370" s="22" t="s">
        <v>1317</v>
      </c>
      <c r="H370" s="22" t="s">
        <v>11</v>
      </c>
      <c r="I370" s="22" t="s">
        <v>5511</v>
      </c>
      <c r="J370" s="22" t="s">
        <v>40</v>
      </c>
      <c r="K370" s="22">
        <v>5.18123122800158e+18</v>
      </c>
      <c r="L370" s="22" t="s">
        <v>1211</v>
      </c>
      <c r="M370" s="25"/>
    </row>
    <row r="371" customHeight="1" spans="1:13">
      <c r="A371" s="21">
        <v>45809</v>
      </c>
      <c r="B371" s="22" t="s">
        <v>5489</v>
      </c>
      <c r="C371" s="23">
        <v>45825</v>
      </c>
      <c r="D371" s="24">
        <v>213</v>
      </c>
      <c r="E371" s="22" t="s">
        <v>173</v>
      </c>
      <c r="F371" s="22" t="s">
        <v>105</v>
      </c>
      <c r="G371" s="22" t="s">
        <v>1323</v>
      </c>
      <c r="H371" s="22" t="s">
        <v>12</v>
      </c>
      <c r="I371" s="22" t="s">
        <v>5511</v>
      </c>
      <c r="J371" s="22" t="s">
        <v>39</v>
      </c>
      <c r="K371" s="22">
        <v>5.18123082800067e+18</v>
      </c>
      <c r="L371" s="22" t="s">
        <v>1325</v>
      </c>
      <c r="M371" s="25"/>
    </row>
    <row r="372" customHeight="1" spans="1:13">
      <c r="A372" s="21">
        <v>45809</v>
      </c>
      <c r="B372" s="22" t="s">
        <v>5489</v>
      </c>
      <c r="C372" s="23">
        <v>45825</v>
      </c>
      <c r="D372" s="24">
        <v>200</v>
      </c>
      <c r="E372" s="22" t="s">
        <v>173</v>
      </c>
      <c r="F372" s="22" t="s">
        <v>105</v>
      </c>
      <c r="G372" s="22" t="s">
        <v>1328</v>
      </c>
      <c r="H372" s="22" t="s">
        <v>12</v>
      </c>
      <c r="I372" s="22" t="s">
        <v>5511</v>
      </c>
      <c r="J372" s="22" t="s">
        <v>39</v>
      </c>
      <c r="K372" s="22">
        <v>5.18123082800067e+18</v>
      </c>
      <c r="L372" s="22" t="s">
        <v>1325</v>
      </c>
      <c r="M372" s="25"/>
    </row>
    <row r="373" customHeight="1" spans="1:13">
      <c r="A373" s="21">
        <v>45809</v>
      </c>
      <c r="B373" s="22" t="s">
        <v>5489</v>
      </c>
      <c r="C373" s="23">
        <v>45825</v>
      </c>
      <c r="D373" s="27">
        <v>4465</v>
      </c>
      <c r="E373" s="22" t="s">
        <v>173</v>
      </c>
      <c r="F373" s="22" t="s">
        <v>105</v>
      </c>
      <c r="G373" s="22" t="s">
        <v>1329</v>
      </c>
      <c r="H373" s="22" t="s">
        <v>12</v>
      </c>
      <c r="I373" s="22" t="s">
        <v>5511</v>
      </c>
      <c r="J373" s="22" t="s">
        <v>39</v>
      </c>
      <c r="K373" s="22">
        <v>5.18123082800067e+18</v>
      </c>
      <c r="L373" s="22" t="s">
        <v>1325</v>
      </c>
      <c r="M373" s="25"/>
    </row>
    <row r="374" customHeight="1" spans="1:13">
      <c r="A374" s="21">
        <v>45809</v>
      </c>
      <c r="B374" s="22" t="s">
        <v>5489</v>
      </c>
      <c r="C374" s="23">
        <v>45828</v>
      </c>
      <c r="D374" s="24">
        <v>419.11</v>
      </c>
      <c r="E374" s="22" t="s">
        <v>139</v>
      </c>
      <c r="F374" s="22" t="s">
        <v>105</v>
      </c>
      <c r="G374" s="22" t="s">
        <v>1331</v>
      </c>
      <c r="H374" s="22" t="s">
        <v>10</v>
      </c>
      <c r="I374" s="22" t="s">
        <v>5511</v>
      </c>
      <c r="J374" s="22" t="s">
        <v>40</v>
      </c>
      <c r="K374" s="22">
        <v>5.18125052604197e+18</v>
      </c>
      <c r="L374" s="22" t="s">
        <v>1334</v>
      </c>
      <c r="M374" s="25"/>
    </row>
    <row r="375" customHeight="1" spans="1:13">
      <c r="A375" s="21">
        <v>45809</v>
      </c>
      <c r="B375" s="22" t="s">
        <v>5489</v>
      </c>
      <c r="C375" s="23">
        <v>45828</v>
      </c>
      <c r="D375" s="24">
        <v>16.41</v>
      </c>
      <c r="E375" s="22" t="s">
        <v>149</v>
      </c>
      <c r="F375" s="22" t="s">
        <v>105</v>
      </c>
      <c r="G375" s="22" t="s">
        <v>1336</v>
      </c>
      <c r="H375" s="22" t="s">
        <v>10</v>
      </c>
      <c r="I375" s="22" t="s">
        <v>5511</v>
      </c>
      <c r="J375" s="22" t="s">
        <v>40</v>
      </c>
      <c r="K375" s="22">
        <v>5.18125052604197e+18</v>
      </c>
      <c r="L375" s="22" t="s">
        <v>1334</v>
      </c>
      <c r="M375" s="25"/>
    </row>
    <row r="376" customHeight="1" spans="1:13">
      <c r="A376" s="21">
        <v>45809</v>
      </c>
      <c r="B376" s="22" t="s">
        <v>5489</v>
      </c>
      <c r="C376" s="23">
        <v>45828</v>
      </c>
      <c r="D376" s="27">
        <v>13245.65</v>
      </c>
      <c r="E376" s="22" t="s">
        <v>173</v>
      </c>
      <c r="F376" s="22" t="s">
        <v>7</v>
      </c>
      <c r="G376" s="22" t="s">
        <v>1341</v>
      </c>
      <c r="H376" s="22" t="s">
        <v>12</v>
      </c>
      <c r="I376" s="22" t="s">
        <v>5511</v>
      </c>
      <c r="J376" s="22" t="s">
        <v>44</v>
      </c>
      <c r="K376" s="22">
        <v>5.18125052604197e+18</v>
      </c>
      <c r="L376" s="22" t="s">
        <v>1334</v>
      </c>
      <c r="M376" s="25"/>
    </row>
    <row r="377" customHeight="1" spans="1:13">
      <c r="A377" s="21">
        <v>45809</v>
      </c>
      <c r="B377" s="22" t="s">
        <v>5489</v>
      </c>
      <c r="C377" s="23">
        <v>45832</v>
      </c>
      <c r="D377" s="24">
        <v>210</v>
      </c>
      <c r="E377" s="22" t="s">
        <v>80</v>
      </c>
      <c r="F377" s="22" t="s">
        <v>105</v>
      </c>
      <c r="G377" s="22" t="s">
        <v>1346</v>
      </c>
      <c r="H377" s="22" t="s">
        <v>10</v>
      </c>
      <c r="I377" s="22" t="s">
        <v>5511</v>
      </c>
      <c r="J377" s="22" t="s">
        <v>40</v>
      </c>
      <c r="K377" s="22">
        <v>5.18124052800352e+18</v>
      </c>
      <c r="L377" s="22" t="s">
        <v>1253</v>
      </c>
      <c r="M377" s="25"/>
    </row>
    <row r="378" customHeight="1" spans="1:13">
      <c r="A378" s="21">
        <v>45809</v>
      </c>
      <c r="B378" s="22" t="s">
        <v>5489</v>
      </c>
      <c r="C378" s="23">
        <v>45833</v>
      </c>
      <c r="D378" s="27">
        <v>350000</v>
      </c>
      <c r="E378" s="22" t="s">
        <v>1349</v>
      </c>
      <c r="F378" s="22" t="s">
        <v>105</v>
      </c>
      <c r="G378" s="22" t="s">
        <v>1347</v>
      </c>
      <c r="H378" s="22" t="s">
        <v>12</v>
      </c>
      <c r="I378" s="22" t="s">
        <v>5511</v>
      </c>
      <c r="J378" s="22" t="s">
        <v>44</v>
      </c>
      <c r="K378" s="22">
        <v>5.18123111300118e+18</v>
      </c>
      <c r="L378" s="22" t="s">
        <v>871</v>
      </c>
      <c r="M378" s="25"/>
    </row>
    <row r="379" customHeight="1" spans="1:13">
      <c r="A379" s="21">
        <v>45809</v>
      </c>
      <c r="B379" s="22" t="s">
        <v>5489</v>
      </c>
      <c r="C379" s="23">
        <v>45834</v>
      </c>
      <c r="D379" s="27">
        <v>154806.24</v>
      </c>
      <c r="E379" s="22" t="s">
        <v>173</v>
      </c>
      <c r="F379" s="22" t="s">
        <v>7</v>
      </c>
      <c r="G379" s="22" t="s">
        <v>1350</v>
      </c>
      <c r="H379" s="22" t="s">
        <v>11</v>
      </c>
      <c r="I379" s="22" t="s">
        <v>5511</v>
      </c>
      <c r="J379" s="22" t="s">
        <v>39</v>
      </c>
      <c r="K379" s="22">
        <v>5.1812412270369e+18</v>
      </c>
      <c r="L379" s="22" t="s">
        <v>1208</v>
      </c>
      <c r="M379" s="25"/>
    </row>
    <row r="380" customHeight="1" spans="1:13">
      <c r="A380" s="21">
        <v>45839</v>
      </c>
      <c r="B380" s="22" t="s">
        <v>5491</v>
      </c>
      <c r="C380" s="23">
        <v>45840</v>
      </c>
      <c r="D380" s="27">
        <v>19000</v>
      </c>
      <c r="E380" s="22" t="s">
        <v>173</v>
      </c>
      <c r="F380" s="22" t="s">
        <v>7</v>
      </c>
      <c r="G380" s="22" t="s">
        <v>1353</v>
      </c>
      <c r="H380" s="22" t="s">
        <v>11</v>
      </c>
      <c r="I380" s="22" t="s">
        <v>5511</v>
      </c>
      <c r="J380" s="22" t="s">
        <v>39</v>
      </c>
      <c r="K380" s="22">
        <v>5.18125042504093e+18</v>
      </c>
      <c r="L380" s="22" t="s">
        <v>1355</v>
      </c>
      <c r="M380" s="25"/>
    </row>
    <row r="381" customHeight="1" spans="1:13">
      <c r="A381" s="21">
        <v>45839</v>
      </c>
      <c r="B381" s="22" t="s">
        <v>5491</v>
      </c>
      <c r="C381" s="23">
        <v>45840</v>
      </c>
      <c r="D381" s="27">
        <v>44387</v>
      </c>
      <c r="E381" s="22" t="s">
        <v>173</v>
      </c>
      <c r="F381" s="22" t="s">
        <v>7</v>
      </c>
      <c r="G381" s="22" t="s">
        <v>1357</v>
      </c>
      <c r="H381" s="22" t="s">
        <v>11</v>
      </c>
      <c r="I381" s="22" t="s">
        <v>5511</v>
      </c>
      <c r="J381" s="22" t="s">
        <v>39</v>
      </c>
      <c r="K381" s="22">
        <v>5.18125042504093e+18</v>
      </c>
      <c r="L381" s="22" t="s">
        <v>1355</v>
      </c>
      <c r="M381" s="25"/>
    </row>
    <row r="382" customHeight="1" spans="1:13">
      <c r="A382" s="21">
        <v>45839</v>
      </c>
      <c r="B382" s="22" t="s">
        <v>5491</v>
      </c>
      <c r="C382" s="23">
        <v>45840</v>
      </c>
      <c r="D382" s="27">
        <v>162205.71</v>
      </c>
      <c r="E382" s="22" t="s">
        <v>173</v>
      </c>
      <c r="F382" s="22" t="s">
        <v>105</v>
      </c>
      <c r="G382" s="22" t="s">
        <v>1359</v>
      </c>
      <c r="H382" s="22" t="s">
        <v>11</v>
      </c>
      <c r="I382" s="22" t="s">
        <v>5511</v>
      </c>
      <c r="J382" s="22" t="s">
        <v>39</v>
      </c>
      <c r="K382" s="22">
        <v>5.18125042504093e+18</v>
      </c>
      <c r="L382" s="22" t="s">
        <v>1355</v>
      </c>
      <c r="M382" s="25"/>
    </row>
    <row r="383" customHeight="1" spans="1:13">
      <c r="A383" s="21">
        <v>45839</v>
      </c>
      <c r="B383" s="22" t="s">
        <v>5491</v>
      </c>
      <c r="C383" s="23">
        <v>45840</v>
      </c>
      <c r="D383" s="27">
        <v>67200</v>
      </c>
      <c r="E383" s="22" t="s">
        <v>173</v>
      </c>
      <c r="F383" s="22" t="s">
        <v>7</v>
      </c>
      <c r="G383" s="22" t="s">
        <v>1362</v>
      </c>
      <c r="H383" s="22" t="s">
        <v>11</v>
      </c>
      <c r="I383" s="22" t="s">
        <v>5511</v>
      </c>
      <c r="J383" s="22" t="s">
        <v>39</v>
      </c>
      <c r="K383" s="22">
        <v>5.18125042504093e+18</v>
      </c>
      <c r="L383" s="22" t="s">
        <v>1355</v>
      </c>
      <c r="M383" s="25"/>
    </row>
    <row r="384" customHeight="1" spans="1:13">
      <c r="A384" s="21">
        <v>45839</v>
      </c>
      <c r="B384" s="22" t="s">
        <v>5491</v>
      </c>
      <c r="C384" s="23">
        <v>45841</v>
      </c>
      <c r="D384" s="27">
        <v>755417.8</v>
      </c>
      <c r="E384" s="22" t="s">
        <v>1367</v>
      </c>
      <c r="F384" s="22" t="s">
        <v>7</v>
      </c>
      <c r="G384" s="22" t="s">
        <v>1366</v>
      </c>
      <c r="H384" s="22" t="s">
        <v>12</v>
      </c>
      <c r="I384" s="22" t="s">
        <v>5511</v>
      </c>
      <c r="J384" s="22" t="s">
        <v>44</v>
      </c>
      <c r="K384" s="22">
        <v>5.18123071000043e+18</v>
      </c>
      <c r="L384" s="22" t="s">
        <v>1343</v>
      </c>
      <c r="M384" s="25"/>
    </row>
    <row r="385" customHeight="1" spans="1:13">
      <c r="A385" s="21">
        <v>45839</v>
      </c>
      <c r="B385" s="22" t="s">
        <v>5491</v>
      </c>
      <c r="C385" s="23">
        <v>45845</v>
      </c>
      <c r="D385" s="27">
        <v>15000000</v>
      </c>
      <c r="E385" s="22" t="s">
        <v>1037</v>
      </c>
      <c r="F385" s="22" t="s">
        <v>7</v>
      </c>
      <c r="G385" s="22" t="s">
        <v>5523</v>
      </c>
      <c r="H385" s="22" t="s">
        <v>11</v>
      </c>
      <c r="I385" s="22" t="s">
        <v>5511</v>
      </c>
      <c r="J385" s="22" t="s">
        <v>49</v>
      </c>
      <c r="K385" s="22">
        <v>5.18124090602527e+18</v>
      </c>
      <c r="L385" s="22" t="s">
        <v>1373</v>
      </c>
      <c r="M385" s="25"/>
    </row>
    <row r="386" customHeight="1" spans="1:13">
      <c r="A386" s="21">
        <v>45839</v>
      </c>
      <c r="B386" s="22" t="s">
        <v>5491</v>
      </c>
      <c r="C386" s="23">
        <v>45846</v>
      </c>
      <c r="D386" s="24">
        <v>100</v>
      </c>
      <c r="E386" s="22" t="s">
        <v>139</v>
      </c>
      <c r="F386" s="22" t="s">
        <v>105</v>
      </c>
      <c r="G386" s="22" t="s">
        <v>1374</v>
      </c>
      <c r="H386" s="22" t="s">
        <v>10</v>
      </c>
      <c r="I386" s="22" t="s">
        <v>5511</v>
      </c>
      <c r="J386" s="22" t="s">
        <v>40</v>
      </c>
      <c r="K386" s="22">
        <v>5.18125012103743e+18</v>
      </c>
      <c r="L386" s="22" t="s">
        <v>1377</v>
      </c>
      <c r="M386" s="25"/>
    </row>
    <row r="387" customHeight="1" spans="1:13">
      <c r="A387" s="21">
        <v>45839</v>
      </c>
      <c r="B387" s="22" t="s">
        <v>5491</v>
      </c>
      <c r="C387" s="23">
        <v>45846</v>
      </c>
      <c r="D387" s="24">
        <v>323.63</v>
      </c>
      <c r="E387" s="22" t="s">
        <v>80</v>
      </c>
      <c r="F387" s="22" t="s">
        <v>105</v>
      </c>
      <c r="G387" s="22" t="s">
        <v>1379</v>
      </c>
      <c r="H387" s="22" t="s">
        <v>10</v>
      </c>
      <c r="I387" s="22" t="s">
        <v>5511</v>
      </c>
      <c r="J387" s="22" t="s">
        <v>40</v>
      </c>
      <c r="K387" s="22">
        <v>5.18125012103743e+18</v>
      </c>
      <c r="L387" s="22" t="s">
        <v>1377</v>
      </c>
      <c r="M387" s="25"/>
    </row>
    <row r="388" customHeight="1" spans="1:13">
      <c r="A388" s="21">
        <v>45839</v>
      </c>
      <c r="B388" s="22" t="s">
        <v>5491</v>
      </c>
      <c r="C388" s="23">
        <v>45846</v>
      </c>
      <c r="D388" s="24">
        <v>248.91</v>
      </c>
      <c r="E388" s="22" t="s">
        <v>80</v>
      </c>
      <c r="F388" s="22" t="s">
        <v>105</v>
      </c>
      <c r="G388" s="22" t="s">
        <v>1382</v>
      </c>
      <c r="H388" s="22" t="s">
        <v>10</v>
      </c>
      <c r="I388" s="22" t="s">
        <v>5511</v>
      </c>
      <c r="J388" s="22" t="s">
        <v>40</v>
      </c>
      <c r="K388" s="22">
        <v>5.18125012103743e+18</v>
      </c>
      <c r="L388" s="22" t="s">
        <v>1377</v>
      </c>
      <c r="M388" s="25"/>
    </row>
    <row r="389" customHeight="1" spans="1:13">
      <c r="A389" s="21">
        <v>45839</v>
      </c>
      <c r="B389" s="22" t="s">
        <v>5491</v>
      </c>
      <c r="C389" s="23">
        <v>45852</v>
      </c>
      <c r="D389" s="22" t="s">
        <v>1386</v>
      </c>
      <c r="E389" s="22" t="s">
        <v>173</v>
      </c>
      <c r="F389" s="22" t="s">
        <v>7</v>
      </c>
      <c r="G389" s="22" t="s">
        <v>1384</v>
      </c>
      <c r="H389" s="22" t="s">
        <v>11</v>
      </c>
      <c r="I389" s="22" t="s">
        <v>5511</v>
      </c>
      <c r="J389" s="22" t="s">
        <v>39</v>
      </c>
      <c r="K389" s="22">
        <v>5.18125042504093e+18</v>
      </c>
      <c r="L389" s="22" t="s">
        <v>1355</v>
      </c>
      <c r="M389" s="25"/>
    </row>
    <row r="390" customHeight="1" spans="1:13">
      <c r="A390" s="21">
        <v>45839</v>
      </c>
      <c r="B390" s="22" t="s">
        <v>5491</v>
      </c>
      <c r="C390" s="23">
        <v>45847</v>
      </c>
      <c r="D390" s="27">
        <v>911600</v>
      </c>
      <c r="E390" s="22" t="s">
        <v>1062</v>
      </c>
      <c r="F390" s="22" t="s">
        <v>7</v>
      </c>
      <c r="G390" s="22" t="s">
        <v>1389</v>
      </c>
      <c r="H390" s="22" t="s">
        <v>11</v>
      </c>
      <c r="I390" s="22" t="s">
        <v>5511</v>
      </c>
      <c r="J390" s="22" t="s">
        <v>40</v>
      </c>
      <c r="K390" s="22">
        <v>5.18125051104139e+18</v>
      </c>
      <c r="L390" s="22" t="s">
        <v>1392</v>
      </c>
      <c r="M390" s="25"/>
    </row>
    <row r="391" customHeight="1" spans="1:13">
      <c r="A391" s="21">
        <v>45839</v>
      </c>
      <c r="B391" s="22" t="s">
        <v>5491</v>
      </c>
      <c r="C391" s="23">
        <v>45853</v>
      </c>
      <c r="D391" s="27">
        <v>40000</v>
      </c>
      <c r="E391" s="22" t="s">
        <v>173</v>
      </c>
      <c r="F391" s="22" t="s">
        <v>7</v>
      </c>
      <c r="G391" s="22" t="s">
        <v>1393</v>
      </c>
      <c r="H391" s="22" t="s">
        <v>12</v>
      </c>
      <c r="I391" s="22" t="s">
        <v>5511</v>
      </c>
      <c r="J391" s="22" t="s">
        <v>48</v>
      </c>
      <c r="K391" s="22">
        <v>5.181250428041e+18</v>
      </c>
      <c r="L391" s="22" t="s">
        <v>1395</v>
      </c>
      <c r="M391" s="25"/>
    </row>
    <row r="392" customHeight="1" spans="1:13">
      <c r="A392" s="21">
        <v>45839</v>
      </c>
      <c r="B392" s="22" t="s">
        <v>5492</v>
      </c>
      <c r="C392" s="23">
        <v>45855</v>
      </c>
      <c r="D392" s="27">
        <v>3803.5</v>
      </c>
      <c r="E392" s="22" t="s">
        <v>173</v>
      </c>
      <c r="F392" s="22" t="s">
        <v>7</v>
      </c>
      <c r="G392" s="22" t="s">
        <v>1396</v>
      </c>
      <c r="H392" s="22" t="s">
        <v>12</v>
      </c>
      <c r="I392" s="22" t="s">
        <v>5511</v>
      </c>
      <c r="J392" s="22" t="s">
        <v>39</v>
      </c>
      <c r="K392" s="22">
        <v>5.18124080201917e+18</v>
      </c>
      <c r="L392" s="22" t="s">
        <v>1399</v>
      </c>
      <c r="M392" s="25"/>
    </row>
    <row r="393" customHeight="1" spans="1:13">
      <c r="A393" s="21">
        <v>45839</v>
      </c>
      <c r="B393" s="22" t="s">
        <v>5492</v>
      </c>
      <c r="C393" s="23">
        <v>45856</v>
      </c>
      <c r="D393" s="27">
        <v>362338.95</v>
      </c>
      <c r="E393" s="22" t="s">
        <v>1062</v>
      </c>
      <c r="F393" s="22" t="s">
        <v>7</v>
      </c>
      <c r="G393" s="22" t="s">
        <v>1401</v>
      </c>
      <c r="H393" s="22" t="s">
        <v>10</v>
      </c>
      <c r="I393" s="22" t="s">
        <v>5511</v>
      </c>
      <c r="J393" s="22" t="s">
        <v>51</v>
      </c>
      <c r="K393" s="22">
        <v>5.18125042204076e+18</v>
      </c>
      <c r="L393" s="22" t="s">
        <v>1403</v>
      </c>
      <c r="M393" s="25"/>
    </row>
    <row r="394" customHeight="1" spans="1:13">
      <c r="A394" s="21">
        <v>45839</v>
      </c>
      <c r="B394" s="22" t="s">
        <v>5492</v>
      </c>
      <c r="C394" s="23">
        <v>45856</v>
      </c>
      <c r="D394" s="27">
        <v>4440333.52</v>
      </c>
      <c r="E394" s="22" t="s">
        <v>1062</v>
      </c>
      <c r="F394" s="22" t="s">
        <v>7</v>
      </c>
      <c r="G394" s="22" t="s">
        <v>1405</v>
      </c>
      <c r="H394" s="22" t="s">
        <v>12</v>
      </c>
      <c r="I394" s="22" t="s">
        <v>5511</v>
      </c>
      <c r="J394" s="22" t="s">
        <v>48</v>
      </c>
      <c r="K394" s="22">
        <v>5.18125042204076e+18</v>
      </c>
      <c r="L394" s="22" t="s">
        <v>1403</v>
      </c>
      <c r="M394" s="25"/>
    </row>
    <row r="395" customHeight="1" spans="1:13">
      <c r="A395" s="21">
        <v>45839</v>
      </c>
      <c r="B395" s="22" t="s">
        <v>5492</v>
      </c>
      <c r="C395" s="23">
        <v>45856</v>
      </c>
      <c r="D395" s="24">
        <v>13.06</v>
      </c>
      <c r="E395" s="22" t="s">
        <v>139</v>
      </c>
      <c r="F395" s="22" t="s">
        <v>105</v>
      </c>
      <c r="G395" s="22" t="s">
        <v>1409</v>
      </c>
      <c r="H395" s="22" t="s">
        <v>10</v>
      </c>
      <c r="I395" s="22" t="s">
        <v>5511</v>
      </c>
      <c r="J395" s="22" t="s">
        <v>40</v>
      </c>
      <c r="K395" s="22">
        <v>5.18125042204076e+18</v>
      </c>
      <c r="L395" s="22" t="s">
        <v>1403</v>
      </c>
      <c r="M395" s="25"/>
    </row>
    <row r="396" customHeight="1" spans="1:13">
      <c r="A396" s="21">
        <v>45839</v>
      </c>
      <c r="B396" s="22" t="s">
        <v>5492</v>
      </c>
      <c r="C396" s="23">
        <v>45860</v>
      </c>
      <c r="D396" s="27">
        <v>18925</v>
      </c>
      <c r="E396" s="22" t="s">
        <v>173</v>
      </c>
      <c r="F396" s="22" t="s">
        <v>7</v>
      </c>
      <c r="G396" s="22" t="s">
        <v>1415</v>
      </c>
      <c r="H396" s="22" t="s">
        <v>11</v>
      </c>
      <c r="I396" s="22" t="s">
        <v>5511</v>
      </c>
      <c r="J396" s="22" t="s">
        <v>39</v>
      </c>
      <c r="K396" s="22">
        <v>5.18125042504093e+18</v>
      </c>
      <c r="L396" s="22" t="s">
        <v>1355</v>
      </c>
      <c r="M396" s="25"/>
    </row>
    <row r="397" customHeight="1" spans="1:13">
      <c r="A397" s="21">
        <v>45839</v>
      </c>
      <c r="B397" s="22" t="s">
        <v>5492</v>
      </c>
      <c r="C397" s="23">
        <v>45861</v>
      </c>
      <c r="D397" s="27">
        <v>800000</v>
      </c>
      <c r="E397" s="22" t="s">
        <v>149</v>
      </c>
      <c r="F397" s="22" t="s">
        <v>7</v>
      </c>
      <c r="G397" s="22" t="s">
        <v>1417</v>
      </c>
      <c r="H397" s="22" t="s">
        <v>12</v>
      </c>
      <c r="I397" s="22" t="s">
        <v>5511</v>
      </c>
      <c r="J397" s="22" t="s">
        <v>46</v>
      </c>
      <c r="K397" s="22">
        <v>5.18125032403941e+18</v>
      </c>
      <c r="L397" s="22" t="s">
        <v>1419</v>
      </c>
      <c r="M397" s="25"/>
    </row>
    <row r="398" customHeight="1" spans="1:13">
      <c r="A398" s="21">
        <v>45839</v>
      </c>
      <c r="B398" s="22" t="s">
        <v>5492</v>
      </c>
      <c r="C398" s="23">
        <v>45861</v>
      </c>
      <c r="D398" s="27">
        <v>50000000</v>
      </c>
      <c r="E398" s="22" t="s">
        <v>1037</v>
      </c>
      <c r="F398" s="22" t="s">
        <v>7</v>
      </c>
      <c r="G398" s="22" t="s">
        <v>1422</v>
      </c>
      <c r="H398" s="22" t="s">
        <v>11</v>
      </c>
      <c r="I398" s="22" t="s">
        <v>5511</v>
      </c>
      <c r="J398" s="22" t="s">
        <v>41</v>
      </c>
      <c r="K398" s="22">
        <v>5.18125032403941e+18</v>
      </c>
      <c r="L398" s="22" t="s">
        <v>1419</v>
      </c>
      <c r="M398" s="25"/>
    </row>
    <row r="399" customHeight="1" spans="1:13">
      <c r="A399" s="21">
        <v>45839</v>
      </c>
      <c r="B399" s="22" t="s">
        <v>5492</v>
      </c>
      <c r="C399" s="23">
        <v>45862</v>
      </c>
      <c r="D399" s="27">
        <v>116585.64</v>
      </c>
      <c r="E399" s="22" t="s">
        <v>173</v>
      </c>
      <c r="F399" s="22" t="s">
        <v>7</v>
      </c>
      <c r="G399" s="22" t="s">
        <v>1425</v>
      </c>
      <c r="H399" s="22" t="s">
        <v>12</v>
      </c>
      <c r="I399" s="22" t="s">
        <v>5511</v>
      </c>
      <c r="J399" s="22" t="s">
        <v>39</v>
      </c>
      <c r="K399" s="22">
        <v>5.18124073101875e+18</v>
      </c>
      <c r="L399" s="22" t="s">
        <v>1297</v>
      </c>
      <c r="M399" s="25"/>
    </row>
    <row r="400" customHeight="1" spans="1:13">
      <c r="A400" s="21">
        <v>45839</v>
      </c>
      <c r="B400" s="22" t="s">
        <v>5492</v>
      </c>
      <c r="C400" s="23">
        <v>45863</v>
      </c>
      <c r="D400" s="24">
        <v>140</v>
      </c>
      <c r="E400" s="22" t="s">
        <v>149</v>
      </c>
      <c r="F400" s="22" t="s">
        <v>7</v>
      </c>
      <c r="G400" s="22" t="s">
        <v>1429</v>
      </c>
      <c r="H400" s="22" t="s">
        <v>10</v>
      </c>
      <c r="I400" s="22" t="s">
        <v>5511</v>
      </c>
      <c r="J400" s="22" t="s">
        <v>40</v>
      </c>
      <c r="K400" s="22">
        <v>5.18123111300118e+18</v>
      </c>
      <c r="L400" s="22" t="s">
        <v>1432</v>
      </c>
      <c r="M400" s="25"/>
    </row>
    <row r="401" customHeight="1" spans="1:13">
      <c r="A401" s="21">
        <v>45839</v>
      </c>
      <c r="B401" s="22" t="s">
        <v>5492</v>
      </c>
      <c r="C401" s="23">
        <v>45863</v>
      </c>
      <c r="D401" s="24">
        <v>136.45</v>
      </c>
      <c r="E401" s="22" t="s">
        <v>139</v>
      </c>
      <c r="F401" s="22" t="s">
        <v>105</v>
      </c>
      <c r="G401" s="22" t="s">
        <v>1434</v>
      </c>
      <c r="H401" s="22" t="s">
        <v>10</v>
      </c>
      <c r="I401" s="22" t="s">
        <v>5511</v>
      </c>
      <c r="J401" s="22" t="s">
        <v>40</v>
      </c>
      <c r="K401" s="22">
        <v>5.18123111300118e+18</v>
      </c>
      <c r="L401" s="22" t="s">
        <v>1432</v>
      </c>
      <c r="M401" s="25"/>
    </row>
    <row r="402" customHeight="1" spans="1:13">
      <c r="A402" s="21">
        <v>45839</v>
      </c>
      <c r="B402" s="22" t="s">
        <v>5492</v>
      </c>
      <c r="C402" s="23">
        <v>45867</v>
      </c>
      <c r="D402" s="27">
        <v>67719.99</v>
      </c>
      <c r="E402" s="22" t="s">
        <v>149</v>
      </c>
      <c r="F402" s="22" t="s">
        <v>7</v>
      </c>
      <c r="G402" s="22" t="s">
        <v>1438</v>
      </c>
      <c r="H402" s="22" t="s">
        <v>12</v>
      </c>
      <c r="I402" s="22" t="s">
        <v>5511</v>
      </c>
      <c r="J402" s="22" t="s">
        <v>48</v>
      </c>
      <c r="K402" s="22">
        <v>5.18125070204435e+18</v>
      </c>
      <c r="L402" s="22" t="s">
        <v>1440</v>
      </c>
      <c r="M402" s="25"/>
    </row>
    <row r="403" customHeight="1" spans="1:13">
      <c r="A403" s="21">
        <v>45839</v>
      </c>
      <c r="B403" s="22" t="s">
        <v>5492</v>
      </c>
      <c r="C403" s="23">
        <v>45868</v>
      </c>
      <c r="D403" s="27">
        <v>9750</v>
      </c>
      <c r="E403" s="22" t="s">
        <v>149</v>
      </c>
      <c r="F403" s="22" t="s">
        <v>105</v>
      </c>
      <c r="G403" s="22" t="s">
        <v>1442</v>
      </c>
      <c r="H403" s="22" t="s">
        <v>11</v>
      </c>
      <c r="I403" s="22" t="s">
        <v>5511</v>
      </c>
      <c r="J403" s="22" t="s">
        <v>40</v>
      </c>
      <c r="K403" s="22">
        <v>5.18125040103975e+18</v>
      </c>
      <c r="L403" s="22" t="s">
        <v>1444</v>
      </c>
      <c r="M403" s="25"/>
    </row>
    <row r="404" customHeight="1" spans="1:13">
      <c r="A404" s="21">
        <v>45870</v>
      </c>
      <c r="B404" s="22" t="s">
        <v>5493</v>
      </c>
      <c r="C404" s="23">
        <v>45873</v>
      </c>
      <c r="D404" s="24">
        <v>320</v>
      </c>
      <c r="E404" s="22" t="s">
        <v>149</v>
      </c>
      <c r="F404" s="22" t="s">
        <v>105</v>
      </c>
      <c r="G404" s="22" t="s">
        <v>1445</v>
      </c>
      <c r="H404" s="22" t="s">
        <v>10</v>
      </c>
      <c r="I404" s="22" t="s">
        <v>5511</v>
      </c>
      <c r="J404" s="22" t="s">
        <v>40</v>
      </c>
      <c r="K404" s="22">
        <v>5.18125012103743e+18</v>
      </c>
      <c r="L404" s="22" t="s">
        <v>1377</v>
      </c>
      <c r="M404" s="25"/>
    </row>
    <row r="405" customHeight="1" spans="1:13">
      <c r="A405" s="21">
        <v>45870</v>
      </c>
      <c r="B405" s="22" t="s">
        <v>5493</v>
      </c>
      <c r="C405" s="23">
        <v>45875</v>
      </c>
      <c r="D405" s="27">
        <v>76319.99</v>
      </c>
      <c r="E405" s="22" t="s">
        <v>149</v>
      </c>
      <c r="F405" s="22" t="s">
        <v>7</v>
      </c>
      <c r="G405" s="22" t="s">
        <v>1448</v>
      </c>
      <c r="H405" s="22" t="s">
        <v>12</v>
      </c>
      <c r="I405" s="22" t="s">
        <v>5511</v>
      </c>
      <c r="J405" s="22" t="s">
        <v>48</v>
      </c>
      <c r="K405" s="22">
        <v>5.18125070204435e+18</v>
      </c>
      <c r="L405" s="22" t="s">
        <v>1440</v>
      </c>
      <c r="M405" s="25"/>
    </row>
    <row r="406" customHeight="1" spans="1:13">
      <c r="A406" s="21">
        <v>45870</v>
      </c>
      <c r="B406" s="22" t="s">
        <v>5493</v>
      </c>
      <c r="C406" s="23">
        <v>45877</v>
      </c>
      <c r="D406" s="27">
        <v>24980</v>
      </c>
      <c r="E406" s="22" t="s">
        <v>149</v>
      </c>
      <c r="F406" s="22" t="s">
        <v>105</v>
      </c>
      <c r="G406" s="22" t="s">
        <v>1449</v>
      </c>
      <c r="H406" s="22" t="s">
        <v>11</v>
      </c>
      <c r="I406" s="22" t="s">
        <v>5511</v>
      </c>
      <c r="J406" s="22" t="s">
        <v>40</v>
      </c>
      <c r="K406" s="22">
        <v>5.18125072404521e+18</v>
      </c>
      <c r="L406" s="22" t="s">
        <v>1452</v>
      </c>
      <c r="M406" s="25"/>
    </row>
    <row r="407" customHeight="1" spans="1:13">
      <c r="A407" s="21">
        <v>45870</v>
      </c>
      <c r="B407" s="22" t="s">
        <v>5493</v>
      </c>
      <c r="C407" s="23">
        <v>45882</v>
      </c>
      <c r="D407" s="27">
        <v>19500</v>
      </c>
      <c r="E407" s="22" t="s">
        <v>1062</v>
      </c>
      <c r="F407" s="22" t="s">
        <v>7</v>
      </c>
      <c r="G407" s="22" t="s">
        <v>1453</v>
      </c>
      <c r="H407" s="22" t="s">
        <v>12</v>
      </c>
      <c r="I407" s="22" t="s">
        <v>5511</v>
      </c>
      <c r="J407" s="22" t="s">
        <v>46</v>
      </c>
      <c r="K407" s="22">
        <v>5.18125061004299e+18</v>
      </c>
      <c r="L407" s="22" t="s">
        <v>1455</v>
      </c>
      <c r="M407" s="25"/>
    </row>
    <row r="408" customHeight="1" spans="1:13">
      <c r="A408" s="21">
        <v>45870</v>
      </c>
      <c r="B408" s="22" t="s">
        <v>5493</v>
      </c>
      <c r="C408" s="23">
        <v>45882</v>
      </c>
      <c r="D408" s="27">
        <v>579338.59</v>
      </c>
      <c r="E408" s="22" t="s">
        <v>173</v>
      </c>
      <c r="F408" s="22" t="s">
        <v>7</v>
      </c>
      <c r="G408" s="22" t="s">
        <v>1458</v>
      </c>
      <c r="H408" s="22" t="s">
        <v>12</v>
      </c>
      <c r="I408" s="22" t="s">
        <v>5511</v>
      </c>
      <c r="J408" s="22" t="s">
        <v>48</v>
      </c>
      <c r="K408" s="22">
        <v>5.18125061004299e+18</v>
      </c>
      <c r="L408" s="22" t="s">
        <v>1455</v>
      </c>
      <c r="M408" s="25"/>
    </row>
    <row r="409" customHeight="1" spans="1:13">
      <c r="A409" s="21">
        <v>45870</v>
      </c>
      <c r="B409" s="22" t="s">
        <v>5493</v>
      </c>
      <c r="C409" s="23">
        <v>45882</v>
      </c>
      <c r="D409" s="27">
        <v>13797.94</v>
      </c>
      <c r="E409" s="22" t="s">
        <v>173</v>
      </c>
      <c r="F409" s="22" t="s">
        <v>7</v>
      </c>
      <c r="G409" s="22" t="s">
        <v>1459</v>
      </c>
      <c r="H409" s="22" t="s">
        <v>10</v>
      </c>
      <c r="I409" s="22" t="s">
        <v>5511</v>
      </c>
      <c r="J409" s="22" t="s">
        <v>46</v>
      </c>
      <c r="K409" s="22">
        <v>5.18125061004299e+18</v>
      </c>
      <c r="L409" s="22" t="s">
        <v>1455</v>
      </c>
      <c r="M409" s="25"/>
    </row>
    <row r="410" customHeight="1" spans="1:13">
      <c r="A410" s="21">
        <v>45870</v>
      </c>
      <c r="B410" s="22" t="s">
        <v>5493</v>
      </c>
      <c r="C410" s="23">
        <v>45882</v>
      </c>
      <c r="D410" s="24">
        <v>181</v>
      </c>
      <c r="E410" s="22" t="s">
        <v>80</v>
      </c>
      <c r="F410" s="22" t="s">
        <v>105</v>
      </c>
      <c r="G410" s="22" t="s">
        <v>1463</v>
      </c>
      <c r="H410" s="22" t="s">
        <v>10</v>
      </c>
      <c r="I410" s="22" t="s">
        <v>5511</v>
      </c>
      <c r="J410" s="22" t="s">
        <v>40</v>
      </c>
      <c r="K410" s="22">
        <v>5.18125061004299e+18</v>
      </c>
      <c r="L410" s="22" t="s">
        <v>1455</v>
      </c>
      <c r="M410" s="25"/>
    </row>
    <row r="411" customHeight="1" spans="1:13">
      <c r="A411" s="21">
        <v>45870</v>
      </c>
      <c r="B411" s="22" t="s">
        <v>5493</v>
      </c>
      <c r="C411" s="23">
        <v>45882</v>
      </c>
      <c r="D411" s="27">
        <v>3800</v>
      </c>
      <c r="E411" s="22" t="s">
        <v>1466</v>
      </c>
      <c r="F411" s="22" t="s">
        <v>7</v>
      </c>
      <c r="G411" s="22" t="s">
        <v>1464</v>
      </c>
      <c r="H411" s="22" t="s">
        <v>12</v>
      </c>
      <c r="I411" s="22" t="s">
        <v>5511</v>
      </c>
      <c r="J411" s="22" t="s">
        <v>44</v>
      </c>
      <c r="K411" s="22">
        <v>5.18125061004299e+18</v>
      </c>
      <c r="L411" s="22" t="s">
        <v>1455</v>
      </c>
      <c r="M411" s="25"/>
    </row>
    <row r="412" customHeight="1" spans="1:13">
      <c r="A412" s="21">
        <v>45870</v>
      </c>
      <c r="B412" s="22" t="s">
        <v>5493</v>
      </c>
      <c r="C412" s="23">
        <v>45883</v>
      </c>
      <c r="D412" s="27">
        <v>12408.8</v>
      </c>
      <c r="E412" s="22" t="s">
        <v>173</v>
      </c>
      <c r="F412" s="22" t="s">
        <v>7</v>
      </c>
      <c r="G412" s="22" t="s">
        <v>1468</v>
      </c>
      <c r="H412" s="22" t="s">
        <v>12</v>
      </c>
      <c r="I412" s="22" t="s">
        <v>5511</v>
      </c>
      <c r="J412" s="22" t="s">
        <v>39</v>
      </c>
      <c r="K412" s="22">
        <v>5.18125071804502e+18</v>
      </c>
      <c r="L412" s="22" t="s">
        <v>1470</v>
      </c>
      <c r="M412" s="25"/>
    </row>
    <row r="413" customHeight="1" spans="1:13">
      <c r="A413" s="21">
        <v>45870</v>
      </c>
      <c r="B413" s="22" t="s">
        <v>5493</v>
      </c>
      <c r="C413" s="23">
        <v>45883</v>
      </c>
      <c r="D413" s="27">
        <v>298492.54</v>
      </c>
      <c r="E413" s="22" t="s">
        <v>173</v>
      </c>
      <c r="F413" s="22" t="s">
        <v>105</v>
      </c>
      <c r="G413" s="22" t="s">
        <v>5524</v>
      </c>
      <c r="H413" s="22" t="s">
        <v>11</v>
      </c>
      <c r="I413" s="22" t="s">
        <v>5511</v>
      </c>
      <c r="J413" s="22" t="s">
        <v>48</v>
      </c>
      <c r="K413" s="22">
        <v>5.18125071804502e+18</v>
      </c>
      <c r="L413" s="22" t="s">
        <v>1470</v>
      </c>
      <c r="M413" s="25"/>
    </row>
    <row r="414" customHeight="1" spans="1:13">
      <c r="A414" s="21">
        <v>45870</v>
      </c>
      <c r="B414" s="22" t="s">
        <v>5495</v>
      </c>
      <c r="C414" s="23">
        <v>45888</v>
      </c>
      <c r="D414" s="27">
        <v>298492.54</v>
      </c>
      <c r="E414" s="22" t="s">
        <v>173</v>
      </c>
      <c r="F414" s="22" t="s">
        <v>7</v>
      </c>
      <c r="G414" s="22" t="s">
        <v>1476</v>
      </c>
      <c r="H414" s="22" t="s">
        <v>11</v>
      </c>
      <c r="I414" s="22" t="s">
        <v>5511</v>
      </c>
      <c r="J414" s="22" t="s">
        <v>48</v>
      </c>
      <c r="K414" s="22">
        <v>5.18124081302096e+18</v>
      </c>
      <c r="L414" s="22" t="s">
        <v>1474</v>
      </c>
      <c r="M414" s="25"/>
    </row>
    <row r="415" customHeight="1" spans="1:13">
      <c r="A415" s="21">
        <v>45870</v>
      </c>
      <c r="B415" s="22" t="s">
        <v>5495</v>
      </c>
      <c r="C415" s="23">
        <v>45889</v>
      </c>
      <c r="D415" s="27">
        <v>6165.7</v>
      </c>
      <c r="E415" s="22" t="s">
        <v>173</v>
      </c>
      <c r="F415" s="22" t="s">
        <v>7</v>
      </c>
      <c r="G415" s="22" t="s">
        <v>1478</v>
      </c>
      <c r="H415" s="22" t="s">
        <v>12</v>
      </c>
      <c r="I415" s="22" t="s">
        <v>5511</v>
      </c>
      <c r="J415" s="22" t="s">
        <v>48</v>
      </c>
      <c r="K415" s="22">
        <v>5.18123122800158e+18</v>
      </c>
      <c r="L415" s="22" t="s">
        <v>1211</v>
      </c>
      <c r="M415" s="25"/>
    </row>
    <row r="416" customHeight="1" spans="1:13">
      <c r="A416" s="21">
        <v>45870</v>
      </c>
      <c r="B416" s="22" t="s">
        <v>5495</v>
      </c>
      <c r="C416" s="23">
        <v>45889</v>
      </c>
      <c r="D416" s="27">
        <v>2110</v>
      </c>
      <c r="E416" s="22" t="s">
        <v>173</v>
      </c>
      <c r="F416" s="22" t="s">
        <v>105</v>
      </c>
      <c r="G416" s="22" t="s">
        <v>1480</v>
      </c>
      <c r="H416" s="22" t="s">
        <v>12</v>
      </c>
      <c r="I416" s="22" t="s">
        <v>5511</v>
      </c>
      <c r="J416" s="22" t="s">
        <v>39</v>
      </c>
      <c r="K416" s="22">
        <v>5.18123122800158e+18</v>
      </c>
      <c r="L416" s="22" t="s">
        <v>1211</v>
      </c>
      <c r="M416" s="25"/>
    </row>
    <row r="417" customHeight="1" spans="1:13">
      <c r="A417" s="21">
        <v>45870</v>
      </c>
      <c r="B417" s="22" t="s">
        <v>5495</v>
      </c>
      <c r="C417" s="23">
        <v>45889</v>
      </c>
      <c r="D417" s="27">
        <v>121593</v>
      </c>
      <c r="E417" s="22" t="s">
        <v>173</v>
      </c>
      <c r="F417" s="22" t="s">
        <v>105</v>
      </c>
      <c r="G417" s="22" t="s">
        <v>1481</v>
      </c>
      <c r="H417" s="22" t="s">
        <v>11</v>
      </c>
      <c r="I417" s="22" t="s">
        <v>5511</v>
      </c>
      <c r="J417" s="22" t="s">
        <v>39</v>
      </c>
      <c r="K417" s="22">
        <v>5.18123122800158e+18</v>
      </c>
      <c r="L417" s="22" t="s">
        <v>1211</v>
      </c>
      <c r="M417" s="25"/>
    </row>
    <row r="418" customHeight="1" spans="1:13">
      <c r="A418" s="21">
        <v>45870</v>
      </c>
      <c r="B418" s="22" t="s">
        <v>5495</v>
      </c>
      <c r="C418" s="23">
        <v>45890</v>
      </c>
      <c r="D418" s="27">
        <v>32515.48</v>
      </c>
      <c r="E418" s="22" t="s">
        <v>173</v>
      </c>
      <c r="F418" s="22" t="s">
        <v>7</v>
      </c>
      <c r="G418" s="22" t="s">
        <v>1483</v>
      </c>
      <c r="H418" s="22" t="s">
        <v>12</v>
      </c>
      <c r="I418" s="22" t="s">
        <v>5511</v>
      </c>
      <c r="J418" s="22" t="s">
        <v>48</v>
      </c>
      <c r="K418" s="22">
        <v>5.18125051304145e+18</v>
      </c>
      <c r="L418" s="22" t="s">
        <v>1485</v>
      </c>
      <c r="M418" s="25"/>
    </row>
    <row r="419" customHeight="1" spans="1:13">
      <c r="A419" s="21">
        <v>45870</v>
      </c>
      <c r="B419" s="22" t="s">
        <v>5495</v>
      </c>
      <c r="C419" s="23">
        <v>45890</v>
      </c>
      <c r="D419" s="27">
        <v>2385.5</v>
      </c>
      <c r="E419" s="22" t="s">
        <v>173</v>
      </c>
      <c r="F419" s="22" t="s">
        <v>105</v>
      </c>
      <c r="G419" s="22" t="s">
        <v>1489</v>
      </c>
      <c r="H419" s="22" t="s">
        <v>12</v>
      </c>
      <c r="I419" s="22" t="s">
        <v>5511</v>
      </c>
      <c r="J419" s="22" t="s">
        <v>39</v>
      </c>
      <c r="K419" s="22">
        <v>5.18125051304145e+18</v>
      </c>
      <c r="L419" s="22" t="s">
        <v>1485</v>
      </c>
      <c r="M419" s="25"/>
    </row>
    <row r="420" customHeight="1" spans="1:13">
      <c r="A420" s="21">
        <v>45870</v>
      </c>
      <c r="B420" s="22" t="s">
        <v>5495</v>
      </c>
      <c r="C420" s="23">
        <v>45890</v>
      </c>
      <c r="D420" s="27">
        <v>4000000</v>
      </c>
      <c r="E420" s="22" t="s">
        <v>1172</v>
      </c>
      <c r="F420" s="22" t="s">
        <v>7</v>
      </c>
      <c r="G420" s="22" t="s">
        <v>1491</v>
      </c>
      <c r="H420" s="22" t="s">
        <v>10</v>
      </c>
      <c r="I420" s="22" t="s">
        <v>5511</v>
      </c>
      <c r="J420" s="22" t="s">
        <v>44</v>
      </c>
      <c r="K420" s="22">
        <v>5.18125051304145e+18</v>
      </c>
      <c r="L420" s="22" t="s">
        <v>1485</v>
      </c>
      <c r="M420" s="25"/>
    </row>
    <row r="421" customHeight="1" spans="1:13">
      <c r="A421" s="21">
        <v>45870</v>
      </c>
      <c r="B421" s="22" t="s">
        <v>5495</v>
      </c>
      <c r="C421" s="23">
        <v>45891</v>
      </c>
      <c r="D421" s="27">
        <v>48659.48</v>
      </c>
      <c r="E421" s="22" t="s">
        <v>173</v>
      </c>
      <c r="F421" s="22" t="s">
        <v>7</v>
      </c>
      <c r="G421" s="22" t="s">
        <v>1495</v>
      </c>
      <c r="H421" s="22" t="s">
        <v>10</v>
      </c>
      <c r="I421" s="22" t="s">
        <v>5511</v>
      </c>
      <c r="J421" s="22" t="s">
        <v>44</v>
      </c>
      <c r="K421" s="22">
        <v>5.18124122903695e+18</v>
      </c>
      <c r="L421" s="22" t="s">
        <v>1170</v>
      </c>
      <c r="M421" s="25"/>
    </row>
    <row r="422" customHeight="1" spans="1:13">
      <c r="A422" s="21">
        <v>45870</v>
      </c>
      <c r="B422" s="22" t="s">
        <v>5495</v>
      </c>
      <c r="C422" s="23">
        <v>45891</v>
      </c>
      <c r="D422" s="24">
        <v>100</v>
      </c>
      <c r="E422" s="22" t="s">
        <v>139</v>
      </c>
      <c r="F422" s="22" t="s">
        <v>105</v>
      </c>
      <c r="G422" s="22" t="s">
        <v>1497</v>
      </c>
      <c r="H422" s="22" t="s">
        <v>10</v>
      </c>
      <c r="I422" s="22" t="s">
        <v>5511</v>
      </c>
      <c r="J422" s="22" t="s">
        <v>39</v>
      </c>
      <c r="K422" s="22">
        <v>5.18124122903695e+18</v>
      </c>
      <c r="L422" s="22" t="s">
        <v>1170</v>
      </c>
      <c r="M422" s="25"/>
    </row>
    <row r="423" customHeight="1" spans="1:13">
      <c r="A423" s="21">
        <v>45870</v>
      </c>
      <c r="B423" s="22" t="s">
        <v>5495</v>
      </c>
      <c r="C423" s="23">
        <v>45895</v>
      </c>
      <c r="D423" s="27">
        <v>6165.7</v>
      </c>
      <c r="E423" s="22" t="s">
        <v>173</v>
      </c>
      <c r="F423" s="22" t="s">
        <v>105</v>
      </c>
      <c r="G423" s="22" t="s">
        <v>1499</v>
      </c>
      <c r="H423" s="22" t="s">
        <v>12</v>
      </c>
      <c r="I423" s="22" t="s">
        <v>5511</v>
      </c>
      <c r="J423" s="22" t="s">
        <v>48</v>
      </c>
      <c r="K423" s="22">
        <v>5.18123122800158e+18</v>
      </c>
      <c r="L423" s="22" t="s">
        <v>1211</v>
      </c>
      <c r="M423" s="25"/>
    </row>
    <row r="424" customHeight="1" spans="1:13">
      <c r="A424" s="21">
        <v>45870</v>
      </c>
      <c r="B424" s="22" t="s">
        <v>5495</v>
      </c>
      <c r="C424" s="23">
        <v>45896</v>
      </c>
      <c r="D424" s="27">
        <v>398391.43</v>
      </c>
      <c r="E424" s="22" t="s">
        <v>173</v>
      </c>
      <c r="F424" s="22" t="s">
        <v>105</v>
      </c>
      <c r="G424" s="22" t="s">
        <v>5525</v>
      </c>
      <c r="H424" s="22" t="s">
        <v>11</v>
      </c>
      <c r="I424" s="22" t="s">
        <v>5511</v>
      </c>
      <c r="J424" s="22" t="s">
        <v>39</v>
      </c>
      <c r="K424" s="22">
        <v>5.18124081302096e+18</v>
      </c>
      <c r="L424" s="22" t="s">
        <v>1474</v>
      </c>
      <c r="M424" s="25"/>
    </row>
    <row r="425" customHeight="1" spans="1:13">
      <c r="A425" s="21">
        <v>45870</v>
      </c>
      <c r="B425" s="22" t="s">
        <v>5495</v>
      </c>
      <c r="C425" s="23">
        <v>45896</v>
      </c>
      <c r="D425" s="27">
        <v>298789.84</v>
      </c>
      <c r="E425" s="22" t="s">
        <v>173</v>
      </c>
      <c r="F425" s="22" t="s">
        <v>105</v>
      </c>
      <c r="G425" s="22" t="s">
        <v>5526</v>
      </c>
      <c r="H425" s="22" t="s">
        <v>11</v>
      </c>
      <c r="I425" s="22" t="s">
        <v>5511</v>
      </c>
      <c r="J425" s="22" t="s">
        <v>39</v>
      </c>
      <c r="K425" s="22">
        <v>5.18124081302096e+18</v>
      </c>
      <c r="L425" s="22" t="s">
        <v>1474</v>
      </c>
      <c r="M425" s="25"/>
    </row>
    <row r="426" customHeight="1" spans="1:13">
      <c r="A426" s="21">
        <v>45870</v>
      </c>
      <c r="B426" s="22" t="s">
        <v>5495</v>
      </c>
      <c r="C426" s="23">
        <v>45896</v>
      </c>
      <c r="D426" s="27">
        <v>54894.75</v>
      </c>
      <c r="E426" s="22" t="s">
        <v>173</v>
      </c>
      <c r="F426" s="22" t="s">
        <v>7</v>
      </c>
      <c r="G426" s="22" t="s">
        <v>1505</v>
      </c>
      <c r="H426" s="22" t="s">
        <v>10</v>
      </c>
      <c r="I426" s="22" t="s">
        <v>5511</v>
      </c>
      <c r="J426" s="22" t="s">
        <v>51</v>
      </c>
      <c r="K426" s="22">
        <v>5.18124081302096e+18</v>
      </c>
      <c r="L426" s="22" t="s">
        <v>1474</v>
      </c>
      <c r="M426" s="25"/>
    </row>
    <row r="427" customHeight="1" spans="1:13">
      <c r="A427" s="21">
        <v>45901</v>
      </c>
      <c r="B427" s="22" t="s">
        <v>5497</v>
      </c>
      <c r="C427" s="23">
        <v>45902</v>
      </c>
      <c r="D427" s="27">
        <v>72422.43</v>
      </c>
      <c r="E427" s="22" t="s">
        <v>1062</v>
      </c>
      <c r="F427" s="22" t="s">
        <v>105</v>
      </c>
      <c r="G427" s="22" t="s">
        <v>1510</v>
      </c>
      <c r="H427" s="22" t="s">
        <v>12</v>
      </c>
      <c r="I427" s="22" t="s">
        <v>5511</v>
      </c>
      <c r="J427" s="22" t="s">
        <v>46</v>
      </c>
      <c r="K427" s="22">
        <v>5.18125061304333e+18</v>
      </c>
      <c r="L427" s="22" t="s">
        <v>1512</v>
      </c>
      <c r="M427" s="25"/>
    </row>
    <row r="428" customHeight="1" spans="1:13">
      <c r="A428" s="21">
        <v>45901</v>
      </c>
      <c r="B428" s="22" t="s">
        <v>5497</v>
      </c>
      <c r="C428" s="23">
        <v>45902</v>
      </c>
      <c r="D428" s="24">
        <v>275.31</v>
      </c>
      <c r="E428" s="22" t="s">
        <v>149</v>
      </c>
      <c r="F428" s="22" t="s">
        <v>7</v>
      </c>
      <c r="G428" s="22" t="s">
        <v>1515</v>
      </c>
      <c r="H428" s="22" t="s">
        <v>10</v>
      </c>
      <c r="I428" s="22" t="s">
        <v>5511</v>
      </c>
      <c r="J428" s="22" t="s">
        <v>40</v>
      </c>
      <c r="K428" s="22">
        <v>5.18125061304333e+18</v>
      </c>
      <c r="L428" s="22" t="s">
        <v>1512</v>
      </c>
      <c r="M428" s="25"/>
    </row>
    <row r="429" customHeight="1" spans="1:13">
      <c r="A429" s="21">
        <v>45901</v>
      </c>
      <c r="B429" s="22" t="s">
        <v>5497</v>
      </c>
      <c r="C429" s="23">
        <v>45902</v>
      </c>
      <c r="D429" s="27">
        <v>6165.7</v>
      </c>
      <c r="E429" s="22" t="s">
        <v>173</v>
      </c>
      <c r="F429" s="22" t="s">
        <v>105</v>
      </c>
      <c r="G429" s="22" t="s">
        <v>1517</v>
      </c>
      <c r="H429" s="22" t="s">
        <v>12</v>
      </c>
      <c r="I429" s="22" t="s">
        <v>5511</v>
      </c>
      <c r="J429" s="22" t="s">
        <v>39</v>
      </c>
      <c r="K429" s="22">
        <v>5.18125061304333e+18</v>
      </c>
      <c r="L429" s="22" t="s">
        <v>1512</v>
      </c>
      <c r="M429" s="25"/>
    </row>
    <row r="430" customHeight="1" spans="1:13">
      <c r="A430" s="21">
        <v>45901</v>
      </c>
      <c r="B430" s="22" t="s">
        <v>5497</v>
      </c>
      <c r="C430" s="23">
        <v>45903</v>
      </c>
      <c r="D430" s="27">
        <v>26262.22</v>
      </c>
      <c r="E430" s="22" t="s">
        <v>173</v>
      </c>
      <c r="F430" s="22" t="s">
        <v>7</v>
      </c>
      <c r="G430" s="22" t="s">
        <v>1518</v>
      </c>
      <c r="H430" s="22" t="s">
        <v>12</v>
      </c>
      <c r="I430" s="22" t="s">
        <v>5511</v>
      </c>
      <c r="J430" s="22" t="s">
        <v>46</v>
      </c>
      <c r="K430" s="22">
        <v>5.18125061004299e+18</v>
      </c>
      <c r="L430" s="22" t="s">
        <v>1520</v>
      </c>
      <c r="M430" s="25"/>
    </row>
    <row r="431" customHeight="1" spans="1:13">
      <c r="A431" s="21">
        <v>45901</v>
      </c>
      <c r="B431" s="22" t="s">
        <v>5497</v>
      </c>
      <c r="C431" s="23">
        <v>45903</v>
      </c>
      <c r="D431" s="27">
        <v>81178.74</v>
      </c>
      <c r="E431" s="22" t="s">
        <v>149</v>
      </c>
      <c r="F431" s="22" t="s">
        <v>7</v>
      </c>
      <c r="G431" s="22" t="s">
        <v>1522</v>
      </c>
      <c r="H431" s="22" t="s">
        <v>12</v>
      </c>
      <c r="I431" s="22" t="s">
        <v>5511</v>
      </c>
      <c r="J431" s="22" t="s">
        <v>48</v>
      </c>
      <c r="K431" s="22">
        <v>5.18125061004299e+18</v>
      </c>
      <c r="L431" s="22" t="s">
        <v>1520</v>
      </c>
      <c r="M431" s="25"/>
    </row>
    <row r="432" customHeight="1" spans="1:13">
      <c r="A432" s="21">
        <v>45901</v>
      </c>
      <c r="B432" s="22" t="s">
        <v>5497</v>
      </c>
      <c r="C432" s="23">
        <v>45904</v>
      </c>
      <c r="D432" s="24">
        <v>150</v>
      </c>
      <c r="E432" s="22" t="s">
        <v>139</v>
      </c>
      <c r="F432" s="22" t="s">
        <v>105</v>
      </c>
      <c r="G432" s="22" t="s">
        <v>1525</v>
      </c>
      <c r="H432" s="22" t="s">
        <v>10</v>
      </c>
      <c r="I432" s="22" t="s">
        <v>5511</v>
      </c>
      <c r="J432" s="22" t="s">
        <v>40</v>
      </c>
      <c r="K432" s="22">
        <v>5.18125012103743e+18</v>
      </c>
      <c r="L432" s="22" t="s">
        <v>1528</v>
      </c>
      <c r="M432" s="25"/>
    </row>
    <row r="433" customHeight="1" spans="1:13">
      <c r="A433" s="21">
        <v>45901</v>
      </c>
      <c r="B433" s="22" t="s">
        <v>5497</v>
      </c>
      <c r="C433" s="23">
        <v>45904</v>
      </c>
      <c r="D433" s="27">
        <v>19978.7</v>
      </c>
      <c r="E433" s="22" t="s">
        <v>149</v>
      </c>
      <c r="F433" s="22" t="s">
        <v>105</v>
      </c>
      <c r="G433" s="22" t="s">
        <v>1530</v>
      </c>
      <c r="H433" s="22" t="s">
        <v>11</v>
      </c>
      <c r="I433" s="22" t="s">
        <v>5511</v>
      </c>
      <c r="J433" s="22" t="s">
        <v>40</v>
      </c>
      <c r="K433" s="22">
        <v>5.18125012103743e+18</v>
      </c>
      <c r="L433" s="22" t="s">
        <v>1528</v>
      </c>
      <c r="M433" s="25"/>
    </row>
    <row r="434" customHeight="1" spans="1:13">
      <c r="A434" s="21">
        <v>45901</v>
      </c>
      <c r="B434" s="22" t="s">
        <v>5497</v>
      </c>
      <c r="C434" s="23">
        <v>45905</v>
      </c>
      <c r="D434" s="27">
        <v>17050</v>
      </c>
      <c r="E434" s="22" t="s">
        <v>173</v>
      </c>
      <c r="F434" s="22" t="s">
        <v>7</v>
      </c>
      <c r="G434" s="22" t="s">
        <v>1533</v>
      </c>
      <c r="H434" s="22" t="s">
        <v>11</v>
      </c>
      <c r="I434" s="22" t="s">
        <v>5511</v>
      </c>
      <c r="J434" s="22" t="s">
        <v>48</v>
      </c>
      <c r="K434" s="22">
        <v>5.18125061704361e+18</v>
      </c>
      <c r="L434" s="22" t="s">
        <v>1535</v>
      </c>
      <c r="M434" s="25"/>
    </row>
    <row r="435" customHeight="1" spans="1:13">
      <c r="A435" s="21">
        <v>45901</v>
      </c>
      <c r="B435" s="22" t="s">
        <v>5497</v>
      </c>
      <c r="C435" s="23">
        <v>45908</v>
      </c>
      <c r="D435" s="27">
        <v>6165.7</v>
      </c>
      <c r="E435" s="22" t="s">
        <v>173</v>
      </c>
      <c r="F435" s="22" t="s">
        <v>105</v>
      </c>
      <c r="G435" s="22" t="s">
        <v>1539</v>
      </c>
      <c r="H435" s="22" t="s">
        <v>12</v>
      </c>
      <c r="I435" s="22" t="s">
        <v>5511</v>
      </c>
      <c r="J435" s="22" t="s">
        <v>39</v>
      </c>
      <c r="K435" s="22">
        <v>5.18123122800158e+18</v>
      </c>
      <c r="L435" s="22" t="s">
        <v>1211</v>
      </c>
      <c r="M435" s="25"/>
    </row>
    <row r="436" customHeight="1" spans="1:13">
      <c r="A436" s="21">
        <v>45901</v>
      </c>
      <c r="B436" s="22" t="s">
        <v>5497</v>
      </c>
      <c r="C436" s="23">
        <v>45909</v>
      </c>
      <c r="D436" s="27">
        <v>5800</v>
      </c>
      <c r="E436" s="22" t="s">
        <v>149</v>
      </c>
      <c r="F436" s="22" t="s">
        <v>105</v>
      </c>
      <c r="G436" s="22" t="s">
        <v>1541</v>
      </c>
      <c r="H436" s="22" t="s">
        <v>11</v>
      </c>
      <c r="I436" s="22" t="s">
        <v>5511</v>
      </c>
      <c r="J436" s="22" t="s">
        <v>40</v>
      </c>
      <c r="K436" s="22">
        <v>5.18125081904646e+18</v>
      </c>
      <c r="L436" s="22" t="s">
        <v>1544</v>
      </c>
      <c r="M436" s="25"/>
    </row>
    <row r="437" customHeight="1" spans="1:13">
      <c r="A437" s="21">
        <v>45901</v>
      </c>
      <c r="B437" s="22" t="s">
        <v>5497</v>
      </c>
      <c r="C437" s="23">
        <v>45909</v>
      </c>
      <c r="D437" s="27">
        <v>41631.49</v>
      </c>
      <c r="E437" s="22" t="s">
        <v>149</v>
      </c>
      <c r="F437" s="22" t="s">
        <v>105</v>
      </c>
      <c r="G437" s="22" t="s">
        <v>1545</v>
      </c>
      <c r="H437" s="22" t="s">
        <v>12</v>
      </c>
      <c r="I437" s="22" t="s">
        <v>5511</v>
      </c>
      <c r="J437" s="22" t="s">
        <v>48</v>
      </c>
      <c r="K437" s="22">
        <v>5.18125081904646e+18</v>
      </c>
      <c r="L437" s="22" t="s">
        <v>1544</v>
      </c>
      <c r="M437" s="25"/>
    </row>
    <row r="438" customHeight="1" spans="1:13">
      <c r="A438" s="21">
        <v>45901</v>
      </c>
      <c r="B438" s="22" t="s">
        <v>5497</v>
      </c>
      <c r="C438" s="23">
        <v>45910</v>
      </c>
      <c r="D438" s="27">
        <v>206274.6</v>
      </c>
      <c r="E438" s="22" t="s">
        <v>1062</v>
      </c>
      <c r="F438" s="22" t="s">
        <v>7</v>
      </c>
      <c r="G438" s="22" t="s">
        <v>1547</v>
      </c>
      <c r="H438" s="22" t="s">
        <v>12</v>
      </c>
      <c r="I438" s="22" t="s">
        <v>5511</v>
      </c>
      <c r="J438" s="22" t="s">
        <v>48</v>
      </c>
      <c r="K438" s="22">
        <v>5.18123060200019e+18</v>
      </c>
      <c r="L438" s="22" t="s">
        <v>1072</v>
      </c>
      <c r="M438" s="25"/>
    </row>
    <row r="439" customHeight="1" spans="1:13">
      <c r="A439" s="21">
        <v>45901</v>
      </c>
      <c r="B439" s="22" t="s">
        <v>5497</v>
      </c>
      <c r="C439" s="23">
        <v>45910</v>
      </c>
      <c r="D439" s="24">
        <v>445</v>
      </c>
      <c r="E439" s="22" t="s">
        <v>149</v>
      </c>
      <c r="F439" s="22" t="s">
        <v>105</v>
      </c>
      <c r="G439" s="22" t="s">
        <v>1549</v>
      </c>
      <c r="H439" s="22" t="s">
        <v>10</v>
      </c>
      <c r="I439" s="22" t="s">
        <v>5511</v>
      </c>
      <c r="J439" s="22" t="s">
        <v>40</v>
      </c>
      <c r="K439" s="22">
        <v>5.18123060200019e+18</v>
      </c>
      <c r="L439" s="22" t="s">
        <v>1072</v>
      </c>
      <c r="M439" s="25"/>
    </row>
    <row r="440" customHeight="1" spans="1:13">
      <c r="A440" s="21">
        <v>45901</v>
      </c>
      <c r="B440" s="22" t="s">
        <v>5497</v>
      </c>
      <c r="C440" s="23">
        <v>45910</v>
      </c>
      <c r="D440" s="24">
        <v>29.91</v>
      </c>
      <c r="E440" s="22" t="s">
        <v>139</v>
      </c>
      <c r="F440" s="22" t="s">
        <v>105</v>
      </c>
      <c r="G440" s="22" t="s">
        <v>1554</v>
      </c>
      <c r="H440" s="22" t="s">
        <v>10</v>
      </c>
      <c r="I440" s="22" t="s">
        <v>5511</v>
      </c>
      <c r="J440" s="22" t="s">
        <v>40</v>
      </c>
      <c r="K440" s="22">
        <v>5.18123060200019e+18</v>
      </c>
      <c r="L440" s="22" t="s">
        <v>1072</v>
      </c>
      <c r="M440" s="25"/>
    </row>
    <row r="441" customHeight="1" spans="1:13">
      <c r="A441" s="21">
        <v>45901</v>
      </c>
      <c r="B441" s="22" t="s">
        <v>5497</v>
      </c>
      <c r="C441" s="23">
        <v>45915</v>
      </c>
      <c r="D441" s="27">
        <v>290000</v>
      </c>
      <c r="E441" s="22" t="s">
        <v>173</v>
      </c>
      <c r="F441" s="22" t="s">
        <v>105</v>
      </c>
      <c r="G441" s="22" t="s">
        <v>1558</v>
      </c>
      <c r="H441" s="22" t="s">
        <v>11</v>
      </c>
      <c r="I441" s="22" t="s">
        <v>5511</v>
      </c>
      <c r="J441" s="22" t="s">
        <v>48</v>
      </c>
      <c r="K441" s="22">
        <v>5.18125060404246e+18</v>
      </c>
      <c r="L441" s="22" t="s">
        <v>1560</v>
      </c>
      <c r="M441" s="25"/>
    </row>
    <row r="442" customHeight="1" spans="1:13">
      <c r="A442" s="21">
        <v>45901</v>
      </c>
      <c r="B442" s="22" t="s">
        <v>5497</v>
      </c>
      <c r="C442" s="23">
        <v>45915</v>
      </c>
      <c r="D442" s="27">
        <v>146530</v>
      </c>
      <c r="E442" s="22" t="s">
        <v>1567</v>
      </c>
      <c r="F442" s="22" t="s">
        <v>7</v>
      </c>
      <c r="G442" s="22" t="s">
        <v>1563</v>
      </c>
      <c r="H442" s="22" t="s">
        <v>12</v>
      </c>
      <c r="I442" s="22" t="s">
        <v>5511</v>
      </c>
      <c r="J442" s="22" t="s">
        <v>48</v>
      </c>
      <c r="K442" s="22">
        <v>5.18125060404246e+18</v>
      </c>
      <c r="L442" s="22" t="s">
        <v>1560</v>
      </c>
      <c r="M442" s="25"/>
    </row>
    <row r="443" customHeight="1" spans="1:13">
      <c r="A443" s="21">
        <v>45901</v>
      </c>
      <c r="B443" s="22" t="s">
        <v>5499</v>
      </c>
      <c r="C443" s="23">
        <v>45916</v>
      </c>
      <c r="D443" s="27">
        <v>5008.71</v>
      </c>
      <c r="E443" s="22" t="s">
        <v>149</v>
      </c>
      <c r="F443" s="22" t="s">
        <v>7</v>
      </c>
      <c r="G443" s="22" t="s">
        <v>1569</v>
      </c>
      <c r="H443" s="22" t="s">
        <v>11</v>
      </c>
      <c r="I443" s="22" t="s">
        <v>5511</v>
      </c>
      <c r="J443" s="22" t="s">
        <v>52</v>
      </c>
      <c r="K443" s="22">
        <v>5.18125090204716e+18</v>
      </c>
      <c r="L443" s="22" t="s">
        <v>1572</v>
      </c>
      <c r="M443" s="25"/>
    </row>
    <row r="444" customHeight="1" spans="1:13">
      <c r="A444" s="21">
        <v>45901</v>
      </c>
      <c r="B444" s="22" t="s">
        <v>5499</v>
      </c>
      <c r="C444" s="23">
        <v>45916</v>
      </c>
      <c r="D444" s="27">
        <v>45580.32</v>
      </c>
      <c r="E444" s="22" t="s">
        <v>149</v>
      </c>
      <c r="F444" s="22" t="s">
        <v>7</v>
      </c>
      <c r="G444" s="22" t="s">
        <v>1574</v>
      </c>
      <c r="H444" s="22" t="s">
        <v>12</v>
      </c>
      <c r="I444" s="22" t="s">
        <v>5511</v>
      </c>
      <c r="J444" s="22" t="s">
        <v>48</v>
      </c>
      <c r="K444" s="22">
        <v>5.18125090204716e+18</v>
      </c>
      <c r="L444" s="22" t="s">
        <v>1572</v>
      </c>
      <c r="M444" s="25"/>
    </row>
    <row r="445" customHeight="1" spans="1:13">
      <c r="A445" s="21">
        <v>45901</v>
      </c>
      <c r="B445" s="22" t="s">
        <v>5499</v>
      </c>
      <c r="C445" s="23">
        <v>45917</v>
      </c>
      <c r="D445" s="27">
        <v>72288.19</v>
      </c>
      <c r="E445" s="22" t="s">
        <v>173</v>
      </c>
      <c r="F445" s="22" t="s">
        <v>7</v>
      </c>
      <c r="G445" s="22" t="s">
        <v>1576</v>
      </c>
      <c r="H445" s="22" t="s">
        <v>12</v>
      </c>
      <c r="I445" s="22" t="s">
        <v>5511</v>
      </c>
      <c r="J445" s="22" t="s">
        <v>48</v>
      </c>
      <c r="K445" s="22">
        <v>5.18123060200019e+18</v>
      </c>
      <c r="L445" s="22" t="s">
        <v>1072</v>
      </c>
      <c r="M445" s="25"/>
    </row>
    <row r="446" customHeight="1" spans="1:13">
      <c r="A446" s="21">
        <v>45901</v>
      </c>
      <c r="B446" s="22" t="s">
        <v>5499</v>
      </c>
      <c r="C446" s="23">
        <v>45917</v>
      </c>
      <c r="D446" s="27">
        <v>9765</v>
      </c>
      <c r="E446" s="22" t="s">
        <v>173</v>
      </c>
      <c r="F446" s="22" t="s">
        <v>7</v>
      </c>
      <c r="G446" s="22" t="s">
        <v>1579</v>
      </c>
      <c r="H446" s="22" t="s">
        <v>11</v>
      </c>
      <c r="I446" s="22" t="s">
        <v>5511</v>
      </c>
      <c r="J446" s="22" t="s">
        <v>44</v>
      </c>
      <c r="K446" s="22">
        <v>5.18123060200019e+18</v>
      </c>
      <c r="L446" s="22" t="s">
        <v>1072</v>
      </c>
      <c r="M446" s="25"/>
    </row>
    <row r="447" customHeight="1" spans="1:13">
      <c r="A447" s="21">
        <v>45901</v>
      </c>
      <c r="B447" s="22" t="s">
        <v>5499</v>
      </c>
      <c r="C447" s="23">
        <v>45918</v>
      </c>
      <c r="D447" s="27">
        <v>99000</v>
      </c>
      <c r="E447" s="22" t="s">
        <v>1062</v>
      </c>
      <c r="F447" s="22" t="s">
        <v>7</v>
      </c>
      <c r="G447" s="22" t="s">
        <v>1583</v>
      </c>
      <c r="H447" s="22" t="s">
        <v>12</v>
      </c>
      <c r="I447" s="22" t="s">
        <v>5511</v>
      </c>
      <c r="J447" s="22" t="s">
        <v>48</v>
      </c>
      <c r="K447" s="22">
        <v>5.18123060200019e+18</v>
      </c>
      <c r="L447" s="22" t="s">
        <v>1072</v>
      </c>
      <c r="M447" s="25"/>
    </row>
    <row r="448" customHeight="1" spans="1:13">
      <c r="A448" s="21">
        <v>45901</v>
      </c>
      <c r="B448" s="22" t="s">
        <v>5499</v>
      </c>
      <c r="C448" s="23">
        <v>45918</v>
      </c>
      <c r="D448" s="27">
        <v>36350000</v>
      </c>
      <c r="E448" s="22" t="s">
        <v>1172</v>
      </c>
      <c r="F448" s="22" t="s">
        <v>105</v>
      </c>
      <c r="G448" s="22" t="s">
        <v>1587</v>
      </c>
      <c r="H448" s="22" t="s">
        <v>10</v>
      </c>
      <c r="I448" s="22" t="s">
        <v>5511</v>
      </c>
      <c r="J448" s="22" t="s">
        <v>44</v>
      </c>
      <c r="K448" s="22">
        <v>5.18123060200019e+18</v>
      </c>
      <c r="L448" s="22" t="s">
        <v>1072</v>
      </c>
      <c r="M448" s="25"/>
    </row>
    <row r="449" customHeight="1" spans="1:13">
      <c r="A449" s="21">
        <v>45901</v>
      </c>
      <c r="B449" s="22" t="s">
        <v>5499</v>
      </c>
      <c r="C449" s="23">
        <v>45919</v>
      </c>
      <c r="D449" s="27">
        <v>50127.6</v>
      </c>
      <c r="E449" s="22" t="s">
        <v>149</v>
      </c>
      <c r="F449" s="22" t="s">
        <v>7</v>
      </c>
      <c r="G449" s="22" t="s">
        <v>1588</v>
      </c>
      <c r="H449" s="22" t="s">
        <v>12</v>
      </c>
      <c r="I449" s="22" t="s">
        <v>5511</v>
      </c>
      <c r="J449" s="22" t="s">
        <v>48</v>
      </c>
      <c r="K449" s="22">
        <v>5.18123060200019e+18</v>
      </c>
      <c r="L449" s="22" t="s">
        <v>1072</v>
      </c>
      <c r="M449" s="25"/>
    </row>
    <row r="450" customHeight="1" spans="1:13">
      <c r="A450" s="21">
        <v>45901</v>
      </c>
      <c r="B450" s="22" t="s">
        <v>5499</v>
      </c>
      <c r="C450" s="23">
        <v>45922</v>
      </c>
      <c r="D450" s="27">
        <v>36039.2</v>
      </c>
      <c r="E450" s="22" t="s">
        <v>149</v>
      </c>
      <c r="F450" s="22" t="s">
        <v>7</v>
      </c>
      <c r="G450" s="22" t="s">
        <v>1590</v>
      </c>
      <c r="H450" s="22" t="s">
        <v>11</v>
      </c>
      <c r="I450" s="22" t="s">
        <v>5511</v>
      </c>
      <c r="J450" s="22" t="s">
        <v>52</v>
      </c>
      <c r="K450" s="22">
        <v>5.18124111603548e+18</v>
      </c>
      <c r="L450" s="22" t="s">
        <v>1593</v>
      </c>
      <c r="M450" s="25"/>
    </row>
    <row r="451" customHeight="1" spans="1:13">
      <c r="A451" s="21">
        <v>45901</v>
      </c>
      <c r="B451" s="22" t="s">
        <v>5499</v>
      </c>
      <c r="C451" s="23">
        <v>45922</v>
      </c>
      <c r="D451" s="27">
        <v>99000</v>
      </c>
      <c r="E451" s="22" t="s">
        <v>1062</v>
      </c>
      <c r="F451" s="22" t="s">
        <v>7</v>
      </c>
      <c r="G451" s="22" t="s">
        <v>1596</v>
      </c>
      <c r="H451" s="22" t="s">
        <v>12</v>
      </c>
      <c r="I451" s="22" t="s">
        <v>5511</v>
      </c>
      <c r="J451" s="22" t="s">
        <v>48</v>
      </c>
      <c r="K451" s="22">
        <v>5.18124111603548e+18</v>
      </c>
      <c r="L451" s="22" t="s">
        <v>1593</v>
      </c>
      <c r="M451" s="25"/>
    </row>
    <row r="452" customHeight="1" spans="1:13">
      <c r="A452" s="21">
        <v>45901</v>
      </c>
      <c r="B452" s="22" t="s">
        <v>5499</v>
      </c>
      <c r="C452" s="23">
        <v>45922</v>
      </c>
      <c r="D452" s="27">
        <v>5984</v>
      </c>
      <c r="E452" s="22" t="s">
        <v>149</v>
      </c>
      <c r="F452" s="22" t="s">
        <v>7</v>
      </c>
      <c r="G452" s="22" t="s">
        <v>1597</v>
      </c>
      <c r="H452" s="22" t="s">
        <v>11</v>
      </c>
      <c r="I452" s="22" t="s">
        <v>5511</v>
      </c>
      <c r="J452" s="22" t="s">
        <v>52</v>
      </c>
      <c r="K452" s="22">
        <v>5.18124111603548e+18</v>
      </c>
      <c r="L452" s="22" t="s">
        <v>1593</v>
      </c>
      <c r="M452" s="25"/>
    </row>
    <row r="453" customHeight="1" spans="1:13">
      <c r="A453" s="21">
        <v>45901</v>
      </c>
      <c r="B453" s="22" t="s">
        <v>5499</v>
      </c>
      <c r="C453" s="23">
        <v>45923</v>
      </c>
      <c r="D453" s="27">
        <v>40000</v>
      </c>
      <c r="E453" s="22" t="s">
        <v>149</v>
      </c>
      <c r="F453" s="22" t="s">
        <v>7</v>
      </c>
      <c r="G453" s="22" t="s">
        <v>5527</v>
      </c>
      <c r="H453" s="22" t="s">
        <v>12</v>
      </c>
      <c r="I453" s="22" t="s">
        <v>5511</v>
      </c>
      <c r="J453" s="22" t="s">
        <v>48</v>
      </c>
      <c r="K453" s="22">
        <v>5.18123060200019e+18</v>
      </c>
      <c r="L453" s="22" t="s">
        <v>1072</v>
      </c>
      <c r="M453" s="25"/>
    </row>
    <row r="454" customHeight="1" spans="1:13">
      <c r="A454" s="21">
        <v>45901</v>
      </c>
      <c r="B454" s="22" t="s">
        <v>5499</v>
      </c>
      <c r="C454" s="23">
        <v>45924</v>
      </c>
      <c r="D454" s="27">
        <v>11723.13</v>
      </c>
      <c r="E454" s="22" t="s">
        <v>173</v>
      </c>
      <c r="F454" s="22" t="s">
        <v>105</v>
      </c>
      <c r="G454" s="22" t="s">
        <v>1604</v>
      </c>
      <c r="H454" s="22" t="s">
        <v>10</v>
      </c>
      <c r="I454" s="22" t="s">
        <v>5511</v>
      </c>
      <c r="J454" s="22" t="s">
        <v>40</v>
      </c>
      <c r="K454" s="22">
        <v>5.18124120503631e+18</v>
      </c>
      <c r="L454" s="22" t="s">
        <v>1607</v>
      </c>
      <c r="M454" s="25"/>
    </row>
    <row r="455" customHeight="1" spans="1:13">
      <c r="A455" s="21">
        <v>45901</v>
      </c>
      <c r="B455" s="22" t="s">
        <v>5499</v>
      </c>
      <c r="C455" s="23">
        <v>45925</v>
      </c>
      <c r="D455" s="27">
        <v>469379.1</v>
      </c>
      <c r="E455" s="22" t="s">
        <v>1062</v>
      </c>
      <c r="F455" s="22" t="s">
        <v>7</v>
      </c>
      <c r="G455" s="22" t="s">
        <v>1608</v>
      </c>
      <c r="H455" s="22" t="s">
        <v>12</v>
      </c>
      <c r="I455" s="22" t="s">
        <v>5511</v>
      </c>
      <c r="J455" s="22" t="s">
        <v>44</v>
      </c>
      <c r="K455" s="22">
        <v>5.1812501200374e+18</v>
      </c>
      <c r="L455" s="22" t="s">
        <v>1610</v>
      </c>
      <c r="M455" s="25"/>
    </row>
    <row r="456" customHeight="1" spans="1:13">
      <c r="A456" s="21">
        <v>45901</v>
      </c>
      <c r="B456" s="22" t="s">
        <v>5499</v>
      </c>
      <c r="C456" s="23">
        <v>45926</v>
      </c>
      <c r="D456" s="27">
        <v>8656.46</v>
      </c>
      <c r="E456" s="22" t="s">
        <v>173</v>
      </c>
      <c r="F456" s="22" t="s">
        <v>7</v>
      </c>
      <c r="G456" s="22" t="s">
        <v>1612</v>
      </c>
      <c r="H456" s="22" t="s">
        <v>12</v>
      </c>
      <c r="I456" s="22" t="s">
        <v>5511</v>
      </c>
      <c r="J456" s="22" t="s">
        <v>39</v>
      </c>
      <c r="K456" s="22">
        <v>5.18124061100373e+18</v>
      </c>
      <c r="L456" s="22" t="s">
        <v>1614</v>
      </c>
      <c r="M456" s="25"/>
    </row>
    <row r="457" customHeight="1" spans="1:13">
      <c r="A457" s="21">
        <v>45901</v>
      </c>
      <c r="B457" s="22" t="s">
        <v>5499</v>
      </c>
      <c r="C457" s="23">
        <v>45926</v>
      </c>
      <c r="D457" s="24">
        <v>31.86</v>
      </c>
      <c r="E457" s="22" t="s">
        <v>173</v>
      </c>
      <c r="F457" s="22" t="s">
        <v>7</v>
      </c>
      <c r="G457" s="22" t="s">
        <v>1617</v>
      </c>
      <c r="H457" s="22" t="s">
        <v>12</v>
      </c>
      <c r="I457" s="22" t="s">
        <v>5511</v>
      </c>
      <c r="J457" s="22" t="s">
        <v>48</v>
      </c>
      <c r="K457" s="22">
        <v>5.18124061100373e+18</v>
      </c>
      <c r="L457" s="22" t="s">
        <v>1614</v>
      </c>
      <c r="M457" s="25"/>
    </row>
    <row r="458" customHeight="1" spans="1:13">
      <c r="A458" s="21">
        <v>45901</v>
      </c>
      <c r="B458" s="22" t="s">
        <v>5499</v>
      </c>
      <c r="C458" s="23">
        <v>45929</v>
      </c>
      <c r="D458" s="27">
        <v>6165.7</v>
      </c>
      <c r="E458" s="22" t="s">
        <v>173</v>
      </c>
      <c r="F458" s="22" t="s">
        <v>105</v>
      </c>
      <c r="G458" s="22" t="s">
        <v>1621</v>
      </c>
      <c r="H458" s="22" t="s">
        <v>12</v>
      </c>
      <c r="I458" s="22" t="s">
        <v>5511</v>
      </c>
      <c r="J458" s="22" t="s">
        <v>39</v>
      </c>
      <c r="K458" s="22">
        <v>5.18123122800158e+18</v>
      </c>
      <c r="L458" s="22" t="s">
        <v>1211</v>
      </c>
      <c r="M458" s="25"/>
    </row>
    <row r="459" customHeight="1" spans="1:13">
      <c r="A459" s="21">
        <v>45901</v>
      </c>
      <c r="B459" s="22" t="s">
        <v>5499</v>
      </c>
      <c r="C459" s="23">
        <v>45929</v>
      </c>
      <c r="D459" s="27">
        <v>40000</v>
      </c>
      <c r="E459" s="22" t="s">
        <v>173</v>
      </c>
      <c r="F459" s="22" t="s">
        <v>7</v>
      </c>
      <c r="G459" s="22" t="s">
        <v>1623</v>
      </c>
      <c r="H459" s="22" t="s">
        <v>12</v>
      </c>
      <c r="I459" s="22" t="s">
        <v>5511</v>
      </c>
      <c r="J459" s="22" t="s">
        <v>48</v>
      </c>
      <c r="K459" s="22">
        <v>5.18123122800158e+18</v>
      </c>
      <c r="L459" s="22" t="s">
        <v>1211</v>
      </c>
      <c r="M459" s="25"/>
    </row>
    <row r="460" customHeight="1" spans="1:13">
      <c r="A460" s="21">
        <v>45901</v>
      </c>
      <c r="B460" s="22" t="s">
        <v>5499</v>
      </c>
      <c r="C460" s="23">
        <v>45930</v>
      </c>
      <c r="D460" s="27">
        <v>12316946</v>
      </c>
      <c r="E460" s="22" t="s">
        <v>1172</v>
      </c>
      <c r="F460" s="22" t="s">
        <v>105</v>
      </c>
      <c r="G460" s="22" t="s">
        <v>1624</v>
      </c>
      <c r="H460" s="22" t="s">
        <v>10</v>
      </c>
      <c r="I460" s="22" t="s">
        <v>5511</v>
      </c>
      <c r="J460" s="22" t="s">
        <v>44</v>
      </c>
      <c r="K460" s="22">
        <v>5.18124122903695e+18</v>
      </c>
      <c r="L460" s="22" t="s">
        <v>1170</v>
      </c>
      <c r="M460" s="25"/>
    </row>
    <row r="461" customHeight="1" spans="1:13">
      <c r="A461" s="21">
        <v>45901</v>
      </c>
      <c r="B461" s="22" t="s">
        <v>5499</v>
      </c>
      <c r="C461" s="23">
        <v>45930</v>
      </c>
      <c r="D461" s="27">
        <v>26262.22</v>
      </c>
      <c r="E461" s="22" t="s">
        <v>173</v>
      </c>
      <c r="F461" s="22" t="s">
        <v>7</v>
      </c>
      <c r="G461" s="22" t="s">
        <v>1625</v>
      </c>
      <c r="H461" s="22" t="s">
        <v>12</v>
      </c>
      <c r="I461" s="22" t="s">
        <v>5511</v>
      </c>
      <c r="J461" s="22" t="s">
        <v>46</v>
      </c>
      <c r="K461" s="22">
        <v>5.18124122903695e+18</v>
      </c>
      <c r="L461" s="22" t="s">
        <v>1170</v>
      </c>
      <c r="M461" s="25"/>
    </row>
    <row r="462" customHeight="1" spans="1:13">
      <c r="A462" s="21">
        <v>45931</v>
      </c>
      <c r="B462" s="22" t="s">
        <v>5500</v>
      </c>
      <c r="C462" s="23">
        <v>45933</v>
      </c>
      <c r="D462" s="27">
        <v>599097.37</v>
      </c>
      <c r="E462" s="22" t="s">
        <v>1186</v>
      </c>
      <c r="F462" s="22" t="s">
        <v>7</v>
      </c>
      <c r="G462" s="22" t="s">
        <v>1627</v>
      </c>
      <c r="H462" s="22" t="s">
        <v>10</v>
      </c>
      <c r="I462" s="22" t="s">
        <v>5511</v>
      </c>
      <c r="J462" s="22" t="s">
        <v>51</v>
      </c>
      <c r="K462" s="22">
        <v>5.18124060500362e+18</v>
      </c>
      <c r="L462" s="22" t="s">
        <v>1629</v>
      </c>
      <c r="M462" s="25"/>
    </row>
    <row r="463" customHeight="1" spans="1:13">
      <c r="A463" s="21">
        <v>45901</v>
      </c>
      <c r="B463" s="22" t="s">
        <v>5499</v>
      </c>
      <c r="C463" s="23">
        <v>45930</v>
      </c>
      <c r="D463" s="27">
        <v>83839.2</v>
      </c>
      <c r="E463" s="22" t="s">
        <v>173</v>
      </c>
      <c r="F463" s="22" t="s">
        <v>7</v>
      </c>
      <c r="G463" s="22" t="s">
        <v>1631</v>
      </c>
      <c r="H463" s="22" t="s">
        <v>10</v>
      </c>
      <c r="I463" s="22" t="s">
        <v>5511</v>
      </c>
      <c r="J463" s="22" t="s">
        <v>51</v>
      </c>
      <c r="K463" s="22">
        <v>5.18124122903695e+18</v>
      </c>
      <c r="L463" s="22" t="s">
        <v>1170</v>
      </c>
      <c r="M463" s="25"/>
    </row>
    <row r="464" customHeight="1" spans="1:13">
      <c r="A464" s="21">
        <v>45931</v>
      </c>
      <c r="B464" s="22" t="s">
        <v>5500</v>
      </c>
      <c r="C464" s="23">
        <v>45937</v>
      </c>
      <c r="D464" s="27">
        <v>32008</v>
      </c>
      <c r="E464" s="22" t="s">
        <v>149</v>
      </c>
      <c r="F464" s="22" t="s">
        <v>7</v>
      </c>
      <c r="G464" s="22" t="s">
        <v>1636</v>
      </c>
      <c r="H464" s="22" t="s">
        <v>11</v>
      </c>
      <c r="I464" s="22" t="s">
        <v>5511</v>
      </c>
      <c r="J464" s="22" t="s">
        <v>52</v>
      </c>
      <c r="K464" s="22">
        <v>5.18125090904766e+18</v>
      </c>
      <c r="L464" s="22" t="s">
        <v>1639</v>
      </c>
      <c r="M464" s="25"/>
    </row>
    <row r="465" customHeight="1" spans="1:13">
      <c r="A465" s="21">
        <v>45931</v>
      </c>
      <c r="B465" s="22" t="s">
        <v>5500</v>
      </c>
      <c r="C465" s="23">
        <v>45932</v>
      </c>
      <c r="D465" s="27">
        <v>20000</v>
      </c>
      <c r="E465" s="22" t="s">
        <v>173</v>
      </c>
      <c r="F465" s="22" t="s">
        <v>7</v>
      </c>
      <c r="G465" s="22" t="s">
        <v>1640</v>
      </c>
      <c r="H465" s="22" t="s">
        <v>12</v>
      </c>
      <c r="I465" s="22" t="s">
        <v>5511</v>
      </c>
      <c r="J465" s="22" t="s">
        <v>39</v>
      </c>
      <c r="K465" s="22">
        <v>5.18125032703954e+18</v>
      </c>
      <c r="L465" s="22" t="s">
        <v>1642</v>
      </c>
      <c r="M465" s="25"/>
    </row>
    <row r="466" customHeight="1" spans="1:13">
      <c r="A466" s="21">
        <v>45931</v>
      </c>
      <c r="B466" s="22" t="s">
        <v>5500</v>
      </c>
      <c r="C466" s="23">
        <v>45932</v>
      </c>
      <c r="D466" s="24">
        <v>8.99</v>
      </c>
      <c r="E466" s="22" t="s">
        <v>149</v>
      </c>
      <c r="F466" s="22" t="s">
        <v>7</v>
      </c>
      <c r="G466" s="22" t="s">
        <v>1645</v>
      </c>
      <c r="H466" s="22" t="s">
        <v>10</v>
      </c>
      <c r="I466" s="22" t="s">
        <v>5511</v>
      </c>
      <c r="J466" s="22" t="s">
        <v>40</v>
      </c>
      <c r="K466" s="22">
        <v>5.18125032703954e+18</v>
      </c>
      <c r="L466" s="22" t="s">
        <v>1642</v>
      </c>
      <c r="M466" s="25"/>
    </row>
    <row r="467" customHeight="1" spans="1:13">
      <c r="A467" s="21">
        <v>45931</v>
      </c>
      <c r="B467" s="22" t="s">
        <v>5500</v>
      </c>
      <c r="C467" s="23">
        <v>45933</v>
      </c>
      <c r="D467" s="24">
        <v>200</v>
      </c>
      <c r="E467" s="22" t="s">
        <v>149</v>
      </c>
      <c r="F467" s="22" t="s">
        <v>105</v>
      </c>
      <c r="G467" s="22" t="s">
        <v>1649</v>
      </c>
      <c r="H467" s="22" t="s">
        <v>10</v>
      </c>
      <c r="I467" s="22" t="s">
        <v>5511</v>
      </c>
      <c r="J467" s="22" t="s">
        <v>40</v>
      </c>
      <c r="K467" s="22">
        <v>5.18124060500362e+18</v>
      </c>
      <c r="L467" s="22" t="s">
        <v>1629</v>
      </c>
      <c r="M467" s="25"/>
    </row>
    <row r="468" customHeight="1" spans="1:13">
      <c r="A468" s="21">
        <v>45931</v>
      </c>
      <c r="B468" s="22" t="s">
        <v>5500</v>
      </c>
      <c r="C468" s="23">
        <v>45936</v>
      </c>
      <c r="D468" s="24">
        <v>80</v>
      </c>
      <c r="E468" s="22" t="s">
        <v>149</v>
      </c>
      <c r="F468" s="22" t="s">
        <v>105</v>
      </c>
      <c r="G468" s="22" t="s">
        <v>1653</v>
      </c>
      <c r="H468" s="22" t="s">
        <v>10</v>
      </c>
      <c r="I468" s="22" t="s">
        <v>5511</v>
      </c>
      <c r="J468" s="22" t="s">
        <v>40</v>
      </c>
      <c r="K468" s="22">
        <v>5.18123111300118e+18</v>
      </c>
      <c r="L468" s="22" t="s">
        <v>1432</v>
      </c>
      <c r="M468" s="25"/>
    </row>
    <row r="469" customHeight="1" spans="1:13">
      <c r="A469" s="21">
        <v>45931</v>
      </c>
      <c r="B469" s="22" t="s">
        <v>5500</v>
      </c>
      <c r="C469" s="23">
        <v>45931</v>
      </c>
      <c r="D469" s="27">
        <v>50127.6</v>
      </c>
      <c r="E469" s="22" t="s">
        <v>149</v>
      </c>
      <c r="F469" s="22" t="s">
        <v>7</v>
      </c>
      <c r="G469" s="22" t="s">
        <v>1656</v>
      </c>
      <c r="H469" s="22" t="s">
        <v>12</v>
      </c>
      <c r="I469" s="22" t="s">
        <v>5511</v>
      </c>
      <c r="J469" s="22" t="s">
        <v>48</v>
      </c>
      <c r="K469" s="22">
        <v>5.18123060200019e+18</v>
      </c>
      <c r="L469" s="22" t="s">
        <v>1072</v>
      </c>
      <c r="M469" s="25"/>
    </row>
    <row r="470" customHeight="1" spans="1:13">
      <c r="A470" s="21">
        <v>45931</v>
      </c>
      <c r="B470" s="22" t="s">
        <v>5500</v>
      </c>
      <c r="C470" s="23">
        <v>45940</v>
      </c>
      <c r="D470" s="27">
        <v>182203.79</v>
      </c>
      <c r="E470" s="22" t="s">
        <v>1128</v>
      </c>
      <c r="F470" s="22" t="s">
        <v>7</v>
      </c>
      <c r="G470" s="22" t="s">
        <v>1657</v>
      </c>
      <c r="H470" s="22" t="s">
        <v>12</v>
      </c>
      <c r="I470" s="22" t="s">
        <v>5511</v>
      </c>
      <c r="J470" s="22" t="s">
        <v>44</v>
      </c>
      <c r="K470" s="22">
        <v>5.18123060200019e+18</v>
      </c>
      <c r="L470" s="22" t="s">
        <v>1072</v>
      </c>
      <c r="M470" s="25"/>
    </row>
    <row r="471" customHeight="1" spans="1:13">
      <c r="A471" s="21">
        <v>45931</v>
      </c>
      <c r="B471" s="22" t="s">
        <v>5500</v>
      </c>
      <c r="C471" s="23">
        <v>45943</v>
      </c>
      <c r="D471" s="28">
        <v>300000000</v>
      </c>
      <c r="E471" s="22" t="s">
        <v>1037</v>
      </c>
      <c r="F471" s="22" t="s">
        <v>105</v>
      </c>
      <c r="G471" s="22" t="s">
        <v>1660</v>
      </c>
      <c r="H471" s="22" t="s">
        <v>11</v>
      </c>
      <c r="I471" s="22" t="s">
        <v>5511</v>
      </c>
      <c r="J471" s="22" t="s">
        <v>41</v>
      </c>
      <c r="K471" s="22">
        <v>5.18124120603634e+18</v>
      </c>
      <c r="L471" s="22" t="s">
        <v>1662</v>
      </c>
      <c r="M471" s="25"/>
    </row>
    <row r="472" customHeight="1" spans="1:13">
      <c r="A472" s="21">
        <v>45931</v>
      </c>
      <c r="B472" s="22" t="s">
        <v>5500</v>
      </c>
      <c r="C472" s="23">
        <v>45944</v>
      </c>
      <c r="D472" s="27">
        <v>1015390</v>
      </c>
      <c r="E472" s="22" t="s">
        <v>1567</v>
      </c>
      <c r="F472" s="22" t="s">
        <v>105</v>
      </c>
      <c r="G472" s="22" t="s">
        <v>1664</v>
      </c>
      <c r="H472" s="22" t="s">
        <v>12</v>
      </c>
      <c r="I472" s="22" t="s">
        <v>5511</v>
      </c>
      <c r="J472" s="22" t="s">
        <v>39</v>
      </c>
      <c r="K472" s="22">
        <v>5.18125032703954e+18</v>
      </c>
      <c r="L472" s="22" t="s">
        <v>1667</v>
      </c>
      <c r="M472" s="25"/>
    </row>
    <row r="473" customHeight="1" spans="1:13">
      <c r="A473" s="21">
        <v>45931</v>
      </c>
      <c r="B473" s="22" t="s">
        <v>5500</v>
      </c>
      <c r="C473" s="23">
        <v>45943</v>
      </c>
      <c r="D473" s="27">
        <v>326567204</v>
      </c>
      <c r="E473" s="22" t="s">
        <v>1037</v>
      </c>
      <c r="F473" s="22" t="s">
        <v>7</v>
      </c>
      <c r="G473" s="22" t="s">
        <v>1670</v>
      </c>
      <c r="H473" s="22" t="s">
        <v>11</v>
      </c>
      <c r="I473" s="22" t="s">
        <v>5511</v>
      </c>
      <c r="J473" s="22" t="s">
        <v>41</v>
      </c>
      <c r="K473" s="22">
        <v>5.18124120603634e+18</v>
      </c>
      <c r="L473" s="22" t="s">
        <v>1662</v>
      </c>
      <c r="M473" s="25"/>
    </row>
    <row r="474" customHeight="1" spans="1:13">
      <c r="A474" s="21">
        <v>45931</v>
      </c>
      <c r="B474" s="22" t="s">
        <v>5500</v>
      </c>
      <c r="C474" s="23">
        <v>45945</v>
      </c>
      <c r="D474" s="27">
        <v>18900</v>
      </c>
      <c r="E474" s="22" t="s">
        <v>149</v>
      </c>
      <c r="F474" s="22" t="s">
        <v>7</v>
      </c>
      <c r="G474" s="22" t="s">
        <v>1671</v>
      </c>
      <c r="H474" s="22" t="s">
        <v>11</v>
      </c>
      <c r="I474" s="22" t="s">
        <v>5511</v>
      </c>
      <c r="J474" s="22" t="s">
        <v>40</v>
      </c>
      <c r="K474" s="22">
        <v>5.18125092804896e+18</v>
      </c>
      <c r="L474" s="22" t="s">
        <v>1674</v>
      </c>
      <c r="M474" s="25"/>
    </row>
    <row r="475" customHeight="1" spans="1:13">
      <c r="A475" s="21">
        <v>45931</v>
      </c>
      <c r="B475" s="22" t="s">
        <v>5500</v>
      </c>
      <c r="C475" s="23">
        <v>45945</v>
      </c>
      <c r="D475" s="24">
        <v>399</v>
      </c>
      <c r="E475" s="22" t="s">
        <v>139</v>
      </c>
      <c r="F475" s="22" t="s">
        <v>105</v>
      </c>
      <c r="G475" s="22" t="s">
        <v>1675</v>
      </c>
      <c r="H475" s="22" t="s">
        <v>10</v>
      </c>
      <c r="I475" s="22" t="s">
        <v>5511</v>
      </c>
      <c r="J475" s="22" t="s">
        <v>40</v>
      </c>
      <c r="K475" s="22">
        <v>5.18125092804896e+18</v>
      </c>
      <c r="L475" s="22" t="s">
        <v>1674</v>
      </c>
      <c r="M475" s="25"/>
    </row>
    <row r="476" customHeight="1" spans="1:13">
      <c r="A476" s="21">
        <v>45931</v>
      </c>
      <c r="B476" s="22" t="s">
        <v>5501</v>
      </c>
      <c r="C476" s="23">
        <v>45946</v>
      </c>
      <c r="D476" s="27">
        <v>3000</v>
      </c>
      <c r="E476" s="22" t="s">
        <v>173</v>
      </c>
      <c r="F476" s="22" t="s">
        <v>7</v>
      </c>
      <c r="G476" s="22" t="s">
        <v>1679</v>
      </c>
      <c r="H476" s="22" t="s">
        <v>12</v>
      </c>
      <c r="I476" s="22" t="s">
        <v>5511</v>
      </c>
      <c r="J476" s="22" t="s">
        <v>46</v>
      </c>
      <c r="K476" s="22">
        <v>5.18125072304517e+18</v>
      </c>
      <c r="L476" s="22" t="s">
        <v>1681</v>
      </c>
      <c r="M476" s="25"/>
    </row>
    <row r="477" customHeight="1" spans="1:13">
      <c r="A477" s="21">
        <v>45931</v>
      </c>
      <c r="B477" s="22" t="s">
        <v>5501</v>
      </c>
      <c r="C477" s="23">
        <v>45946</v>
      </c>
      <c r="D477" s="27">
        <v>151596.97</v>
      </c>
      <c r="E477" s="22" t="s">
        <v>173</v>
      </c>
      <c r="F477" s="22" t="s">
        <v>7</v>
      </c>
      <c r="G477" s="22" t="s">
        <v>1685</v>
      </c>
      <c r="H477" s="22" t="s">
        <v>12</v>
      </c>
      <c r="I477" s="22" t="s">
        <v>5511</v>
      </c>
      <c r="J477" s="22" t="s">
        <v>48</v>
      </c>
      <c r="K477" s="22">
        <v>5.18125072304517e+18</v>
      </c>
      <c r="L477" s="22" t="s">
        <v>1681</v>
      </c>
      <c r="M477" s="25"/>
    </row>
    <row r="478" customHeight="1" spans="1:13">
      <c r="A478" s="21">
        <v>45931</v>
      </c>
      <c r="B478" s="22" t="s">
        <v>5501</v>
      </c>
      <c r="C478" s="23">
        <v>45946</v>
      </c>
      <c r="D478" s="27">
        <v>1101236.54</v>
      </c>
      <c r="E478" s="22" t="s">
        <v>1062</v>
      </c>
      <c r="F478" s="22" t="s">
        <v>105</v>
      </c>
      <c r="G478" s="22" t="s">
        <v>1687</v>
      </c>
      <c r="H478" s="22" t="s">
        <v>12</v>
      </c>
      <c r="I478" s="22" t="s">
        <v>5511</v>
      </c>
      <c r="J478" s="22" t="s">
        <v>39</v>
      </c>
      <c r="K478" s="22">
        <v>5.18125072304517e+18</v>
      </c>
      <c r="L478" s="22" t="s">
        <v>1681</v>
      </c>
      <c r="M478" s="25"/>
    </row>
    <row r="479" customHeight="1" spans="1:13">
      <c r="A479" s="21">
        <v>45931</v>
      </c>
      <c r="B479" s="22" t="s">
        <v>5501</v>
      </c>
      <c r="C479" s="23">
        <v>45946</v>
      </c>
      <c r="D479" s="27">
        <v>68562.05</v>
      </c>
      <c r="E479" s="22" t="s">
        <v>173</v>
      </c>
      <c r="F479" s="22" t="s">
        <v>105</v>
      </c>
      <c r="G479" s="22" t="s">
        <v>1689</v>
      </c>
      <c r="H479" s="22" t="s">
        <v>11</v>
      </c>
      <c r="I479" s="22" t="s">
        <v>5511</v>
      </c>
      <c r="J479" s="22" t="s">
        <v>39</v>
      </c>
      <c r="K479" s="22">
        <v>5.18125072304517e+18</v>
      </c>
      <c r="L479" s="22" t="s">
        <v>1681</v>
      </c>
      <c r="M479" s="25"/>
    </row>
    <row r="480" customHeight="1" spans="1:13">
      <c r="A480" s="21">
        <v>45931</v>
      </c>
      <c r="B480" s="22" t="s">
        <v>5501</v>
      </c>
      <c r="C480" s="23">
        <v>45947</v>
      </c>
      <c r="D480" s="27">
        <v>50000</v>
      </c>
      <c r="E480" s="22" t="s">
        <v>1128</v>
      </c>
      <c r="F480" s="22" t="s">
        <v>7</v>
      </c>
      <c r="G480" s="22" t="s">
        <v>1691</v>
      </c>
      <c r="H480" s="22" t="s">
        <v>12</v>
      </c>
      <c r="I480" s="22" t="s">
        <v>5511</v>
      </c>
      <c r="J480" s="22" t="s">
        <v>44</v>
      </c>
      <c r="K480" s="22">
        <v>5.18124092402858e+18</v>
      </c>
      <c r="L480" s="22" t="s">
        <v>1693</v>
      </c>
      <c r="M480" s="25"/>
    </row>
    <row r="481" customHeight="1" spans="1:13">
      <c r="A481" s="21">
        <v>45931</v>
      </c>
      <c r="B481" s="22" t="s">
        <v>5501</v>
      </c>
      <c r="C481" s="23">
        <v>45947</v>
      </c>
      <c r="D481" s="27">
        <v>510071.2</v>
      </c>
      <c r="E481" s="22" t="s">
        <v>1062</v>
      </c>
      <c r="F481" s="22" t="s">
        <v>105</v>
      </c>
      <c r="G481" s="22" t="s">
        <v>1695</v>
      </c>
      <c r="H481" s="22" t="s">
        <v>11</v>
      </c>
      <c r="I481" s="22" t="s">
        <v>5511</v>
      </c>
      <c r="J481" s="22" t="s">
        <v>39</v>
      </c>
      <c r="K481" s="22">
        <v>5.18124092402858e+18</v>
      </c>
      <c r="L481" s="22" t="s">
        <v>1693</v>
      </c>
      <c r="M481" s="25"/>
    </row>
    <row r="482" customHeight="1" spans="1:13">
      <c r="A482" s="21">
        <v>45931</v>
      </c>
      <c r="B482" s="22" t="s">
        <v>5501</v>
      </c>
      <c r="C482" s="23">
        <v>45947</v>
      </c>
      <c r="D482" s="27">
        <v>18905</v>
      </c>
      <c r="E482" s="22" t="s">
        <v>149</v>
      </c>
      <c r="F482" s="22" t="s">
        <v>105</v>
      </c>
      <c r="G482" s="22" t="s">
        <v>1699</v>
      </c>
      <c r="H482" s="22" t="s">
        <v>11</v>
      </c>
      <c r="I482" s="22" t="s">
        <v>5511</v>
      </c>
      <c r="J482" s="22" t="s">
        <v>52</v>
      </c>
      <c r="K482" s="22">
        <v>5.18124092402858e+18</v>
      </c>
      <c r="L482" s="22" t="s">
        <v>1693</v>
      </c>
      <c r="M482" s="25"/>
    </row>
    <row r="483" customHeight="1" spans="1:13">
      <c r="A483" s="21">
        <v>45931</v>
      </c>
      <c r="B483" s="22" t="s">
        <v>5501</v>
      </c>
      <c r="C483" s="23">
        <v>45947</v>
      </c>
      <c r="D483" s="27">
        <v>9179.6</v>
      </c>
      <c r="E483" s="22" t="s">
        <v>173</v>
      </c>
      <c r="F483" s="22" t="s">
        <v>7</v>
      </c>
      <c r="G483" s="22" t="s">
        <v>1701</v>
      </c>
      <c r="H483" s="22" t="s">
        <v>12</v>
      </c>
      <c r="I483" s="22" t="s">
        <v>5511</v>
      </c>
      <c r="J483" s="22" t="s">
        <v>48</v>
      </c>
      <c r="K483" s="22">
        <v>5.18124092402858e+18</v>
      </c>
      <c r="L483" s="22" t="s">
        <v>1693</v>
      </c>
      <c r="M483" s="25"/>
    </row>
    <row r="484" customHeight="1" spans="1:13">
      <c r="A484" s="21">
        <v>45931</v>
      </c>
      <c r="B484" s="22" t="s">
        <v>5501</v>
      </c>
      <c r="C484" s="23">
        <v>45947</v>
      </c>
      <c r="D484" s="24">
        <v>300</v>
      </c>
      <c r="E484" s="22" t="s">
        <v>149</v>
      </c>
      <c r="F484" s="22" t="s">
        <v>105</v>
      </c>
      <c r="G484" s="22" t="s">
        <v>1702</v>
      </c>
      <c r="H484" s="22" t="s">
        <v>11</v>
      </c>
      <c r="I484" s="22" t="s">
        <v>5511</v>
      </c>
      <c r="J484" s="22" t="s">
        <v>52</v>
      </c>
      <c r="K484" s="22">
        <v>5.18124092402858e+18</v>
      </c>
      <c r="L484" s="22" t="s">
        <v>1693</v>
      </c>
      <c r="M484" s="25"/>
    </row>
    <row r="485" customHeight="1" spans="1:13">
      <c r="A485" s="21">
        <v>45931</v>
      </c>
      <c r="B485" s="22" t="s">
        <v>5501</v>
      </c>
      <c r="C485" s="23">
        <v>45950</v>
      </c>
      <c r="D485" s="28">
        <v>300000000</v>
      </c>
      <c r="E485" s="22" t="s">
        <v>1037</v>
      </c>
      <c r="F485" s="22" t="s">
        <v>105</v>
      </c>
      <c r="G485" s="22" t="s">
        <v>1706</v>
      </c>
      <c r="H485" s="22" t="s">
        <v>11</v>
      </c>
      <c r="I485" s="22" t="s">
        <v>5511</v>
      </c>
      <c r="J485" s="22" t="s">
        <v>41</v>
      </c>
      <c r="K485" s="22">
        <v>5.18124120603634e+18</v>
      </c>
      <c r="L485" s="22" t="s">
        <v>1662</v>
      </c>
      <c r="M485" s="25"/>
    </row>
    <row r="486" customHeight="1" spans="1:13">
      <c r="A486" s="21">
        <v>45931</v>
      </c>
      <c r="B486" s="22" t="s">
        <v>5501</v>
      </c>
      <c r="C486" s="23">
        <v>45950</v>
      </c>
      <c r="D486" s="24">
        <v>300</v>
      </c>
      <c r="E486" s="22" t="s">
        <v>80</v>
      </c>
      <c r="F486" s="22" t="s">
        <v>105</v>
      </c>
      <c r="G486" s="22" t="s">
        <v>1708</v>
      </c>
      <c r="H486" s="22" t="s">
        <v>10</v>
      </c>
      <c r="I486" s="22" t="s">
        <v>5511</v>
      </c>
      <c r="J486" s="22" t="s">
        <v>40</v>
      </c>
      <c r="K486" s="22">
        <v>5.18124120603634e+18</v>
      </c>
      <c r="L486" s="22" t="s">
        <v>1662</v>
      </c>
      <c r="M486" s="25"/>
    </row>
    <row r="487" customHeight="1" spans="1:13">
      <c r="A487" s="21">
        <v>45931</v>
      </c>
      <c r="B487" s="22" t="s">
        <v>5501</v>
      </c>
      <c r="C487" s="23">
        <v>45951</v>
      </c>
      <c r="D487" s="24">
        <v>100</v>
      </c>
      <c r="E487" s="22" t="s">
        <v>139</v>
      </c>
      <c r="F487" s="22" t="s">
        <v>105</v>
      </c>
      <c r="G487" s="22" t="s">
        <v>1713</v>
      </c>
      <c r="H487" s="22" t="s">
        <v>10</v>
      </c>
      <c r="I487" s="22" t="s">
        <v>5511</v>
      </c>
      <c r="J487" s="22" t="s">
        <v>40</v>
      </c>
      <c r="K487" s="22">
        <v>5.18125012103743e+18</v>
      </c>
      <c r="L487" s="22" t="s">
        <v>1528</v>
      </c>
      <c r="M487" s="25"/>
    </row>
    <row r="488" customHeight="1" spans="1:13">
      <c r="A488" s="21">
        <v>45931</v>
      </c>
      <c r="B488" s="22" t="s">
        <v>5501</v>
      </c>
      <c r="C488" s="23">
        <v>45952</v>
      </c>
      <c r="D488" s="28">
        <v>330884280</v>
      </c>
      <c r="E488" s="22" t="s">
        <v>1037</v>
      </c>
      <c r="F488" s="22" t="s">
        <v>7</v>
      </c>
      <c r="G488" s="22" t="s">
        <v>1715</v>
      </c>
      <c r="H488" s="22" t="s">
        <v>11</v>
      </c>
      <c r="I488" s="22" t="s">
        <v>5511</v>
      </c>
      <c r="J488" s="22" t="s">
        <v>41</v>
      </c>
      <c r="K488" s="22">
        <v>5.18124120603634e+18</v>
      </c>
      <c r="L488" s="22" t="s">
        <v>1662</v>
      </c>
      <c r="M488" s="25"/>
    </row>
    <row r="489" customHeight="1" spans="1:13">
      <c r="A489" s="21">
        <v>45931</v>
      </c>
      <c r="B489" s="22" t="s">
        <v>5501</v>
      </c>
      <c r="C489" s="23">
        <v>45952</v>
      </c>
      <c r="D489" s="28">
        <v>142543</v>
      </c>
      <c r="E489" s="22" t="s">
        <v>173</v>
      </c>
      <c r="F489" s="22" t="s">
        <v>105</v>
      </c>
      <c r="G489" s="22" t="s">
        <v>1716</v>
      </c>
      <c r="H489" s="22" t="s">
        <v>12</v>
      </c>
      <c r="I489" s="22" t="s">
        <v>5511</v>
      </c>
      <c r="J489" s="22" t="s">
        <v>46</v>
      </c>
      <c r="K489" s="22">
        <v>5.18124120603634e+18</v>
      </c>
      <c r="L489" s="22" t="s">
        <v>1662</v>
      </c>
      <c r="M489" s="25"/>
    </row>
    <row r="490" customHeight="1" spans="1:13">
      <c r="A490" s="21">
        <v>45931</v>
      </c>
      <c r="B490" s="22" t="s">
        <v>5501</v>
      </c>
      <c r="C490" s="23">
        <v>45952</v>
      </c>
      <c r="D490" s="28">
        <v>28000</v>
      </c>
      <c r="E490" s="22" t="s">
        <v>149</v>
      </c>
      <c r="F490" s="22" t="s">
        <v>7</v>
      </c>
      <c r="G490" s="22" t="s">
        <v>1718</v>
      </c>
      <c r="H490" s="22" t="s">
        <v>11</v>
      </c>
      <c r="I490" s="22" t="s">
        <v>5511</v>
      </c>
      <c r="J490" s="22" t="s">
        <v>52</v>
      </c>
      <c r="K490" s="22">
        <v>5.18124120603634e+18</v>
      </c>
      <c r="L490" s="22" t="s">
        <v>1662</v>
      </c>
      <c r="M490" s="25"/>
    </row>
    <row r="491" customHeight="1" spans="1:13">
      <c r="A491" s="21">
        <v>45931</v>
      </c>
      <c r="B491" s="22" t="s">
        <v>5501</v>
      </c>
      <c r="C491" s="23">
        <v>45952</v>
      </c>
      <c r="D491" s="27">
        <v>1200</v>
      </c>
      <c r="E491" s="22" t="s">
        <v>173</v>
      </c>
      <c r="F491" s="22" t="s">
        <v>105</v>
      </c>
      <c r="G491" s="22" t="s">
        <v>5528</v>
      </c>
      <c r="H491" s="22" t="s">
        <v>12</v>
      </c>
      <c r="I491" s="22" t="s">
        <v>5511</v>
      </c>
      <c r="J491" s="22" t="s">
        <v>39</v>
      </c>
      <c r="K491" s="22">
        <v>5.18124120603634e+18</v>
      </c>
      <c r="L491" s="22" t="s">
        <v>1662</v>
      </c>
      <c r="M491" s="25"/>
    </row>
    <row r="492" customHeight="1" spans="1:13">
      <c r="A492" s="21">
        <v>45931</v>
      </c>
      <c r="B492" s="22" t="s">
        <v>5501</v>
      </c>
      <c r="C492" s="23">
        <v>45952</v>
      </c>
      <c r="D492" s="27">
        <v>10000</v>
      </c>
      <c r="E492" s="22" t="s">
        <v>173</v>
      </c>
      <c r="F492" s="22" t="s">
        <v>7</v>
      </c>
      <c r="G492" s="22" t="s">
        <v>1725</v>
      </c>
      <c r="H492" s="22" t="s">
        <v>12</v>
      </c>
      <c r="I492" s="22" t="s">
        <v>5511</v>
      </c>
      <c r="J492" s="22" t="s">
        <v>39</v>
      </c>
      <c r="K492" s="22">
        <v>5.18124120603634e+18</v>
      </c>
      <c r="L492" s="22" t="s">
        <v>1662</v>
      </c>
      <c r="M492" s="25"/>
    </row>
    <row r="493" customHeight="1" spans="1:13">
      <c r="A493" s="21">
        <v>45931</v>
      </c>
      <c r="B493" s="22" t="s">
        <v>5501</v>
      </c>
      <c r="C493" s="23">
        <v>45952</v>
      </c>
      <c r="D493" s="24">
        <v>3150</v>
      </c>
      <c r="E493" s="22" t="s">
        <v>149</v>
      </c>
      <c r="F493" s="22" t="s">
        <v>7</v>
      </c>
      <c r="G493" s="22" t="s">
        <v>1729</v>
      </c>
      <c r="H493" s="22" t="s">
        <v>12</v>
      </c>
      <c r="I493" s="22" t="s">
        <v>5511</v>
      </c>
      <c r="J493" s="22" t="s">
        <v>39</v>
      </c>
      <c r="K493" s="22">
        <v>5.18124120603634e+18</v>
      </c>
      <c r="L493" s="22" t="s">
        <v>1662</v>
      </c>
      <c r="M493" s="25"/>
    </row>
    <row r="494" customHeight="1" spans="1:13">
      <c r="A494" s="21">
        <v>45931</v>
      </c>
      <c r="B494" s="22" t="s">
        <v>5501</v>
      </c>
      <c r="C494" s="23">
        <v>45953</v>
      </c>
      <c r="D494" s="27">
        <v>22320</v>
      </c>
      <c r="E494" s="22" t="s">
        <v>139</v>
      </c>
      <c r="F494" s="22" t="s">
        <v>105</v>
      </c>
      <c r="G494" s="22" t="s">
        <v>1733</v>
      </c>
      <c r="H494" s="22" t="s">
        <v>12</v>
      </c>
      <c r="I494" s="22" t="s">
        <v>5511</v>
      </c>
      <c r="J494" s="22" t="s">
        <v>39</v>
      </c>
      <c r="K494" s="22">
        <v>5.18121041200008e+18</v>
      </c>
      <c r="L494" s="22" t="s">
        <v>1104</v>
      </c>
      <c r="M494" s="25"/>
    </row>
    <row r="495" customHeight="1" spans="1:13">
      <c r="A495" s="21">
        <v>45931</v>
      </c>
      <c r="B495" s="22" t="s">
        <v>5501</v>
      </c>
      <c r="C495" s="23">
        <v>45953</v>
      </c>
      <c r="D495" s="27">
        <v>1110600</v>
      </c>
      <c r="E495" s="22" t="s">
        <v>1062</v>
      </c>
      <c r="F495" s="22" t="s">
        <v>7</v>
      </c>
      <c r="G495" s="22" t="s">
        <v>1735</v>
      </c>
      <c r="H495" s="22" t="s">
        <v>12</v>
      </c>
      <c r="I495" s="22" t="s">
        <v>5511</v>
      </c>
      <c r="J495" s="22" t="s">
        <v>48</v>
      </c>
      <c r="K495" s="22">
        <v>5.18121041200008e+18</v>
      </c>
      <c r="L495" s="22" t="s">
        <v>1104</v>
      </c>
      <c r="M495" s="25"/>
    </row>
    <row r="496" customHeight="1" spans="1:13">
      <c r="A496" s="21">
        <v>45931</v>
      </c>
      <c r="B496" s="22" t="s">
        <v>5501</v>
      </c>
      <c r="C496" s="23">
        <v>45953</v>
      </c>
      <c r="D496" s="27">
        <v>145000</v>
      </c>
      <c r="E496" s="22" t="s">
        <v>1062</v>
      </c>
      <c r="F496" s="22" t="s">
        <v>105</v>
      </c>
      <c r="G496" s="22" t="s">
        <v>1739</v>
      </c>
      <c r="H496" s="22" t="s">
        <v>12</v>
      </c>
      <c r="I496" s="22" t="s">
        <v>5511</v>
      </c>
      <c r="J496" s="22" t="s">
        <v>39</v>
      </c>
      <c r="K496" s="22">
        <v>5.18121041200008e+18</v>
      </c>
      <c r="L496" s="22" t="s">
        <v>1104</v>
      </c>
      <c r="M496" s="25"/>
    </row>
    <row r="497" customHeight="1" spans="1:13">
      <c r="A497" s="21">
        <v>45931</v>
      </c>
      <c r="B497" s="22" t="s">
        <v>5501</v>
      </c>
      <c r="C497" s="23">
        <v>45954</v>
      </c>
      <c r="D497" s="27">
        <v>67660.31</v>
      </c>
      <c r="E497" s="22" t="s">
        <v>173</v>
      </c>
      <c r="F497" s="22" t="s">
        <v>105</v>
      </c>
      <c r="G497" s="22" t="s">
        <v>1741</v>
      </c>
      <c r="H497" s="22" t="s">
        <v>12</v>
      </c>
      <c r="I497" s="22" t="s">
        <v>5511</v>
      </c>
      <c r="J497" s="22" t="s">
        <v>44</v>
      </c>
      <c r="K497" s="22">
        <v>5.18125011703734e+18</v>
      </c>
      <c r="L497" s="22" t="s">
        <v>1743</v>
      </c>
      <c r="M497" s="25"/>
    </row>
    <row r="498" customHeight="1" spans="1:13">
      <c r="A498" s="21">
        <v>45931</v>
      </c>
      <c r="B498" s="22" t="s">
        <v>5501</v>
      </c>
      <c r="C498" s="23">
        <v>45957</v>
      </c>
      <c r="D498" s="27">
        <v>9179.6</v>
      </c>
      <c r="E498" s="22" t="s">
        <v>173</v>
      </c>
      <c r="F498" s="22" t="s">
        <v>105</v>
      </c>
      <c r="G498" s="22" t="s">
        <v>1745</v>
      </c>
      <c r="H498" s="22" t="s">
        <v>12</v>
      </c>
      <c r="I498" s="22" t="s">
        <v>5511</v>
      </c>
      <c r="J498" s="22" t="s">
        <v>48</v>
      </c>
      <c r="K498" s="22">
        <v>5.18123122800158e+18</v>
      </c>
      <c r="L498" s="22" t="s">
        <v>1211</v>
      </c>
      <c r="M498" s="25"/>
    </row>
    <row r="499" customHeight="1" spans="1:13">
      <c r="A499" s="21">
        <v>45931</v>
      </c>
      <c r="B499" s="22" t="s">
        <v>5501</v>
      </c>
      <c r="C499" s="23">
        <v>45959</v>
      </c>
      <c r="D499" s="24">
        <v>236.97</v>
      </c>
      <c r="E499" s="22" t="s">
        <v>139</v>
      </c>
      <c r="F499" s="22" t="s">
        <v>105</v>
      </c>
      <c r="G499" s="22" t="s">
        <v>1746</v>
      </c>
      <c r="H499" s="22" t="s">
        <v>10</v>
      </c>
      <c r="I499" s="22" t="s">
        <v>5511</v>
      </c>
      <c r="J499" s="22" t="s">
        <v>40</v>
      </c>
      <c r="K499" s="22">
        <v>5.18124022800219e+18</v>
      </c>
      <c r="L499" s="22" t="s">
        <v>1749</v>
      </c>
      <c r="M499" s="25"/>
    </row>
    <row r="500" customHeight="1" spans="1:13">
      <c r="A500" s="21">
        <v>45931</v>
      </c>
      <c r="B500" s="22" t="s">
        <v>5501</v>
      </c>
      <c r="C500" s="23">
        <v>45960</v>
      </c>
      <c r="D500" s="27">
        <v>265031</v>
      </c>
      <c r="E500" s="22" t="s">
        <v>1186</v>
      </c>
      <c r="F500" s="22" t="s">
        <v>105</v>
      </c>
      <c r="G500" s="22" t="s">
        <v>1750</v>
      </c>
      <c r="H500" s="22" t="s">
        <v>12</v>
      </c>
      <c r="I500" s="22" t="s">
        <v>5511</v>
      </c>
      <c r="J500" s="22" t="s">
        <v>39</v>
      </c>
      <c r="K500" s="22">
        <v>5.18125090404722e+18</v>
      </c>
      <c r="L500" s="22" t="s">
        <v>1737</v>
      </c>
      <c r="M500" s="25"/>
    </row>
    <row r="501" customHeight="1" spans="1:13">
      <c r="A501" s="21">
        <v>45931</v>
      </c>
      <c r="B501" s="22" t="s">
        <v>5501</v>
      </c>
      <c r="C501" s="23">
        <v>45960</v>
      </c>
      <c r="D501" s="28">
        <v>400000000</v>
      </c>
      <c r="E501" s="22" t="s">
        <v>1037</v>
      </c>
      <c r="F501" s="22" t="s">
        <v>7</v>
      </c>
      <c r="G501" s="22" t="s">
        <v>1751</v>
      </c>
      <c r="H501" s="22" t="s">
        <v>10</v>
      </c>
      <c r="I501" s="22" t="s">
        <v>5511</v>
      </c>
      <c r="J501" s="22" t="s">
        <v>41</v>
      </c>
      <c r="K501" s="22">
        <v>5.18125090404722e+18</v>
      </c>
      <c r="L501" s="22" t="s">
        <v>1737</v>
      </c>
      <c r="M501" s="25"/>
    </row>
    <row r="502" customHeight="1" spans="1:13">
      <c r="A502" s="21">
        <v>45931</v>
      </c>
      <c r="B502" s="22" t="s">
        <v>5501</v>
      </c>
      <c r="C502" s="23">
        <v>45960</v>
      </c>
      <c r="D502" s="24">
        <v>3103</v>
      </c>
      <c r="E502" s="22" t="s">
        <v>149</v>
      </c>
      <c r="F502" s="22" t="s">
        <v>7</v>
      </c>
      <c r="G502" s="22" t="s">
        <v>1756</v>
      </c>
      <c r="H502" s="22" t="s">
        <v>12</v>
      </c>
      <c r="I502" s="22" t="s">
        <v>5511</v>
      </c>
      <c r="J502" s="22" t="s">
        <v>46</v>
      </c>
      <c r="K502" s="22">
        <v>5.18125090404722e+18</v>
      </c>
      <c r="L502" s="22" t="s">
        <v>1737</v>
      </c>
      <c r="M502" s="25"/>
    </row>
    <row r="503" customHeight="1" spans="1:13">
      <c r="A503" s="21">
        <v>45931</v>
      </c>
      <c r="B503" s="22" t="s">
        <v>5501</v>
      </c>
      <c r="C503" s="23">
        <v>45960</v>
      </c>
      <c r="D503" s="24">
        <v>100</v>
      </c>
      <c r="E503" s="22" t="s">
        <v>139</v>
      </c>
      <c r="F503" s="22" t="s">
        <v>105</v>
      </c>
      <c r="G503" s="22" t="s">
        <v>1758</v>
      </c>
      <c r="H503" s="22" t="s">
        <v>10</v>
      </c>
      <c r="I503" s="22" t="s">
        <v>5511</v>
      </c>
      <c r="J503" s="22" t="s">
        <v>40</v>
      </c>
      <c r="K503" s="22">
        <v>5.18125090404722e+18</v>
      </c>
      <c r="L503" s="22" t="s">
        <v>1737</v>
      </c>
      <c r="M503" s="25"/>
    </row>
    <row r="504" customHeight="1" spans="1:13">
      <c r="A504" s="21">
        <v>45931</v>
      </c>
      <c r="B504" s="22" t="s">
        <v>5501</v>
      </c>
      <c r="C504" s="23">
        <v>45960</v>
      </c>
      <c r="D504" s="27">
        <v>190618000</v>
      </c>
      <c r="E504" s="22" t="s">
        <v>1037</v>
      </c>
      <c r="F504" s="22" t="s">
        <v>7</v>
      </c>
      <c r="G504" s="22" t="s">
        <v>1763</v>
      </c>
      <c r="H504" s="22" t="s">
        <v>11</v>
      </c>
      <c r="I504" s="22" t="s">
        <v>5511</v>
      </c>
      <c r="J504" s="22" t="s">
        <v>41</v>
      </c>
      <c r="K504" s="22">
        <v>5.18125090404722e+18</v>
      </c>
      <c r="L504" s="22" t="s">
        <v>1737</v>
      </c>
      <c r="M504" s="25"/>
    </row>
    <row r="505" customHeight="1" spans="1:13">
      <c r="A505" s="21">
        <v>45931</v>
      </c>
      <c r="B505" s="22" t="s">
        <v>5501</v>
      </c>
      <c r="C505" s="23">
        <v>45960</v>
      </c>
      <c r="D505" s="28">
        <v>499999999</v>
      </c>
      <c r="E505" s="22" t="s">
        <v>1037</v>
      </c>
      <c r="F505" s="22" t="s">
        <v>7</v>
      </c>
      <c r="G505" s="22" t="s">
        <v>1767</v>
      </c>
      <c r="H505" s="22" t="s">
        <v>11</v>
      </c>
      <c r="I505" s="22" t="s">
        <v>5511</v>
      </c>
      <c r="J505" s="22" t="s">
        <v>41</v>
      </c>
      <c r="K505" s="22">
        <v>5.18125090404722e+18</v>
      </c>
      <c r="L505" s="22" t="s">
        <v>1737</v>
      </c>
      <c r="M505" s="25"/>
    </row>
    <row r="506" customHeight="1" spans="1:13">
      <c r="A506" s="21">
        <v>45931</v>
      </c>
      <c r="B506" s="22" t="s">
        <v>5501</v>
      </c>
      <c r="C506" s="23">
        <v>45960</v>
      </c>
      <c r="D506" s="27">
        <v>156244000</v>
      </c>
      <c r="E506" s="22" t="s">
        <v>1037</v>
      </c>
      <c r="F506" s="22" t="s">
        <v>7</v>
      </c>
      <c r="G506" s="22" t="s">
        <v>1769</v>
      </c>
      <c r="H506" s="22" t="s">
        <v>11</v>
      </c>
      <c r="I506" s="22" t="s">
        <v>5511</v>
      </c>
      <c r="J506" s="22" t="s">
        <v>41</v>
      </c>
      <c r="K506" s="22">
        <v>5.18125090404722e+18</v>
      </c>
      <c r="L506" s="22" t="s">
        <v>1737</v>
      </c>
      <c r="M506" s="25"/>
    </row>
    <row r="507" customHeight="1" spans="1:13">
      <c r="A507" s="21">
        <v>45931</v>
      </c>
      <c r="B507" s="22" t="s">
        <v>5501</v>
      </c>
      <c r="C507" s="23">
        <v>45960</v>
      </c>
      <c r="D507" s="28">
        <v>822000</v>
      </c>
      <c r="E507" s="22" t="s">
        <v>1062</v>
      </c>
      <c r="F507" s="22" t="s">
        <v>7</v>
      </c>
      <c r="G507" s="22" t="s">
        <v>1770</v>
      </c>
      <c r="H507" s="22" t="s">
        <v>12</v>
      </c>
      <c r="I507" s="22" t="s">
        <v>5511</v>
      </c>
      <c r="J507" s="22" t="s">
        <v>48</v>
      </c>
      <c r="K507" s="22">
        <v>5.18125090404722e+18</v>
      </c>
      <c r="L507" s="22" t="s">
        <v>1737</v>
      </c>
      <c r="M507" s="25"/>
    </row>
    <row r="508" customHeight="1" spans="1:13">
      <c r="A508" s="21">
        <v>45931</v>
      </c>
      <c r="B508" s="22" t="s">
        <v>5501</v>
      </c>
      <c r="C508" s="23">
        <v>45961</v>
      </c>
      <c r="D508" s="28">
        <v>100000000</v>
      </c>
      <c r="E508" s="22" t="s">
        <v>1037</v>
      </c>
      <c r="F508" s="22" t="s">
        <v>7</v>
      </c>
      <c r="G508" s="22" t="s">
        <v>1772</v>
      </c>
      <c r="H508" s="22" t="s">
        <v>11</v>
      </c>
      <c r="I508" s="22" t="s">
        <v>5511</v>
      </c>
      <c r="J508" s="22" t="s">
        <v>41</v>
      </c>
      <c r="K508" s="22">
        <v>5.18125102105003e+18</v>
      </c>
      <c r="L508" s="22" t="s">
        <v>1766</v>
      </c>
      <c r="M508" s="25"/>
    </row>
    <row r="509" customHeight="1" spans="1:13">
      <c r="A509" s="21">
        <v>45931</v>
      </c>
      <c r="B509" s="22" t="s">
        <v>5501</v>
      </c>
      <c r="C509" s="23">
        <v>45961</v>
      </c>
      <c r="D509" s="27">
        <v>1400000</v>
      </c>
      <c r="E509" s="22" t="s">
        <v>1062</v>
      </c>
      <c r="F509" s="22" t="s">
        <v>7</v>
      </c>
      <c r="G509" s="22" t="s">
        <v>1773</v>
      </c>
      <c r="H509" s="22" t="s">
        <v>11</v>
      </c>
      <c r="I509" s="22" t="s">
        <v>5511</v>
      </c>
      <c r="J509" s="22" t="s">
        <v>48</v>
      </c>
      <c r="K509" s="22">
        <v>5.18125102105003e+18</v>
      </c>
      <c r="L509" s="22" t="s">
        <v>1766</v>
      </c>
      <c r="M509" s="25"/>
    </row>
    <row r="510" customHeight="1" spans="1:13">
      <c r="A510" s="21">
        <v>45931</v>
      </c>
      <c r="B510" s="22" t="s">
        <v>5501</v>
      </c>
      <c r="C510" s="23">
        <v>45961</v>
      </c>
      <c r="D510" s="27">
        <v>4560</v>
      </c>
      <c r="E510" s="22" t="s">
        <v>149</v>
      </c>
      <c r="F510" s="22" t="s">
        <v>7</v>
      </c>
      <c r="G510" s="22" t="s">
        <v>1775</v>
      </c>
      <c r="H510" s="22" t="s">
        <v>10</v>
      </c>
      <c r="I510" s="22" t="s">
        <v>5511</v>
      </c>
      <c r="J510" s="22" t="s">
        <v>40</v>
      </c>
      <c r="K510" s="22">
        <v>5.18125102105003e+18</v>
      </c>
      <c r="L510" s="22" t="s">
        <v>1766</v>
      </c>
      <c r="M510" s="25"/>
    </row>
    <row r="511" customHeight="1" spans="1:13">
      <c r="A511" s="21">
        <v>45962</v>
      </c>
      <c r="B511" s="22" t="s">
        <v>5502</v>
      </c>
      <c r="C511" s="23">
        <v>45964</v>
      </c>
      <c r="D511" s="27">
        <v>11760</v>
      </c>
      <c r="E511" s="22" t="s">
        <v>173</v>
      </c>
      <c r="F511" s="22" t="s">
        <v>7</v>
      </c>
      <c r="G511" s="22" t="s">
        <v>1779</v>
      </c>
      <c r="H511" s="22" t="s">
        <v>10</v>
      </c>
      <c r="I511" s="22" t="s">
        <v>5511</v>
      </c>
      <c r="J511" s="22" t="s">
        <v>46</v>
      </c>
      <c r="K511" s="22">
        <v>5.18125060904293e+18</v>
      </c>
      <c r="L511" s="22" t="s">
        <v>1781</v>
      </c>
      <c r="M511" s="25"/>
    </row>
    <row r="512" customHeight="1" spans="1:13">
      <c r="A512" s="21">
        <v>45962</v>
      </c>
      <c r="B512" s="22" t="s">
        <v>5502</v>
      </c>
      <c r="C512" s="23">
        <v>45965</v>
      </c>
      <c r="D512" s="27">
        <v>1000000</v>
      </c>
      <c r="E512" s="22" t="s">
        <v>1037</v>
      </c>
      <c r="F512" s="22" t="s">
        <v>7</v>
      </c>
      <c r="G512" s="22" t="s">
        <v>5529</v>
      </c>
      <c r="H512" s="22" t="s">
        <v>11</v>
      </c>
      <c r="I512" s="22" t="s">
        <v>5511</v>
      </c>
      <c r="J512" s="22" t="s">
        <v>41</v>
      </c>
      <c r="K512" s="22">
        <v>5.18124102203311e+18</v>
      </c>
      <c r="L512" s="22" t="s">
        <v>1787</v>
      </c>
      <c r="M512" s="25"/>
    </row>
    <row r="513" customHeight="1" spans="1:13">
      <c r="A513" s="21">
        <v>45962</v>
      </c>
      <c r="B513" s="22" t="s">
        <v>5502</v>
      </c>
      <c r="C513" s="23">
        <v>45965</v>
      </c>
      <c r="D513" s="27">
        <v>30000</v>
      </c>
      <c r="E513" s="22" t="s">
        <v>173</v>
      </c>
      <c r="F513" s="22" t="s">
        <v>7</v>
      </c>
      <c r="G513" s="22" t="s">
        <v>1790</v>
      </c>
      <c r="H513" s="22" t="s">
        <v>11</v>
      </c>
      <c r="I513" s="22" t="s">
        <v>5511</v>
      </c>
      <c r="J513" s="22" t="s">
        <v>48</v>
      </c>
      <c r="K513" s="22">
        <v>5.18124102203311e+18</v>
      </c>
      <c r="L513" s="22" t="s">
        <v>1787</v>
      </c>
      <c r="M513" s="25"/>
    </row>
    <row r="514" customHeight="1" spans="1:13">
      <c r="A514" s="21">
        <v>45962</v>
      </c>
      <c r="B514" s="22" t="s">
        <v>5502</v>
      </c>
      <c r="C514" s="23">
        <v>45966</v>
      </c>
      <c r="D514" s="24">
        <v>150</v>
      </c>
      <c r="E514" s="22" t="s">
        <v>139</v>
      </c>
      <c r="F514" s="22" t="s">
        <v>105</v>
      </c>
      <c r="G514" s="22" t="s">
        <v>1794</v>
      </c>
      <c r="H514" s="22" t="s">
        <v>10</v>
      </c>
      <c r="I514" s="22" t="s">
        <v>5511</v>
      </c>
      <c r="J514" s="22" t="s">
        <v>40</v>
      </c>
      <c r="K514" s="22">
        <v>5.18125012103743e+18</v>
      </c>
      <c r="L514" s="22" t="s">
        <v>1528</v>
      </c>
      <c r="M514" s="25"/>
    </row>
    <row r="515" customHeight="1" spans="1:13">
      <c r="A515" s="21">
        <v>45962</v>
      </c>
      <c r="B515" s="22" t="s">
        <v>5502</v>
      </c>
      <c r="C515" s="23">
        <v>45966</v>
      </c>
      <c r="D515" s="24">
        <v>28.13</v>
      </c>
      <c r="E515" s="22" t="s">
        <v>139</v>
      </c>
      <c r="F515" s="22" t="s">
        <v>105</v>
      </c>
      <c r="G515" s="22" t="s">
        <v>1797</v>
      </c>
      <c r="H515" s="22" t="s">
        <v>10</v>
      </c>
      <c r="I515" s="22" t="s">
        <v>5511</v>
      </c>
      <c r="J515" s="22" t="s">
        <v>40</v>
      </c>
      <c r="K515" s="22">
        <v>5.18125012103743e+18</v>
      </c>
      <c r="L515" s="22" t="s">
        <v>1528</v>
      </c>
      <c r="M515" s="25"/>
    </row>
    <row r="516" customHeight="1" spans="1:13">
      <c r="A516" s="21">
        <v>45962</v>
      </c>
      <c r="B516" s="22" t="s">
        <v>5502</v>
      </c>
      <c r="C516" s="23">
        <v>45966</v>
      </c>
      <c r="D516" s="27">
        <v>4061.93</v>
      </c>
      <c r="E516" s="22" t="s">
        <v>80</v>
      </c>
      <c r="F516" s="22" t="s">
        <v>105</v>
      </c>
      <c r="G516" s="22" t="s">
        <v>1801</v>
      </c>
      <c r="H516" s="22" t="s">
        <v>10</v>
      </c>
      <c r="I516" s="22" t="s">
        <v>5511</v>
      </c>
      <c r="J516" s="22" t="s">
        <v>40</v>
      </c>
      <c r="K516" s="22">
        <v>5.18125012103743e+18</v>
      </c>
      <c r="L516" s="22" t="s">
        <v>1528</v>
      </c>
      <c r="M516" s="25"/>
    </row>
    <row r="517" customHeight="1" spans="1:13">
      <c r="A517" s="21">
        <v>45962</v>
      </c>
      <c r="B517" s="22" t="s">
        <v>5502</v>
      </c>
      <c r="C517" s="23">
        <v>45968</v>
      </c>
      <c r="D517" s="24">
        <v>164.06</v>
      </c>
      <c r="E517" s="22" t="s">
        <v>80</v>
      </c>
      <c r="F517" s="22" t="s">
        <v>105</v>
      </c>
      <c r="G517" s="22" t="s">
        <v>1805</v>
      </c>
      <c r="H517" s="22" t="s">
        <v>10</v>
      </c>
      <c r="I517" s="22" t="s">
        <v>5511</v>
      </c>
      <c r="J517" s="22" t="s">
        <v>40</v>
      </c>
      <c r="K517" s="22">
        <v>5.18124071301561e+18</v>
      </c>
      <c r="L517" s="22" t="s">
        <v>1807</v>
      </c>
      <c r="M517" s="25"/>
    </row>
    <row r="518" customHeight="1" spans="1:13">
      <c r="A518" s="21">
        <v>45962</v>
      </c>
      <c r="B518" s="22" t="s">
        <v>5502</v>
      </c>
      <c r="C518" s="23">
        <v>45968</v>
      </c>
      <c r="D518" s="24">
        <v>97.4</v>
      </c>
      <c r="E518" s="22" t="s">
        <v>149</v>
      </c>
      <c r="F518" s="22" t="s">
        <v>105</v>
      </c>
      <c r="G518" s="22" t="s">
        <v>1809</v>
      </c>
      <c r="H518" s="22" t="s">
        <v>10</v>
      </c>
      <c r="I518" s="22" t="s">
        <v>5511</v>
      </c>
      <c r="J518" s="22" t="s">
        <v>40</v>
      </c>
      <c r="K518" s="22">
        <v>5.18124071301561e+18</v>
      </c>
      <c r="L518" s="22" t="s">
        <v>1807</v>
      </c>
      <c r="M518" s="25"/>
    </row>
    <row r="519" customHeight="1" spans="1:13">
      <c r="A519" s="21">
        <v>45962</v>
      </c>
      <c r="B519" s="22" t="s">
        <v>5502</v>
      </c>
      <c r="C519" s="23">
        <v>45968</v>
      </c>
      <c r="D519" s="27">
        <v>218894.49</v>
      </c>
      <c r="E519" s="22" t="s">
        <v>173</v>
      </c>
      <c r="F519" s="22" t="s">
        <v>7</v>
      </c>
      <c r="G519" s="22" t="s">
        <v>1814</v>
      </c>
      <c r="H519" s="22" t="s">
        <v>10</v>
      </c>
      <c r="I519" s="22" t="s">
        <v>5511</v>
      </c>
      <c r="J519" s="22" t="s">
        <v>51</v>
      </c>
      <c r="K519" s="22">
        <v>5.18124071301561e+18</v>
      </c>
      <c r="L519" s="22" t="s">
        <v>1807</v>
      </c>
      <c r="M519" s="25"/>
    </row>
    <row r="520" customHeight="1" spans="1:13">
      <c r="A520" s="21">
        <v>45962</v>
      </c>
      <c r="B520" s="22" t="s">
        <v>5502</v>
      </c>
      <c r="C520" s="23">
        <v>45972</v>
      </c>
      <c r="D520" s="27">
        <v>17650</v>
      </c>
      <c r="E520" s="22" t="s">
        <v>149</v>
      </c>
      <c r="F520" s="22" t="s">
        <v>7</v>
      </c>
      <c r="G520" s="22" t="s">
        <v>1819</v>
      </c>
      <c r="H520" s="22" t="s">
        <v>11</v>
      </c>
      <c r="I520" s="22" t="s">
        <v>5511</v>
      </c>
      <c r="J520" s="22" t="s">
        <v>52</v>
      </c>
      <c r="K520" s="22">
        <v>5.18125101304955e+18</v>
      </c>
      <c r="L520" s="22" t="s">
        <v>1721</v>
      </c>
      <c r="M520" s="25"/>
    </row>
    <row r="521" customHeight="1" spans="1:13">
      <c r="A521" s="21">
        <v>45962</v>
      </c>
      <c r="B521" s="22" t="s">
        <v>5502</v>
      </c>
      <c r="C521" s="23">
        <v>45973</v>
      </c>
      <c r="D521" s="24">
        <v>53.25</v>
      </c>
      <c r="E521" s="22" t="s">
        <v>80</v>
      </c>
      <c r="F521" s="22" t="s">
        <v>105</v>
      </c>
      <c r="G521" s="22" t="s">
        <v>1821</v>
      </c>
      <c r="H521" s="22" t="s">
        <v>10</v>
      </c>
      <c r="I521" s="22" t="s">
        <v>5511</v>
      </c>
      <c r="J521" s="22" t="s">
        <v>40</v>
      </c>
      <c r="K521" s="22">
        <v>5.18124080702022e+18</v>
      </c>
      <c r="L521" s="22" t="s">
        <v>1823</v>
      </c>
      <c r="M521" s="25"/>
    </row>
    <row r="522" customHeight="1" spans="1:13">
      <c r="A522" s="21">
        <v>45962</v>
      </c>
      <c r="B522" s="22" t="s">
        <v>5502</v>
      </c>
      <c r="C522" s="23">
        <v>45973</v>
      </c>
      <c r="D522" s="24">
        <v>81.76</v>
      </c>
      <c r="E522" s="22" t="s">
        <v>80</v>
      </c>
      <c r="F522" s="22" t="s">
        <v>105</v>
      </c>
      <c r="G522" s="22" t="s">
        <v>1824</v>
      </c>
      <c r="H522" s="22" t="s">
        <v>10</v>
      </c>
      <c r="I522" s="22" t="s">
        <v>5511</v>
      </c>
      <c r="J522" s="22" t="s">
        <v>40</v>
      </c>
      <c r="K522" s="22">
        <v>5.18124080702022e+18</v>
      </c>
      <c r="L522" s="22" t="s">
        <v>1823</v>
      </c>
      <c r="M522" s="25"/>
    </row>
    <row r="523" customHeight="1" spans="1:13">
      <c r="A523" s="21">
        <v>45962</v>
      </c>
      <c r="B523" s="22" t="s">
        <v>5502</v>
      </c>
      <c r="C523" s="23">
        <v>45973</v>
      </c>
      <c r="D523" s="27">
        <v>26300</v>
      </c>
      <c r="E523" s="22" t="s">
        <v>149</v>
      </c>
      <c r="F523" s="22" t="s">
        <v>7</v>
      </c>
      <c r="G523" s="22" t="s">
        <v>1827</v>
      </c>
      <c r="H523" s="22" t="s">
        <v>11</v>
      </c>
      <c r="I523" s="22" t="s">
        <v>5511</v>
      </c>
      <c r="J523" s="22" t="s">
        <v>52</v>
      </c>
      <c r="K523" s="22">
        <v>5.18124080702022e+18</v>
      </c>
      <c r="L523" s="22" t="s">
        <v>1823</v>
      </c>
      <c r="M523" s="25"/>
    </row>
    <row r="524" customHeight="1" spans="1:13">
      <c r="A524" s="21">
        <v>45962</v>
      </c>
      <c r="B524" s="22" t="s">
        <v>5502</v>
      </c>
      <c r="C524" s="23">
        <v>45973</v>
      </c>
      <c r="D524" s="27">
        <v>44976</v>
      </c>
      <c r="E524" s="22" t="s">
        <v>149</v>
      </c>
      <c r="F524" s="22" t="s">
        <v>7</v>
      </c>
      <c r="G524" s="22" t="s">
        <v>1831</v>
      </c>
      <c r="H524" s="22" t="s">
        <v>11</v>
      </c>
      <c r="I524" s="22" t="s">
        <v>5511</v>
      </c>
      <c r="J524" s="22" t="s">
        <v>52</v>
      </c>
      <c r="K524" s="22">
        <v>5.18124080702022e+18</v>
      </c>
      <c r="L524" s="22" t="s">
        <v>1823</v>
      </c>
      <c r="M524" s="25"/>
    </row>
    <row r="525" customHeight="1" spans="1:13">
      <c r="A525" s="21">
        <v>45962</v>
      </c>
      <c r="B525" s="22" t="s">
        <v>5502</v>
      </c>
      <c r="C525" s="23">
        <v>45973</v>
      </c>
      <c r="D525" s="24">
        <v>8.85</v>
      </c>
      <c r="E525" s="22" t="s">
        <v>139</v>
      </c>
      <c r="F525" s="22" t="s">
        <v>105</v>
      </c>
      <c r="G525" s="22" t="s">
        <v>1834</v>
      </c>
      <c r="H525" s="22" t="s">
        <v>10</v>
      </c>
      <c r="I525" s="22" t="s">
        <v>5511</v>
      </c>
      <c r="J525" s="22" t="s">
        <v>40</v>
      </c>
      <c r="K525" s="22">
        <v>5.18124080702022e+18</v>
      </c>
      <c r="L525" s="22" t="s">
        <v>1823</v>
      </c>
      <c r="M525" s="25"/>
    </row>
    <row r="526" customHeight="1" spans="1:13">
      <c r="A526" s="21">
        <v>45962</v>
      </c>
      <c r="B526" s="22" t="s">
        <v>5502</v>
      </c>
      <c r="C526" s="23">
        <v>45973</v>
      </c>
      <c r="D526" s="27">
        <v>13900</v>
      </c>
      <c r="E526" s="22" t="s">
        <v>149</v>
      </c>
      <c r="F526" s="22" t="s">
        <v>7</v>
      </c>
      <c r="G526" s="22" t="s">
        <v>1835</v>
      </c>
      <c r="H526" s="22" t="s">
        <v>11</v>
      </c>
      <c r="I526" s="22" t="s">
        <v>5511</v>
      </c>
      <c r="J526" s="22" t="s">
        <v>52</v>
      </c>
      <c r="K526" s="22">
        <v>5.18124080702022e+18</v>
      </c>
      <c r="L526" s="22" t="s">
        <v>1823</v>
      </c>
      <c r="M526" s="25"/>
    </row>
    <row r="527" customHeight="1" spans="1:13">
      <c r="A527" s="21">
        <v>45962</v>
      </c>
      <c r="B527" s="22" t="s">
        <v>5502</v>
      </c>
      <c r="C527" s="23">
        <v>45973</v>
      </c>
      <c r="D527" s="27">
        <v>51690</v>
      </c>
      <c r="E527" s="22" t="s">
        <v>173</v>
      </c>
      <c r="F527" s="22" t="s">
        <v>7</v>
      </c>
      <c r="G527" s="22" t="s">
        <v>1837</v>
      </c>
      <c r="H527" s="22" t="s">
        <v>12</v>
      </c>
      <c r="I527" s="22" t="s">
        <v>5511</v>
      </c>
      <c r="J527" s="22" t="s">
        <v>51</v>
      </c>
      <c r="K527" s="22">
        <v>5.18124080702022e+18</v>
      </c>
      <c r="L527" s="22" t="s">
        <v>1823</v>
      </c>
      <c r="M527" s="25"/>
    </row>
    <row r="528" customHeight="1" spans="1:13">
      <c r="A528" s="21">
        <v>45962</v>
      </c>
      <c r="B528" s="22" t="s">
        <v>5502</v>
      </c>
      <c r="C528" s="23">
        <v>45974</v>
      </c>
      <c r="D528" s="27">
        <v>3500</v>
      </c>
      <c r="E528" s="22" t="s">
        <v>173</v>
      </c>
      <c r="F528" s="22" t="s">
        <v>7</v>
      </c>
      <c r="G528" s="22" t="s">
        <v>1841</v>
      </c>
      <c r="H528" s="22" t="s">
        <v>12</v>
      </c>
      <c r="I528" s="22" t="s">
        <v>5511</v>
      </c>
      <c r="J528" s="22" t="s">
        <v>39</v>
      </c>
      <c r="K528" s="22">
        <v>5.18125080504591e+18</v>
      </c>
      <c r="L528" s="22" t="s">
        <v>1619</v>
      </c>
      <c r="M528" s="25"/>
    </row>
    <row r="529" customHeight="1" spans="1:13">
      <c r="A529" s="21">
        <v>45962</v>
      </c>
      <c r="B529" s="22" t="s">
        <v>5502</v>
      </c>
      <c r="C529" s="23">
        <v>45975</v>
      </c>
      <c r="D529" s="27">
        <v>72579.05</v>
      </c>
      <c r="E529" s="22" t="s">
        <v>173</v>
      </c>
      <c r="F529" s="22" t="s">
        <v>7</v>
      </c>
      <c r="G529" s="22" t="s">
        <v>1845</v>
      </c>
      <c r="H529" s="22" t="s">
        <v>11</v>
      </c>
      <c r="I529" s="22" t="s">
        <v>5511</v>
      </c>
      <c r="J529" s="22" t="s">
        <v>39</v>
      </c>
      <c r="K529" s="22">
        <v>5.18124090502501e+18</v>
      </c>
      <c r="L529" s="22" t="s">
        <v>1270</v>
      </c>
      <c r="M529" s="25"/>
    </row>
    <row r="530" customHeight="1" spans="1:13">
      <c r="A530" s="21">
        <v>45962</v>
      </c>
      <c r="B530" s="22" t="s">
        <v>5502</v>
      </c>
      <c r="C530" s="23">
        <v>45975</v>
      </c>
      <c r="D530" s="27">
        <v>14980</v>
      </c>
      <c r="E530" s="22" t="s">
        <v>149</v>
      </c>
      <c r="F530" s="22" t="s">
        <v>7</v>
      </c>
      <c r="G530" s="22" t="s">
        <v>1847</v>
      </c>
      <c r="H530" s="22" t="s">
        <v>11</v>
      </c>
      <c r="I530" s="22" t="s">
        <v>5511</v>
      </c>
      <c r="J530" s="22" t="s">
        <v>52</v>
      </c>
      <c r="K530" s="22">
        <v>5.18124090502501e+18</v>
      </c>
      <c r="L530" s="22" t="s">
        <v>1270</v>
      </c>
      <c r="M530" s="25"/>
    </row>
    <row r="531" customHeight="1" spans="1:13">
      <c r="A531" s="21">
        <v>45962</v>
      </c>
      <c r="B531" s="22" t="s">
        <v>5502</v>
      </c>
      <c r="C531" s="23">
        <v>45975</v>
      </c>
      <c r="D531" s="27">
        <v>25408.03</v>
      </c>
      <c r="E531" s="22" t="s">
        <v>173</v>
      </c>
      <c r="F531" s="22" t="s">
        <v>7</v>
      </c>
      <c r="G531" s="22" t="s">
        <v>1851</v>
      </c>
      <c r="H531" s="22" t="s">
        <v>12</v>
      </c>
      <c r="I531" s="22" t="s">
        <v>5511</v>
      </c>
      <c r="J531" s="22" t="s">
        <v>51</v>
      </c>
      <c r="K531" s="22">
        <v>5.18124090502501e+18</v>
      </c>
      <c r="L531" s="22" t="s">
        <v>1270</v>
      </c>
      <c r="M531" s="25"/>
    </row>
    <row r="532" customHeight="1" spans="1:13">
      <c r="A532" s="21">
        <v>45962</v>
      </c>
      <c r="B532" s="22" t="s">
        <v>5472</v>
      </c>
      <c r="C532" s="23">
        <v>45978</v>
      </c>
      <c r="D532" s="27">
        <v>138844.38</v>
      </c>
      <c r="E532" s="22" t="s">
        <v>173</v>
      </c>
      <c r="F532" s="22" t="s">
        <v>7</v>
      </c>
      <c r="G532" s="22" t="s">
        <v>1853</v>
      </c>
      <c r="H532" s="22" t="s">
        <v>10</v>
      </c>
      <c r="I532" s="22" t="s">
        <v>5511</v>
      </c>
      <c r="J532" s="22" t="s">
        <v>51</v>
      </c>
      <c r="K532" s="22">
        <v>5.18125052104175e+18</v>
      </c>
      <c r="L532" s="22" t="s">
        <v>1855</v>
      </c>
      <c r="M532" s="25"/>
    </row>
    <row r="533" customHeight="1" spans="1:13">
      <c r="A533" s="21">
        <v>45962</v>
      </c>
      <c r="B533" s="22" t="s">
        <v>5472</v>
      </c>
      <c r="C533" s="23">
        <v>45978</v>
      </c>
      <c r="D533" s="24">
        <v>165</v>
      </c>
      <c r="E533" s="22" t="s">
        <v>139</v>
      </c>
      <c r="F533" s="22" t="s">
        <v>7</v>
      </c>
      <c r="G533" s="22" t="s">
        <v>1857</v>
      </c>
      <c r="H533" s="22" t="s">
        <v>10</v>
      </c>
      <c r="I533" s="22" t="s">
        <v>5511</v>
      </c>
      <c r="J533" s="22" t="s">
        <v>40</v>
      </c>
      <c r="K533" s="22">
        <v>5.18125052104175e+18</v>
      </c>
      <c r="L533" s="22" t="s">
        <v>1855</v>
      </c>
      <c r="M533" s="25"/>
    </row>
    <row r="534" customHeight="1" spans="1:13">
      <c r="A534" s="21">
        <v>45962</v>
      </c>
      <c r="B534" s="22" t="s">
        <v>5472</v>
      </c>
      <c r="C534" s="23">
        <v>45980</v>
      </c>
      <c r="D534" s="27">
        <v>156521.01</v>
      </c>
      <c r="E534" s="22" t="s">
        <v>1466</v>
      </c>
      <c r="F534" s="22" t="s">
        <v>7</v>
      </c>
      <c r="G534" s="22" t="s">
        <v>1861</v>
      </c>
      <c r="H534" s="22" t="s">
        <v>12</v>
      </c>
      <c r="I534" s="22" t="s">
        <v>5511</v>
      </c>
      <c r="J534" s="22" t="s">
        <v>44</v>
      </c>
      <c r="K534" s="22">
        <v>5.18123071000043e+18</v>
      </c>
      <c r="L534" s="22" t="s">
        <v>1343</v>
      </c>
      <c r="M534" s="25"/>
    </row>
    <row r="535" customHeight="1" spans="1:13">
      <c r="A535" s="21">
        <v>45962</v>
      </c>
      <c r="B535" s="22" t="s">
        <v>5472</v>
      </c>
      <c r="C535" s="23">
        <v>45980</v>
      </c>
      <c r="D535" s="27">
        <v>10000</v>
      </c>
      <c r="E535" s="22" t="s">
        <v>149</v>
      </c>
      <c r="F535" s="22" t="s">
        <v>105</v>
      </c>
      <c r="G535" s="22" t="s">
        <v>1863</v>
      </c>
      <c r="H535" s="22" t="s">
        <v>11</v>
      </c>
      <c r="I535" s="22" t="s">
        <v>5511</v>
      </c>
      <c r="J535" s="22" t="s">
        <v>52</v>
      </c>
      <c r="K535" s="22">
        <v>5.18123071000043e+18</v>
      </c>
      <c r="L535" s="22" t="s">
        <v>1343</v>
      </c>
      <c r="M535" s="25"/>
    </row>
    <row r="536" customHeight="1" spans="1:13">
      <c r="A536" s="21">
        <v>45962</v>
      </c>
      <c r="B536" s="22" t="s">
        <v>5472</v>
      </c>
      <c r="C536" s="23">
        <v>45981</v>
      </c>
      <c r="D536" s="27">
        <v>14968</v>
      </c>
      <c r="E536" s="22" t="s">
        <v>149</v>
      </c>
      <c r="F536" s="22" t="s">
        <v>7</v>
      </c>
      <c r="G536" s="22" t="s">
        <v>1865</v>
      </c>
      <c r="H536" s="22" t="s">
        <v>12</v>
      </c>
      <c r="I536" s="22" t="s">
        <v>5511</v>
      </c>
      <c r="J536" s="22" t="s">
        <v>39</v>
      </c>
      <c r="K536" s="22">
        <v>5.1812309150008e+18</v>
      </c>
      <c r="L536" s="22" t="s">
        <v>1868</v>
      </c>
      <c r="M536" s="25"/>
    </row>
    <row r="537" customHeight="1" spans="1:13">
      <c r="A537" s="21">
        <v>45962</v>
      </c>
      <c r="B537" s="22" t="s">
        <v>5472</v>
      </c>
      <c r="C537" s="23">
        <v>45981</v>
      </c>
      <c r="D537" s="27">
        <v>1000</v>
      </c>
      <c r="E537" s="22" t="s">
        <v>173</v>
      </c>
      <c r="F537" s="22" t="s">
        <v>7</v>
      </c>
      <c r="G537" s="22" t="s">
        <v>1869</v>
      </c>
      <c r="H537" s="22" t="s">
        <v>12</v>
      </c>
      <c r="I537" s="22" t="s">
        <v>5511</v>
      </c>
      <c r="J537" s="22" t="s">
        <v>48</v>
      </c>
      <c r="K537" s="22">
        <v>5.1812309150008e+18</v>
      </c>
      <c r="L537" s="22" t="s">
        <v>1868</v>
      </c>
      <c r="M537" s="25"/>
    </row>
    <row r="538" customHeight="1" spans="1:13">
      <c r="A538" s="21">
        <v>45962</v>
      </c>
      <c r="B538" s="22" t="s">
        <v>5472</v>
      </c>
      <c r="C538" s="23">
        <v>45982</v>
      </c>
      <c r="D538" s="24">
        <v>58</v>
      </c>
      <c r="E538" s="22" t="s">
        <v>139</v>
      </c>
      <c r="F538" s="22" t="s">
        <v>7</v>
      </c>
      <c r="G538" s="22" t="s">
        <v>1873</v>
      </c>
      <c r="H538" s="22" t="s">
        <v>10</v>
      </c>
      <c r="I538" s="22" t="s">
        <v>5511</v>
      </c>
      <c r="J538" s="22" t="s">
        <v>40</v>
      </c>
      <c r="K538" s="22">
        <v>5.18124041800314e+18</v>
      </c>
      <c r="L538" s="22" t="s">
        <v>1875</v>
      </c>
      <c r="M538" s="25"/>
    </row>
    <row r="539" customHeight="1" spans="1:13">
      <c r="A539" s="21">
        <v>45962</v>
      </c>
      <c r="B539" s="22" t="s">
        <v>5472</v>
      </c>
      <c r="C539" s="23">
        <v>45986</v>
      </c>
      <c r="D539" s="27">
        <v>594692.56</v>
      </c>
      <c r="E539" s="22" t="s">
        <v>1062</v>
      </c>
      <c r="F539" s="22" t="s">
        <v>7</v>
      </c>
      <c r="G539" s="22" t="s">
        <v>1877</v>
      </c>
      <c r="H539" s="22" t="s">
        <v>12</v>
      </c>
      <c r="I539" s="22" t="s">
        <v>5511</v>
      </c>
      <c r="J539" s="22" t="s">
        <v>39</v>
      </c>
      <c r="K539" s="22">
        <v>5.18123060200019e+18</v>
      </c>
      <c r="L539" s="22" t="s">
        <v>1072</v>
      </c>
      <c r="M539" s="25"/>
    </row>
    <row r="540" customHeight="1" spans="1:13">
      <c r="A540" s="21">
        <v>45962</v>
      </c>
      <c r="B540" s="22" t="s">
        <v>5472</v>
      </c>
      <c r="C540" s="23">
        <v>45986</v>
      </c>
      <c r="D540" s="24">
        <v>773.1</v>
      </c>
      <c r="E540" s="22" t="s">
        <v>139</v>
      </c>
      <c r="F540" s="22" t="s">
        <v>105</v>
      </c>
      <c r="G540" s="22" t="s">
        <v>1881</v>
      </c>
      <c r="H540" s="22" t="s">
        <v>10</v>
      </c>
      <c r="I540" s="22" t="s">
        <v>5511</v>
      </c>
      <c r="J540" s="22" t="s">
        <v>40</v>
      </c>
      <c r="K540" s="22">
        <v>5.18123060200019e+18</v>
      </c>
      <c r="L540" s="22" t="s">
        <v>1072</v>
      </c>
      <c r="M540" s="22" t="s">
        <v>5530</v>
      </c>
    </row>
    <row r="541" customHeight="1" spans="1:13">
      <c r="A541" s="21">
        <v>45962</v>
      </c>
      <c r="B541" s="22" t="s">
        <v>5472</v>
      </c>
      <c r="C541" s="23">
        <v>45986</v>
      </c>
      <c r="D541" s="27">
        <v>42655</v>
      </c>
      <c r="E541" s="22" t="s">
        <v>149</v>
      </c>
      <c r="F541" s="22" t="s">
        <v>7</v>
      </c>
      <c r="G541" s="22" t="s">
        <v>1884</v>
      </c>
      <c r="H541" s="22" t="s">
        <v>11</v>
      </c>
      <c r="I541" s="22" t="s">
        <v>5511</v>
      </c>
      <c r="J541" s="22" t="s">
        <v>52</v>
      </c>
      <c r="K541" s="22">
        <v>5.18123060200019e+18</v>
      </c>
      <c r="L541" s="22" t="s">
        <v>1072</v>
      </c>
      <c r="M541" s="25"/>
    </row>
    <row r="542" customHeight="1" spans="1:13">
      <c r="A542" s="21">
        <v>45962</v>
      </c>
      <c r="B542" s="22" t="s">
        <v>5472</v>
      </c>
      <c r="C542" s="23">
        <v>45987</v>
      </c>
      <c r="D542" s="27">
        <v>1242310.71</v>
      </c>
      <c r="E542" s="22" t="s">
        <v>173</v>
      </c>
      <c r="F542" s="22" t="s">
        <v>7</v>
      </c>
      <c r="G542" s="22" t="s">
        <v>1889</v>
      </c>
      <c r="H542" s="22" t="s">
        <v>12</v>
      </c>
      <c r="I542" s="22" t="s">
        <v>5511</v>
      </c>
      <c r="J542" s="22" t="s">
        <v>46</v>
      </c>
      <c r="K542" s="22">
        <v>5.18120120900005e+18</v>
      </c>
      <c r="L542" s="22" t="s">
        <v>1195</v>
      </c>
      <c r="M542" s="25"/>
    </row>
    <row r="543" customHeight="1" spans="1:13">
      <c r="A543" s="21">
        <v>45962</v>
      </c>
      <c r="B543" s="22" t="s">
        <v>5472</v>
      </c>
      <c r="C543" s="23">
        <v>45987</v>
      </c>
      <c r="D543" s="24">
        <v>145</v>
      </c>
      <c r="E543" s="22" t="s">
        <v>139</v>
      </c>
      <c r="F543" s="22" t="s">
        <v>105</v>
      </c>
      <c r="G543" s="22" t="s">
        <v>1891</v>
      </c>
      <c r="H543" s="22" t="s">
        <v>10</v>
      </c>
      <c r="I543" s="22" t="s">
        <v>5511</v>
      </c>
      <c r="J543" s="22" t="s">
        <v>40</v>
      </c>
      <c r="K543" s="22">
        <v>5.18120120900005e+18</v>
      </c>
      <c r="L543" s="22" t="s">
        <v>1195</v>
      </c>
      <c r="M543" s="25"/>
    </row>
    <row r="544" customHeight="1" spans="1:13">
      <c r="A544" s="21">
        <v>45962</v>
      </c>
      <c r="B544" s="22" t="s">
        <v>5472</v>
      </c>
      <c r="C544" s="23">
        <v>45987</v>
      </c>
      <c r="D544" s="27">
        <v>59547.76</v>
      </c>
      <c r="E544" s="22" t="s">
        <v>173</v>
      </c>
      <c r="F544" s="22" t="s">
        <v>7</v>
      </c>
      <c r="G544" s="22" t="s">
        <v>1895</v>
      </c>
      <c r="H544" s="22" t="s">
        <v>10</v>
      </c>
      <c r="I544" s="22" t="s">
        <v>5511</v>
      </c>
      <c r="J544" s="22" t="s">
        <v>51</v>
      </c>
      <c r="K544" s="22">
        <v>5.18120120900005e+18</v>
      </c>
      <c r="L544" s="22" t="s">
        <v>1195</v>
      </c>
      <c r="M544" s="25"/>
    </row>
    <row r="545" customHeight="1" spans="1:13">
      <c r="A545" s="21">
        <v>45962</v>
      </c>
      <c r="B545" s="22" t="s">
        <v>5472</v>
      </c>
      <c r="C545" s="23">
        <v>45987</v>
      </c>
      <c r="D545" s="27">
        <v>81309.16</v>
      </c>
      <c r="E545" s="22" t="s">
        <v>173</v>
      </c>
      <c r="F545" s="22" t="s">
        <v>7</v>
      </c>
      <c r="G545" s="22" t="s">
        <v>1897</v>
      </c>
      <c r="H545" s="22" t="s">
        <v>10</v>
      </c>
      <c r="I545" s="22" t="s">
        <v>5511</v>
      </c>
      <c r="J545" s="22" t="s">
        <v>51</v>
      </c>
      <c r="K545" s="22">
        <v>5.18120120900005e+18</v>
      </c>
      <c r="L545" s="22" t="s">
        <v>1195</v>
      </c>
      <c r="M545" s="25"/>
    </row>
    <row r="546" customHeight="1" spans="1:13">
      <c r="A546" s="21">
        <v>45962</v>
      </c>
      <c r="B546" s="22" t="s">
        <v>5472</v>
      </c>
      <c r="C546" s="23">
        <v>45987</v>
      </c>
      <c r="D546" s="27">
        <v>84040.51</v>
      </c>
      <c r="E546" s="22" t="s">
        <v>173</v>
      </c>
      <c r="F546" s="22" t="s">
        <v>7</v>
      </c>
      <c r="G546" s="22" t="s">
        <v>1900</v>
      </c>
      <c r="H546" s="22" t="s">
        <v>10</v>
      </c>
      <c r="I546" s="22" t="s">
        <v>5511</v>
      </c>
      <c r="J546" s="22" t="s">
        <v>51</v>
      </c>
      <c r="K546" s="22">
        <v>5.18120120900005e+18</v>
      </c>
      <c r="L546" s="22" t="s">
        <v>1195</v>
      </c>
      <c r="M546" s="25"/>
    </row>
    <row r="547" customHeight="1" spans="1:13">
      <c r="A547" s="21">
        <v>45962</v>
      </c>
      <c r="B547" s="22" t="s">
        <v>5472</v>
      </c>
      <c r="C547" s="23">
        <v>45988</v>
      </c>
      <c r="D547" s="27">
        <v>198665</v>
      </c>
      <c r="E547" s="22" t="s">
        <v>173</v>
      </c>
      <c r="F547" s="22" t="s">
        <v>7</v>
      </c>
      <c r="G547" s="22" t="s">
        <v>1905</v>
      </c>
      <c r="H547" s="22" t="s">
        <v>11</v>
      </c>
      <c r="I547" s="22" t="s">
        <v>5511</v>
      </c>
      <c r="J547" s="22" t="s">
        <v>48</v>
      </c>
      <c r="K547" s="22">
        <v>5.18125021703785e+18</v>
      </c>
      <c r="L547" s="22" t="s">
        <v>1244</v>
      </c>
      <c r="M547" s="22" t="s">
        <v>5531</v>
      </c>
    </row>
    <row r="548" customHeight="1" spans="1:13">
      <c r="A548" s="21">
        <v>45962</v>
      </c>
      <c r="B548" s="22" t="s">
        <v>5472</v>
      </c>
      <c r="C548" s="23">
        <v>45989</v>
      </c>
      <c r="D548" s="24">
        <v>2</v>
      </c>
      <c r="E548" s="22" t="s">
        <v>149</v>
      </c>
      <c r="F548" s="22" t="s">
        <v>105</v>
      </c>
      <c r="G548" s="22" t="s">
        <v>1907</v>
      </c>
      <c r="H548" s="22" t="s">
        <v>11</v>
      </c>
      <c r="I548" s="22" t="s">
        <v>5511</v>
      </c>
      <c r="J548" s="22" t="s">
        <v>52</v>
      </c>
      <c r="K548" s="22">
        <v>5.18125100904931e+18</v>
      </c>
      <c r="L548" s="22" t="s">
        <v>1705</v>
      </c>
      <c r="M548" s="25"/>
    </row>
    <row r="549" customHeight="1" spans="1:13">
      <c r="A549" s="21">
        <v>45962</v>
      </c>
      <c r="B549" s="22" t="s">
        <v>5472</v>
      </c>
      <c r="C549" s="23">
        <v>45989</v>
      </c>
      <c r="D549" s="27">
        <v>5900</v>
      </c>
      <c r="E549" s="22" t="s">
        <v>173</v>
      </c>
      <c r="F549" s="22" t="s">
        <v>7</v>
      </c>
      <c r="G549" s="22" t="s">
        <v>1910</v>
      </c>
      <c r="H549" s="22" t="s">
        <v>11</v>
      </c>
      <c r="I549" s="22" t="s">
        <v>5511</v>
      </c>
      <c r="J549" s="22" t="s">
        <v>48</v>
      </c>
      <c r="K549" s="22">
        <v>5.18125100904931e+18</v>
      </c>
      <c r="L549" s="22" t="s">
        <v>1705</v>
      </c>
      <c r="M549" s="25"/>
    </row>
    <row r="550" customHeight="1" spans="1:13">
      <c r="A550" s="21">
        <v>45962</v>
      </c>
      <c r="B550" s="22" t="s">
        <v>5472</v>
      </c>
      <c r="C550" s="23">
        <v>45990</v>
      </c>
      <c r="D550" s="24">
        <v>100</v>
      </c>
      <c r="E550" s="22" t="s">
        <v>139</v>
      </c>
      <c r="F550" s="22" t="s">
        <v>105</v>
      </c>
      <c r="G550" s="22" t="s">
        <v>1916</v>
      </c>
      <c r="H550" s="22" t="s">
        <v>10</v>
      </c>
      <c r="I550" s="22" t="s">
        <v>5511</v>
      </c>
      <c r="J550" s="22" t="s">
        <v>40</v>
      </c>
      <c r="K550" s="22">
        <v>5.18125012103743e+18</v>
      </c>
      <c r="L550" s="22" t="s">
        <v>1528</v>
      </c>
      <c r="M550" s="25"/>
    </row>
    <row r="551" customHeight="1" spans="1:13">
      <c r="A551" s="21">
        <v>45992</v>
      </c>
      <c r="B551" s="22" t="s">
        <v>5474</v>
      </c>
      <c r="C551" s="23">
        <v>45992</v>
      </c>
      <c r="D551" s="24">
        <v>803</v>
      </c>
      <c r="E551" s="22" t="s">
        <v>173</v>
      </c>
      <c r="F551" s="22" t="s">
        <v>105</v>
      </c>
      <c r="G551" s="22" t="s">
        <v>1919</v>
      </c>
      <c r="H551" s="22" t="s">
        <v>10</v>
      </c>
      <c r="I551" s="22" t="s">
        <v>5511</v>
      </c>
      <c r="J551" s="22" t="s">
        <v>39</v>
      </c>
      <c r="K551" s="22">
        <v>5.1812509110479e+18</v>
      </c>
      <c r="L551" s="22" t="s">
        <v>1922</v>
      </c>
      <c r="M551" s="25"/>
    </row>
    <row r="552" customHeight="1" spans="1:13">
      <c r="A552" s="21">
        <v>45992</v>
      </c>
      <c r="B552" s="22" t="s">
        <v>5474</v>
      </c>
      <c r="C552" s="23">
        <v>45993</v>
      </c>
      <c r="D552" s="27">
        <v>25114</v>
      </c>
      <c r="E552" s="22" t="s">
        <v>149</v>
      </c>
      <c r="F552" s="22" t="s">
        <v>7</v>
      </c>
      <c r="G552" s="22" t="s">
        <v>1924</v>
      </c>
      <c r="H552" s="22" t="s">
        <v>11</v>
      </c>
      <c r="I552" s="22" t="s">
        <v>5511</v>
      </c>
      <c r="J552" s="22" t="s">
        <v>52</v>
      </c>
      <c r="K552" s="22">
        <v>5.18125103105074e+18</v>
      </c>
      <c r="L552" s="22" t="s">
        <v>1887</v>
      </c>
      <c r="M552" s="25"/>
    </row>
    <row r="553" customHeight="1" spans="1:13">
      <c r="A553" s="21">
        <v>45992</v>
      </c>
      <c r="B553" s="22" t="s">
        <v>5474</v>
      </c>
      <c r="C553" s="23">
        <v>45995</v>
      </c>
      <c r="D553" s="24">
        <v>230</v>
      </c>
      <c r="E553" s="22" t="s">
        <v>80</v>
      </c>
      <c r="F553" s="22" t="s">
        <v>105</v>
      </c>
      <c r="G553" s="22" t="s">
        <v>1928</v>
      </c>
      <c r="H553" s="22" t="s">
        <v>10</v>
      </c>
      <c r="I553" s="22" t="s">
        <v>5511</v>
      </c>
      <c r="J553" s="22" t="s">
        <v>40</v>
      </c>
      <c r="K553" s="22">
        <v>5.18125051804162e+18</v>
      </c>
      <c r="L553" s="22" t="s">
        <v>1931</v>
      </c>
      <c r="M553" s="25"/>
    </row>
    <row r="554" customHeight="1" spans="1:13">
      <c r="A554" s="21">
        <v>45992</v>
      </c>
      <c r="B554" s="22" t="s">
        <v>5474</v>
      </c>
      <c r="C554" s="23">
        <v>45995</v>
      </c>
      <c r="D554" s="27">
        <v>200000</v>
      </c>
      <c r="E554" s="22" t="s">
        <v>1062</v>
      </c>
      <c r="F554" s="22" t="s">
        <v>7</v>
      </c>
      <c r="G554" s="22" t="s">
        <v>1933</v>
      </c>
      <c r="H554" s="22" t="s">
        <v>12</v>
      </c>
      <c r="I554" s="22" t="s">
        <v>5511</v>
      </c>
      <c r="J554" s="22" t="s">
        <v>39</v>
      </c>
      <c r="K554" s="22">
        <v>5.18125051804162e+18</v>
      </c>
      <c r="L554" s="22" t="s">
        <v>1931</v>
      </c>
      <c r="M554" s="25"/>
    </row>
    <row r="555" customHeight="1" spans="1:13">
      <c r="A555" s="21">
        <v>45992</v>
      </c>
      <c r="B555" s="22" t="s">
        <v>5474</v>
      </c>
      <c r="C555" s="23">
        <v>45995</v>
      </c>
      <c r="D555" s="28">
        <v>18150</v>
      </c>
      <c r="E555" s="22" t="s">
        <v>149</v>
      </c>
      <c r="F555" s="22" t="s">
        <v>105</v>
      </c>
      <c r="G555" s="22" t="s">
        <v>1936</v>
      </c>
      <c r="H555" s="22" t="s">
        <v>11</v>
      </c>
      <c r="I555" s="22" t="s">
        <v>5511</v>
      </c>
      <c r="J555" s="22" t="s">
        <v>52</v>
      </c>
      <c r="K555" s="22">
        <v>5.18125051804162e+18</v>
      </c>
      <c r="L555" s="22" t="s">
        <v>1931</v>
      </c>
      <c r="M555" s="25"/>
    </row>
    <row r="556" customHeight="1" spans="1:13">
      <c r="A556" s="21">
        <v>45992</v>
      </c>
      <c r="B556" s="22" t="s">
        <v>5474</v>
      </c>
      <c r="C556" s="23">
        <v>45996</v>
      </c>
      <c r="D556" s="27">
        <v>9750</v>
      </c>
      <c r="E556" s="22" t="s">
        <v>149</v>
      </c>
      <c r="F556" s="22" t="s">
        <v>105</v>
      </c>
      <c r="G556" s="22" t="s">
        <v>1938</v>
      </c>
      <c r="H556" s="22" t="s">
        <v>11</v>
      </c>
      <c r="I556" s="22" t="s">
        <v>5511</v>
      </c>
      <c r="J556" s="22" t="s">
        <v>52</v>
      </c>
      <c r="K556" s="22">
        <v>5.18125070904466e+18</v>
      </c>
      <c r="L556" s="22" t="s">
        <v>1941</v>
      </c>
      <c r="M556" s="25"/>
    </row>
    <row r="557" customHeight="1" spans="1:13">
      <c r="A557" s="21">
        <v>45992</v>
      </c>
      <c r="B557" s="22" t="s">
        <v>5474</v>
      </c>
      <c r="C557" s="23">
        <v>46000</v>
      </c>
      <c r="D557" s="27">
        <v>20930</v>
      </c>
      <c r="E557" s="22" t="s">
        <v>149</v>
      </c>
      <c r="F557" s="22" t="s">
        <v>105</v>
      </c>
      <c r="G557" s="22" t="s">
        <v>1942</v>
      </c>
      <c r="H557" s="22" t="s">
        <v>11</v>
      </c>
      <c r="I557" s="22" t="s">
        <v>5511</v>
      </c>
      <c r="J557" s="22" t="s">
        <v>52</v>
      </c>
      <c r="K557" s="22">
        <v>5.18125111705179e+18</v>
      </c>
      <c r="L557" s="22" t="s">
        <v>1945</v>
      </c>
      <c r="M557" s="25"/>
    </row>
    <row r="558" customHeight="1" spans="1:13">
      <c r="A558" s="21">
        <v>45992</v>
      </c>
      <c r="B558" s="22" t="s">
        <v>5474</v>
      </c>
      <c r="C558" s="23">
        <v>46000</v>
      </c>
      <c r="D558" s="27">
        <v>84725.19</v>
      </c>
      <c r="E558" s="22" t="s">
        <v>149</v>
      </c>
      <c r="F558" s="22" t="s">
        <v>7</v>
      </c>
      <c r="G558" s="22" t="s">
        <v>1946</v>
      </c>
      <c r="H558" s="22" t="s">
        <v>12</v>
      </c>
      <c r="I558" s="22" t="s">
        <v>5511</v>
      </c>
      <c r="J558" s="22" t="s">
        <v>48</v>
      </c>
      <c r="K558" s="22">
        <v>5.18125111705179e+18</v>
      </c>
      <c r="L558" s="22" t="s">
        <v>1945</v>
      </c>
      <c r="M558" s="25"/>
    </row>
    <row r="559" customHeight="1" spans="1:13">
      <c r="A559" s="21">
        <v>45992</v>
      </c>
      <c r="B559" s="22" t="s">
        <v>5474</v>
      </c>
      <c r="C559" s="23">
        <v>46001</v>
      </c>
      <c r="D559" s="27">
        <v>7630.8</v>
      </c>
      <c r="E559" s="22" t="s">
        <v>173</v>
      </c>
      <c r="F559" s="22" t="s">
        <v>105</v>
      </c>
      <c r="G559" s="22" t="s">
        <v>1947</v>
      </c>
      <c r="H559" s="22" t="s">
        <v>11</v>
      </c>
      <c r="I559" s="22" t="s">
        <v>5511</v>
      </c>
      <c r="J559" s="22" t="s">
        <v>39</v>
      </c>
      <c r="K559" s="22">
        <v>5.18124120303621e+18</v>
      </c>
      <c r="L559" s="22" t="s">
        <v>1950</v>
      </c>
      <c r="M559" s="25"/>
    </row>
    <row r="560" customHeight="1" spans="1:13">
      <c r="A560" s="21">
        <v>45992</v>
      </c>
      <c r="B560" s="22" t="s">
        <v>5474</v>
      </c>
      <c r="C560" s="23">
        <v>46001</v>
      </c>
      <c r="D560" s="27">
        <v>10200</v>
      </c>
      <c r="E560" s="22" t="s">
        <v>149</v>
      </c>
      <c r="F560" s="22" t="s">
        <v>7</v>
      </c>
      <c r="G560" s="22" t="s">
        <v>1951</v>
      </c>
      <c r="H560" s="22" t="s">
        <v>11</v>
      </c>
      <c r="I560" s="22" t="s">
        <v>5511</v>
      </c>
      <c r="J560" s="22" t="s">
        <v>52</v>
      </c>
      <c r="K560" s="22">
        <v>5.18124120303621e+18</v>
      </c>
      <c r="L560" s="22" t="s">
        <v>1950</v>
      </c>
      <c r="M560" s="25"/>
    </row>
    <row r="561" customHeight="1" spans="1:13">
      <c r="A561" s="21">
        <v>45992</v>
      </c>
      <c r="B561" s="22" t="s">
        <v>5474</v>
      </c>
      <c r="C561" s="23">
        <v>46002</v>
      </c>
      <c r="D561" s="27">
        <v>11960</v>
      </c>
      <c r="E561" s="22" t="s">
        <v>173</v>
      </c>
      <c r="F561" s="22" t="s">
        <v>7</v>
      </c>
      <c r="G561" s="22" t="s">
        <v>1955</v>
      </c>
      <c r="H561" s="22" t="s">
        <v>11</v>
      </c>
      <c r="I561" s="22" t="s">
        <v>5511</v>
      </c>
      <c r="J561" s="22" t="s">
        <v>47</v>
      </c>
      <c r="K561" s="22">
        <v>5.18123091800082e+18</v>
      </c>
      <c r="L561" s="22" t="s">
        <v>1958</v>
      </c>
      <c r="M561" s="25"/>
    </row>
    <row r="562" customHeight="1" spans="1:13">
      <c r="A562" s="21">
        <v>45992</v>
      </c>
      <c r="B562" s="22" t="s">
        <v>5474</v>
      </c>
      <c r="C562" s="23">
        <v>46002</v>
      </c>
      <c r="D562" s="27">
        <v>260500</v>
      </c>
      <c r="E562" s="22" t="s">
        <v>173</v>
      </c>
      <c r="F562" s="22" t="s">
        <v>7</v>
      </c>
      <c r="G562" s="22" t="s">
        <v>1961</v>
      </c>
      <c r="H562" s="22" t="s">
        <v>12</v>
      </c>
      <c r="I562" s="22" t="s">
        <v>5511</v>
      </c>
      <c r="J562" s="22" t="s">
        <v>48</v>
      </c>
      <c r="K562" s="22">
        <v>5.18123091800082e+18</v>
      </c>
      <c r="L562" s="22" t="s">
        <v>1958</v>
      </c>
      <c r="M562" s="25"/>
    </row>
    <row r="563" customHeight="1" spans="1:13">
      <c r="A563" s="21">
        <v>45992</v>
      </c>
      <c r="B563" s="22" t="s">
        <v>5474</v>
      </c>
      <c r="C563" s="23">
        <v>46002</v>
      </c>
      <c r="D563" s="27">
        <v>29852</v>
      </c>
      <c r="E563" s="22" t="s">
        <v>149</v>
      </c>
      <c r="F563" s="22" t="s">
        <v>7</v>
      </c>
      <c r="G563" s="22" t="s">
        <v>1963</v>
      </c>
      <c r="H563" s="22" t="s">
        <v>11</v>
      </c>
      <c r="I563" s="22" t="s">
        <v>5511</v>
      </c>
      <c r="J563" s="22" t="s">
        <v>52</v>
      </c>
      <c r="K563" s="22">
        <v>5.18123091800082e+18</v>
      </c>
      <c r="L563" s="22" t="s">
        <v>1958</v>
      </c>
      <c r="M563" s="25"/>
    </row>
    <row r="564" customHeight="1" spans="1:13">
      <c r="A564" s="21">
        <v>45992</v>
      </c>
      <c r="B564" s="22" t="s">
        <v>5474</v>
      </c>
      <c r="C564" s="23">
        <v>46006</v>
      </c>
      <c r="D564" s="27">
        <v>204776.12</v>
      </c>
      <c r="E564" s="22" t="s">
        <v>173</v>
      </c>
      <c r="F564" s="22" t="s">
        <v>7</v>
      </c>
      <c r="G564" s="22" t="s">
        <v>5532</v>
      </c>
      <c r="H564" s="22" t="s">
        <v>12</v>
      </c>
      <c r="I564" s="22" t="s">
        <v>5511</v>
      </c>
      <c r="J564" s="22" t="s">
        <v>48</v>
      </c>
      <c r="K564" s="22">
        <v>5.18125110705113e+18</v>
      </c>
      <c r="L564" s="22" t="s">
        <v>1967</v>
      </c>
      <c r="M564" s="25"/>
    </row>
    <row r="565" customHeight="1" spans="1:13">
      <c r="A565" s="21">
        <v>45992</v>
      </c>
      <c r="B565" s="22" t="s">
        <v>5474</v>
      </c>
      <c r="C565" s="23">
        <v>46006</v>
      </c>
      <c r="D565" s="27">
        <v>41991.52</v>
      </c>
      <c r="E565" s="22" t="s">
        <v>173</v>
      </c>
      <c r="F565" s="22" t="s">
        <v>7</v>
      </c>
      <c r="G565" s="22" t="s">
        <v>1968</v>
      </c>
      <c r="H565" s="22" t="s">
        <v>11</v>
      </c>
      <c r="I565" s="22" t="s">
        <v>5511</v>
      </c>
      <c r="J565" s="22" t="s">
        <v>39</v>
      </c>
      <c r="K565" s="22">
        <v>5.18125110705113e+18</v>
      </c>
      <c r="L565" s="22" t="s">
        <v>1967</v>
      </c>
      <c r="M565" s="25"/>
    </row>
    <row r="566" customHeight="1" spans="1:13">
      <c r="A566" s="21">
        <v>45992</v>
      </c>
      <c r="B566" s="22" t="s">
        <v>5474</v>
      </c>
      <c r="C566" s="23">
        <v>46006</v>
      </c>
      <c r="D566" s="27">
        <v>123901.2</v>
      </c>
      <c r="E566" s="22" t="s">
        <v>173</v>
      </c>
      <c r="F566" s="22" t="s">
        <v>105</v>
      </c>
      <c r="G566" s="22" t="s">
        <v>1972</v>
      </c>
      <c r="H566" s="22" t="s">
        <v>11</v>
      </c>
      <c r="I566" s="22" t="s">
        <v>5511</v>
      </c>
      <c r="J566" s="22" t="s">
        <v>39</v>
      </c>
      <c r="K566" s="22">
        <v>5.18125110705113e+18</v>
      </c>
      <c r="L566" s="22" t="s">
        <v>1967</v>
      </c>
      <c r="M566" s="25"/>
    </row>
    <row r="567" customHeight="1" spans="1:13">
      <c r="A567" s="21">
        <v>45992</v>
      </c>
      <c r="B567" s="22" t="s">
        <v>5475</v>
      </c>
      <c r="C567" s="23">
        <v>46007</v>
      </c>
      <c r="D567" s="27">
        <v>50000000</v>
      </c>
      <c r="E567" s="22" t="s">
        <v>1172</v>
      </c>
      <c r="F567" s="22" t="s">
        <v>7</v>
      </c>
      <c r="G567" s="22" t="s">
        <v>1975</v>
      </c>
      <c r="H567" s="22" t="s">
        <v>12</v>
      </c>
      <c r="I567" s="22" t="s">
        <v>5511</v>
      </c>
      <c r="J567" s="22" t="s">
        <v>44</v>
      </c>
      <c r="K567" s="22">
        <v>5.18125061204321e+18</v>
      </c>
      <c r="L567" s="22" t="s">
        <v>1977</v>
      </c>
      <c r="M567" s="25"/>
    </row>
    <row r="568" customHeight="1" spans="1:13">
      <c r="A568" s="21">
        <v>45992</v>
      </c>
      <c r="B568" s="22" t="s">
        <v>5475</v>
      </c>
      <c r="C568" s="23">
        <v>46007</v>
      </c>
      <c r="D568" s="27">
        <v>48742</v>
      </c>
      <c r="E568" s="22" t="s">
        <v>149</v>
      </c>
      <c r="F568" s="22" t="s">
        <v>105</v>
      </c>
      <c r="G568" s="22" t="s">
        <v>1979</v>
      </c>
      <c r="H568" s="22" t="s">
        <v>11</v>
      </c>
      <c r="I568" s="22" t="s">
        <v>5511</v>
      </c>
      <c r="J568" s="22" t="s">
        <v>52</v>
      </c>
      <c r="K568" s="22">
        <v>5.18125061204321e+18</v>
      </c>
      <c r="L568" s="22" t="s">
        <v>1977</v>
      </c>
      <c r="M568" s="25"/>
    </row>
    <row r="569" customHeight="1" spans="1:13">
      <c r="A569" s="21">
        <v>45992</v>
      </c>
      <c r="B569" s="22" t="s">
        <v>5475</v>
      </c>
      <c r="C569" s="23">
        <v>46008</v>
      </c>
      <c r="D569" s="27">
        <v>160088</v>
      </c>
      <c r="E569" s="22" t="s">
        <v>1466</v>
      </c>
      <c r="F569" s="22" t="s">
        <v>7</v>
      </c>
      <c r="G569" s="22" t="s">
        <v>5533</v>
      </c>
      <c r="H569" s="22" t="s">
        <v>12</v>
      </c>
      <c r="I569" s="22" t="s">
        <v>5511</v>
      </c>
      <c r="J569" s="22" t="s">
        <v>44</v>
      </c>
      <c r="K569" s="22">
        <v>5.18123071000043e+18</v>
      </c>
      <c r="L569" s="22" t="s">
        <v>1343</v>
      </c>
      <c r="M569" s="25"/>
    </row>
    <row r="570" customHeight="1" spans="1:13">
      <c r="A570" s="21">
        <v>45992</v>
      </c>
      <c r="B570" s="22" t="s">
        <v>5475</v>
      </c>
      <c r="C570" s="23">
        <v>46009</v>
      </c>
      <c r="D570" s="27">
        <v>3860000</v>
      </c>
      <c r="E570" s="22" t="s">
        <v>1037</v>
      </c>
      <c r="F570" s="22" t="s">
        <v>7</v>
      </c>
      <c r="G570" s="22" t="s">
        <v>1983</v>
      </c>
      <c r="H570" s="22" t="s">
        <v>11</v>
      </c>
      <c r="I570" s="22" t="s">
        <v>5511</v>
      </c>
      <c r="J570" s="22" t="s">
        <v>41</v>
      </c>
      <c r="K570" s="22">
        <v>5.18125112105204e+18</v>
      </c>
      <c r="L570" s="22" t="s">
        <v>1986</v>
      </c>
      <c r="M570" s="25"/>
    </row>
    <row r="571" customHeight="1" spans="1:13">
      <c r="A571" s="21">
        <v>45992</v>
      </c>
      <c r="B571" s="22" t="s">
        <v>5475</v>
      </c>
      <c r="C571" s="23">
        <v>46009</v>
      </c>
      <c r="D571" s="28">
        <v>208156</v>
      </c>
      <c r="E571" s="22" t="s">
        <v>173</v>
      </c>
      <c r="F571" s="22" t="s">
        <v>7</v>
      </c>
      <c r="G571" s="22" t="s">
        <v>1989</v>
      </c>
      <c r="H571" s="22" t="s">
        <v>12</v>
      </c>
      <c r="I571" s="22" t="s">
        <v>5511</v>
      </c>
      <c r="J571" s="22" t="s">
        <v>48</v>
      </c>
      <c r="K571" s="22">
        <v>5.18125112105204e+18</v>
      </c>
      <c r="L571" s="22" t="s">
        <v>1986</v>
      </c>
      <c r="M571" s="25"/>
    </row>
    <row r="572" customHeight="1" spans="1:13">
      <c r="A572" s="21">
        <v>45992</v>
      </c>
      <c r="B572" s="22" t="s">
        <v>5475</v>
      </c>
      <c r="C572" s="23">
        <v>46009</v>
      </c>
      <c r="D572" s="24">
        <v>95</v>
      </c>
      <c r="E572" s="22" t="s">
        <v>139</v>
      </c>
      <c r="F572" s="22" t="s">
        <v>105</v>
      </c>
      <c r="G572" s="22" t="s">
        <v>1993</v>
      </c>
      <c r="H572" s="22" t="s">
        <v>10</v>
      </c>
      <c r="I572" s="22" t="s">
        <v>5511</v>
      </c>
      <c r="J572" s="22" t="s">
        <v>40</v>
      </c>
      <c r="K572" s="22">
        <v>5.18125112105204e+18</v>
      </c>
      <c r="L572" s="22" t="s">
        <v>1986</v>
      </c>
      <c r="M572" s="25"/>
    </row>
    <row r="573" customHeight="1" spans="1:13">
      <c r="A573" s="21">
        <v>45992</v>
      </c>
      <c r="B573" s="22" t="s">
        <v>5475</v>
      </c>
      <c r="C573" s="23">
        <v>46010</v>
      </c>
      <c r="D573" s="24">
        <v>315</v>
      </c>
      <c r="E573" s="22" t="s">
        <v>173</v>
      </c>
      <c r="F573" s="22" t="s">
        <v>7</v>
      </c>
      <c r="G573" s="22" t="s">
        <v>1997</v>
      </c>
      <c r="H573" s="22" t="s">
        <v>11</v>
      </c>
      <c r="I573" s="22" t="s">
        <v>5511</v>
      </c>
      <c r="J573" s="22" t="s">
        <v>47</v>
      </c>
      <c r="K573" s="22">
        <v>5.18123091400078e+18</v>
      </c>
      <c r="L573" s="22" t="s">
        <v>2000</v>
      </c>
      <c r="M573" s="25"/>
    </row>
    <row r="574" customHeight="1" spans="1:13">
      <c r="A574" s="21">
        <v>45992</v>
      </c>
      <c r="B574" s="22" t="s">
        <v>5475</v>
      </c>
      <c r="C574" s="23">
        <v>46010</v>
      </c>
      <c r="D574" s="24">
        <v>65</v>
      </c>
      <c r="E574" s="22" t="s">
        <v>173</v>
      </c>
      <c r="F574" s="22" t="s">
        <v>105</v>
      </c>
      <c r="G574" s="22" t="s">
        <v>2003</v>
      </c>
      <c r="H574" s="22" t="s">
        <v>10</v>
      </c>
      <c r="I574" s="22" t="s">
        <v>5511</v>
      </c>
      <c r="J574" s="22" t="s">
        <v>2002</v>
      </c>
      <c r="K574" s="22">
        <v>5.18123091400078e+18</v>
      </c>
      <c r="L574" s="22" t="s">
        <v>2000</v>
      </c>
      <c r="M574" s="25"/>
    </row>
    <row r="575" customHeight="1" spans="1:13">
      <c r="A575" s="21">
        <v>45992</v>
      </c>
      <c r="B575" s="22" t="s">
        <v>5475</v>
      </c>
      <c r="C575" s="23">
        <v>46013</v>
      </c>
      <c r="D575" s="24">
        <v>471</v>
      </c>
      <c r="E575" s="22" t="s">
        <v>173</v>
      </c>
      <c r="F575" s="22" t="s">
        <v>7</v>
      </c>
      <c r="G575" s="22" t="s">
        <v>2008</v>
      </c>
      <c r="H575" s="22" t="s">
        <v>11</v>
      </c>
      <c r="I575" s="22" t="s">
        <v>5511</v>
      </c>
      <c r="J575" s="22" t="s">
        <v>48</v>
      </c>
      <c r="K575" s="22">
        <v>5.18125060504261e+18</v>
      </c>
      <c r="L575" s="22" t="s">
        <v>2011</v>
      </c>
      <c r="M575" s="25"/>
    </row>
    <row r="576" customHeight="1" spans="1:13">
      <c r="A576" s="21">
        <v>45992</v>
      </c>
      <c r="B576" s="22" t="s">
        <v>5475</v>
      </c>
      <c r="C576" s="23">
        <v>46014</v>
      </c>
      <c r="D576" s="27">
        <v>481220</v>
      </c>
      <c r="E576" s="22" t="s">
        <v>173</v>
      </c>
      <c r="F576" s="22" t="s">
        <v>7</v>
      </c>
      <c r="G576" s="22" t="s">
        <v>2012</v>
      </c>
      <c r="H576" s="22" t="s">
        <v>10</v>
      </c>
      <c r="I576" s="22" t="s">
        <v>5511</v>
      </c>
      <c r="J576" s="22" t="s">
        <v>51</v>
      </c>
      <c r="K576" s="22">
        <v>5.18125041704047e+18</v>
      </c>
      <c r="L576" s="22" t="s">
        <v>1816</v>
      </c>
      <c r="M576" s="25"/>
    </row>
    <row r="577" customHeight="1" spans="1:13">
      <c r="A577" s="21">
        <v>45992</v>
      </c>
      <c r="B577" s="22" t="s">
        <v>5475</v>
      </c>
      <c r="C577" s="23">
        <v>46014</v>
      </c>
      <c r="D577" s="24">
        <v>199</v>
      </c>
      <c r="E577" s="22" t="s">
        <v>80</v>
      </c>
      <c r="F577" s="22" t="s">
        <v>105</v>
      </c>
      <c r="G577" s="22" t="s">
        <v>2015</v>
      </c>
      <c r="H577" s="22" t="s">
        <v>10</v>
      </c>
      <c r="I577" s="22" t="s">
        <v>5511</v>
      </c>
      <c r="J577" s="22" t="s">
        <v>40</v>
      </c>
      <c r="K577" s="22">
        <v>5.18125041704047e+18</v>
      </c>
      <c r="L577" s="22" t="s">
        <v>1816</v>
      </c>
      <c r="M577" s="25"/>
    </row>
    <row r="578" customHeight="1" spans="1:13">
      <c r="A578" s="21">
        <v>45992</v>
      </c>
      <c r="B578" s="22" t="s">
        <v>5475</v>
      </c>
      <c r="C578" s="23">
        <v>46015</v>
      </c>
      <c r="D578" s="27">
        <v>1492.43</v>
      </c>
      <c r="E578" s="22" t="s">
        <v>173</v>
      </c>
      <c r="F578" s="22" t="s">
        <v>7</v>
      </c>
      <c r="G578" s="22" t="s">
        <v>2019</v>
      </c>
      <c r="H578" s="22" t="s">
        <v>12</v>
      </c>
      <c r="I578" s="22" t="s">
        <v>5511</v>
      </c>
      <c r="J578" s="22" t="s">
        <v>48</v>
      </c>
      <c r="K578" s="22">
        <v>5.18125091604817e+18</v>
      </c>
      <c r="L578" s="22" t="s">
        <v>1871</v>
      </c>
      <c r="M578" s="25"/>
    </row>
    <row r="579" customHeight="1" spans="1:13">
      <c r="A579" s="21">
        <v>45992</v>
      </c>
      <c r="B579" s="22" t="s">
        <v>5475</v>
      </c>
      <c r="C579" s="23">
        <v>46015</v>
      </c>
      <c r="D579" s="27">
        <v>200000</v>
      </c>
      <c r="E579" s="22" t="s">
        <v>173</v>
      </c>
      <c r="F579" s="22" t="s">
        <v>7</v>
      </c>
      <c r="G579" s="22" t="s">
        <v>2022</v>
      </c>
      <c r="H579" s="22" t="s">
        <v>12</v>
      </c>
      <c r="I579" s="22" t="s">
        <v>5511</v>
      </c>
      <c r="J579" s="22" t="s">
        <v>39</v>
      </c>
      <c r="K579" s="22">
        <v>5.18125091604817e+18</v>
      </c>
      <c r="L579" s="22" t="s">
        <v>1871</v>
      </c>
      <c r="M579" s="25"/>
    </row>
    <row r="580" customHeight="1" spans="1:13">
      <c r="A580" s="21">
        <v>45992</v>
      </c>
      <c r="B580" s="22" t="s">
        <v>5475</v>
      </c>
      <c r="C580" s="23">
        <v>46016</v>
      </c>
      <c r="D580" s="24">
        <v>0</v>
      </c>
      <c r="E580" s="24">
        <v>0</v>
      </c>
      <c r="F580" s="22" t="s">
        <v>105</v>
      </c>
      <c r="G580" s="22" t="s">
        <v>2024</v>
      </c>
      <c r="H580" s="22" t="s">
        <v>10</v>
      </c>
      <c r="I580" s="22" t="s">
        <v>5511</v>
      </c>
      <c r="J580" s="22" t="s">
        <v>2002</v>
      </c>
      <c r="K580" s="22">
        <v>5.18125120205256e+18</v>
      </c>
      <c r="L580" s="22" t="s">
        <v>2026</v>
      </c>
      <c r="M580" s="25"/>
    </row>
    <row r="581" customHeight="1" spans="1:13">
      <c r="A581" s="21">
        <v>45992</v>
      </c>
      <c r="B581" s="22" t="s">
        <v>5475</v>
      </c>
      <c r="C581" s="23">
        <v>46017</v>
      </c>
      <c r="D581" s="27">
        <v>5016.66</v>
      </c>
      <c r="E581" s="22" t="s">
        <v>173</v>
      </c>
      <c r="F581" s="22" t="s">
        <v>7</v>
      </c>
      <c r="G581" s="22" t="s">
        <v>2028</v>
      </c>
      <c r="H581" s="22" t="s">
        <v>10</v>
      </c>
      <c r="I581" s="22" t="s">
        <v>5511</v>
      </c>
      <c r="J581" s="22" t="s">
        <v>44</v>
      </c>
      <c r="K581" s="22">
        <v>5.1812503110388e+18</v>
      </c>
      <c r="L581" s="22" t="s">
        <v>709</v>
      </c>
      <c r="M581" s="25"/>
    </row>
    <row r="582" customHeight="1" spans="1:13">
      <c r="A582" s="21">
        <v>45992</v>
      </c>
      <c r="B582" s="22" t="s">
        <v>5475</v>
      </c>
      <c r="C582" s="23">
        <v>46017</v>
      </c>
      <c r="D582" s="27">
        <v>20208.16</v>
      </c>
      <c r="E582" s="22" t="s">
        <v>173</v>
      </c>
      <c r="F582" s="22" t="s">
        <v>7</v>
      </c>
      <c r="G582" s="22" t="s">
        <v>2030</v>
      </c>
      <c r="H582" s="22" t="s">
        <v>10</v>
      </c>
      <c r="I582" s="22" t="s">
        <v>5511</v>
      </c>
      <c r="J582" s="22" t="s">
        <v>44</v>
      </c>
      <c r="K582" s="22">
        <v>5.1812503110388e+18</v>
      </c>
      <c r="L582" s="22" t="s">
        <v>709</v>
      </c>
      <c r="M582" s="25"/>
    </row>
    <row r="583" customHeight="1" spans="1:13">
      <c r="A583" s="21">
        <v>45992</v>
      </c>
      <c r="B583" s="22" t="s">
        <v>5475</v>
      </c>
      <c r="C583" s="23">
        <v>46017</v>
      </c>
      <c r="D583" s="27">
        <v>19669.63</v>
      </c>
      <c r="E583" s="22" t="s">
        <v>173</v>
      </c>
      <c r="F583" s="22" t="s">
        <v>7</v>
      </c>
      <c r="G583" s="22" t="s">
        <v>2032</v>
      </c>
      <c r="H583" s="22" t="s">
        <v>10</v>
      </c>
      <c r="I583" s="22" t="s">
        <v>5511</v>
      </c>
      <c r="J583" s="22" t="s">
        <v>44</v>
      </c>
      <c r="K583" s="22">
        <v>5.1812503110388e+18</v>
      </c>
      <c r="L583" s="22" t="s">
        <v>709</v>
      </c>
      <c r="M583" s="25"/>
    </row>
    <row r="584" customHeight="1" spans="1:13">
      <c r="A584" s="21">
        <v>45992</v>
      </c>
      <c r="B584" s="22" t="s">
        <v>5475</v>
      </c>
      <c r="C584" s="23">
        <v>46020</v>
      </c>
      <c r="D584" s="24">
        <v>148</v>
      </c>
      <c r="E584" s="22" t="s">
        <v>173</v>
      </c>
      <c r="F584" s="22" t="s">
        <v>7</v>
      </c>
      <c r="G584" s="22" t="s">
        <v>2034</v>
      </c>
      <c r="H584" s="22" t="s">
        <v>11</v>
      </c>
      <c r="I584" s="22" t="s">
        <v>5511</v>
      </c>
      <c r="J584" s="22" t="s">
        <v>47</v>
      </c>
      <c r="K584" s="22">
        <v>5.18123091400078e+18</v>
      </c>
      <c r="L584" s="22" t="s">
        <v>2000</v>
      </c>
      <c r="M584" s="25"/>
    </row>
    <row r="585" customHeight="1" spans="1:13">
      <c r="A585" s="21">
        <v>45992</v>
      </c>
      <c r="B585" s="22" t="s">
        <v>5475</v>
      </c>
      <c r="C585" s="23">
        <v>46020</v>
      </c>
      <c r="D585" s="27">
        <v>6900000000</v>
      </c>
      <c r="E585" s="22" t="s">
        <v>1349</v>
      </c>
      <c r="F585" s="22" t="s">
        <v>7</v>
      </c>
      <c r="G585" s="22" t="s">
        <v>2036</v>
      </c>
      <c r="H585" s="22" t="s">
        <v>12</v>
      </c>
      <c r="I585" s="22" t="s">
        <v>5511</v>
      </c>
      <c r="J585" s="22" t="s">
        <v>2035</v>
      </c>
      <c r="K585" s="22">
        <v>5.18123091400078e+18</v>
      </c>
      <c r="L585" s="22" t="s">
        <v>2000</v>
      </c>
      <c r="M585" s="25"/>
    </row>
    <row r="586" customHeight="1" spans="1:13">
      <c r="A586" s="21">
        <v>45992</v>
      </c>
      <c r="B586" s="22" t="s">
        <v>5475</v>
      </c>
      <c r="C586" s="23">
        <v>46020</v>
      </c>
      <c r="D586" s="27">
        <v>59580</v>
      </c>
      <c r="E586" s="22" t="s">
        <v>173</v>
      </c>
      <c r="F586" s="22" t="s">
        <v>7</v>
      </c>
      <c r="G586" s="22" t="s">
        <v>5534</v>
      </c>
      <c r="H586" s="22" t="s">
        <v>12</v>
      </c>
      <c r="I586" s="22" t="s">
        <v>5511</v>
      </c>
      <c r="J586" s="22" t="s">
        <v>51</v>
      </c>
      <c r="K586" s="22">
        <v>5.18123091400078e+18</v>
      </c>
      <c r="L586" s="22" t="s">
        <v>2000</v>
      </c>
      <c r="M586" s="25"/>
    </row>
    <row r="587" customHeight="1" spans="1:13">
      <c r="A587" s="21">
        <v>45992</v>
      </c>
      <c r="B587" s="22" t="s">
        <v>5475</v>
      </c>
      <c r="C587" s="23">
        <v>46020</v>
      </c>
      <c r="D587" s="27">
        <v>17049</v>
      </c>
      <c r="E587" s="22" t="s">
        <v>149</v>
      </c>
      <c r="F587" s="22" t="s">
        <v>7</v>
      </c>
      <c r="G587" s="22" t="s">
        <v>2043</v>
      </c>
      <c r="H587" s="22" t="s">
        <v>11</v>
      </c>
      <c r="I587" s="22" t="s">
        <v>5511</v>
      </c>
      <c r="J587" s="22" t="s">
        <v>52</v>
      </c>
      <c r="K587" s="22">
        <v>5.18123091400078e+18</v>
      </c>
      <c r="L587" s="22" t="s">
        <v>2000</v>
      </c>
      <c r="M587" s="25"/>
    </row>
    <row r="588" customHeight="1" spans="1:13">
      <c r="A588" s="21">
        <v>45992</v>
      </c>
      <c r="B588" s="22" t="s">
        <v>5475</v>
      </c>
      <c r="C588" s="23">
        <v>46020</v>
      </c>
      <c r="D588" s="27">
        <v>81941.33</v>
      </c>
      <c r="E588" s="22" t="s">
        <v>173</v>
      </c>
      <c r="F588" s="22" t="s">
        <v>105</v>
      </c>
      <c r="G588" s="22" t="s">
        <v>2047</v>
      </c>
      <c r="H588" s="22" t="s">
        <v>11</v>
      </c>
      <c r="I588" s="22" t="s">
        <v>5511</v>
      </c>
      <c r="J588" s="22" t="s">
        <v>39</v>
      </c>
      <c r="K588" s="22">
        <v>5.18123091400078e+18</v>
      </c>
      <c r="L588" s="22" t="s">
        <v>2000</v>
      </c>
      <c r="M588" s="25"/>
    </row>
    <row r="589" customHeight="1" spans="1:13">
      <c r="A589" s="21">
        <v>45992</v>
      </c>
      <c r="B589" s="22" t="s">
        <v>5475</v>
      </c>
      <c r="C589" s="23">
        <v>46021</v>
      </c>
      <c r="D589" s="27">
        <v>6608.9</v>
      </c>
      <c r="E589" s="22" t="s">
        <v>173</v>
      </c>
      <c r="F589" s="22" t="s">
        <v>105</v>
      </c>
      <c r="G589" s="22" t="s">
        <v>2048</v>
      </c>
      <c r="H589" s="22" t="s">
        <v>11</v>
      </c>
      <c r="I589" s="22" t="s">
        <v>5511</v>
      </c>
      <c r="J589" s="22" t="s">
        <v>39</v>
      </c>
      <c r="K589" s="22">
        <v>5.18125120505285e+18</v>
      </c>
      <c r="L589" s="22" t="s">
        <v>2051</v>
      </c>
      <c r="M589" s="25"/>
    </row>
    <row r="590" customHeight="1" spans="1:13">
      <c r="A590" s="21">
        <v>45992</v>
      </c>
      <c r="B590" s="22" t="s">
        <v>5475</v>
      </c>
      <c r="C590" s="23">
        <v>46021</v>
      </c>
      <c r="D590" s="27">
        <v>300200</v>
      </c>
      <c r="E590" s="22" t="s">
        <v>173</v>
      </c>
      <c r="F590" s="22" t="s">
        <v>7</v>
      </c>
      <c r="G590" s="22" t="s">
        <v>2053</v>
      </c>
      <c r="H590" s="22" t="s">
        <v>11</v>
      </c>
      <c r="I590" s="22" t="s">
        <v>5511</v>
      </c>
      <c r="J590" s="22" t="s">
        <v>48</v>
      </c>
      <c r="K590" s="22">
        <v>5.18125120505285e+18</v>
      </c>
      <c r="L590" s="22" t="s">
        <v>2051</v>
      </c>
      <c r="M590" s="25"/>
    </row>
    <row r="591" customHeight="1" spans="1:13">
      <c r="A591" s="21">
        <v>45992</v>
      </c>
      <c r="B591" s="22" t="s">
        <v>5475</v>
      </c>
      <c r="C591" s="23">
        <v>46022</v>
      </c>
      <c r="D591" s="27">
        <v>120229.14</v>
      </c>
      <c r="E591" s="22" t="s">
        <v>173</v>
      </c>
      <c r="F591" s="22" t="s">
        <v>7</v>
      </c>
      <c r="G591" s="22" t="s">
        <v>5535</v>
      </c>
      <c r="H591" s="22" t="s">
        <v>12</v>
      </c>
      <c r="I591" s="22" t="s">
        <v>5511</v>
      </c>
      <c r="J591" s="22" t="s">
        <v>48</v>
      </c>
      <c r="K591" s="22">
        <v>5.18125110705113e+18</v>
      </c>
      <c r="L591" s="22" t="s">
        <v>1967</v>
      </c>
      <c r="M591" s="25"/>
    </row>
    <row r="592" customHeight="1" spans="1:13">
      <c r="A592" s="21">
        <v>46023</v>
      </c>
      <c r="B592" s="22" t="s">
        <v>5476</v>
      </c>
      <c r="C592" s="23">
        <v>46024</v>
      </c>
      <c r="D592" s="27">
        <v>92936.97</v>
      </c>
      <c r="E592" s="22" t="s">
        <v>149</v>
      </c>
      <c r="F592" s="22" t="s">
        <v>7</v>
      </c>
      <c r="G592" s="22" t="s">
        <v>2060</v>
      </c>
      <c r="H592" s="22" t="s">
        <v>12</v>
      </c>
      <c r="I592" s="22" t="s">
        <v>5511</v>
      </c>
      <c r="J592" s="22" t="s">
        <v>48</v>
      </c>
      <c r="K592" s="22">
        <v>5.18125070204435e+18</v>
      </c>
      <c r="L592" s="22" t="s">
        <v>1440</v>
      </c>
      <c r="M592" s="25"/>
    </row>
    <row r="593" customHeight="1" spans="1:13">
      <c r="A593" s="21">
        <v>46023</v>
      </c>
      <c r="B593" s="22" t="s">
        <v>5476</v>
      </c>
      <c r="C593" s="23">
        <v>46024</v>
      </c>
      <c r="D593" s="27">
        <v>9686464.64</v>
      </c>
      <c r="E593" s="22" t="s">
        <v>1186</v>
      </c>
      <c r="F593" s="22" t="s">
        <v>7</v>
      </c>
      <c r="G593" s="22" t="s">
        <v>2061</v>
      </c>
      <c r="H593" s="22" t="s">
        <v>10</v>
      </c>
      <c r="I593" s="22" t="s">
        <v>5511</v>
      </c>
      <c r="J593" s="22" t="s">
        <v>51</v>
      </c>
      <c r="K593" s="22">
        <v>5.18125070204435e+18</v>
      </c>
      <c r="L593" s="22" t="s">
        <v>1440</v>
      </c>
      <c r="M593" s="25"/>
    </row>
    <row r="594" customHeight="1" spans="1:13">
      <c r="A594" s="21">
        <v>45992</v>
      </c>
      <c r="B594" s="22" t="s">
        <v>5475</v>
      </c>
      <c r="C594" s="23">
        <v>46017</v>
      </c>
      <c r="D594" s="24">
        <v>77.29</v>
      </c>
      <c r="E594" s="22" t="s">
        <v>149</v>
      </c>
      <c r="F594" s="22" t="s">
        <v>105</v>
      </c>
      <c r="G594" s="22" t="s">
        <v>2065</v>
      </c>
      <c r="H594" s="22" t="s">
        <v>10</v>
      </c>
      <c r="I594" s="22" t="s">
        <v>5511</v>
      </c>
      <c r="J594" s="22" t="s">
        <v>40</v>
      </c>
      <c r="K594" s="22">
        <v>5.1812503110388e+18</v>
      </c>
      <c r="L594" s="22" t="s">
        <v>709</v>
      </c>
      <c r="M594" s="25"/>
    </row>
    <row r="595" customHeight="1" spans="1:13">
      <c r="A595" s="21">
        <v>46023</v>
      </c>
      <c r="B595" s="22" t="s">
        <v>5476</v>
      </c>
      <c r="C595" s="23">
        <v>46029</v>
      </c>
      <c r="D595" s="28">
        <v>274000000</v>
      </c>
      <c r="E595" s="22" t="s">
        <v>1037</v>
      </c>
      <c r="F595" s="22" t="s">
        <v>7</v>
      </c>
      <c r="G595" s="22" t="s">
        <v>2067</v>
      </c>
      <c r="H595" s="22" t="s">
        <v>11</v>
      </c>
      <c r="I595" s="22" t="s">
        <v>5511</v>
      </c>
      <c r="J595" s="22" t="s">
        <v>41</v>
      </c>
      <c r="K595" s="22">
        <v>5.1812510220501e+18</v>
      </c>
      <c r="L595" s="22" t="s">
        <v>2070</v>
      </c>
      <c r="M595" s="25"/>
    </row>
    <row r="596" customHeight="1" spans="1:13">
      <c r="A596" s="21">
        <v>46023</v>
      </c>
      <c r="B596" s="22" t="s">
        <v>5476</v>
      </c>
      <c r="C596" s="23">
        <v>46029</v>
      </c>
      <c r="D596" s="28">
        <v>205000000</v>
      </c>
      <c r="E596" s="22" t="s">
        <v>1037</v>
      </c>
      <c r="F596" s="22" t="s">
        <v>7</v>
      </c>
      <c r="G596" s="22" t="s">
        <v>2071</v>
      </c>
      <c r="H596" s="22" t="s">
        <v>11</v>
      </c>
      <c r="I596" s="22" t="s">
        <v>5511</v>
      </c>
      <c r="J596" s="22" t="s">
        <v>41</v>
      </c>
      <c r="K596" s="22">
        <v>5.1812510220501e+18</v>
      </c>
      <c r="L596" s="22" t="s">
        <v>2070</v>
      </c>
      <c r="M596" s="25"/>
    </row>
    <row r="597" customHeight="1" spans="1:13">
      <c r="A597" s="21">
        <v>46023</v>
      </c>
      <c r="B597" s="22" t="s">
        <v>5476</v>
      </c>
      <c r="C597" s="23">
        <v>46030</v>
      </c>
      <c r="D597" s="27">
        <v>16396</v>
      </c>
      <c r="E597" s="22" t="s">
        <v>1062</v>
      </c>
      <c r="F597" s="22" t="s">
        <v>7</v>
      </c>
      <c r="G597" s="22" t="s">
        <v>2072</v>
      </c>
      <c r="H597" s="22" t="s">
        <v>11</v>
      </c>
      <c r="I597" s="22" t="s">
        <v>5511</v>
      </c>
      <c r="J597" s="22" t="s">
        <v>48</v>
      </c>
      <c r="K597" s="22">
        <v>5.18122122300301e+18</v>
      </c>
      <c r="L597" s="22" t="s">
        <v>2074</v>
      </c>
      <c r="M597" s="25"/>
    </row>
    <row r="598" customHeight="1" spans="1:13">
      <c r="A598" s="21">
        <v>46023</v>
      </c>
      <c r="B598" s="22" t="s">
        <v>5476</v>
      </c>
      <c r="C598" s="23">
        <v>46034</v>
      </c>
      <c r="D598" s="27">
        <v>91967.94</v>
      </c>
      <c r="E598" s="22" t="s">
        <v>149</v>
      </c>
      <c r="F598" s="22" t="s">
        <v>7</v>
      </c>
      <c r="G598" s="22" t="s">
        <v>2077</v>
      </c>
      <c r="H598" s="22" t="s">
        <v>12</v>
      </c>
      <c r="I598" s="22" t="s">
        <v>5511</v>
      </c>
      <c r="J598" s="22" t="s">
        <v>48</v>
      </c>
      <c r="K598" s="22">
        <v>5.18125070204435e+18</v>
      </c>
      <c r="L598" s="22" t="s">
        <v>1440</v>
      </c>
      <c r="M598" s="25"/>
    </row>
    <row r="599" customHeight="1" spans="1:13">
      <c r="A599" s="21">
        <v>46023</v>
      </c>
      <c r="B599" s="22" t="s">
        <v>5476</v>
      </c>
      <c r="C599" s="23">
        <v>46035</v>
      </c>
      <c r="D599" s="27">
        <v>241477</v>
      </c>
      <c r="E599" s="22" t="s">
        <v>173</v>
      </c>
      <c r="F599" s="22" t="s">
        <v>105</v>
      </c>
      <c r="G599" s="22" t="s">
        <v>2078</v>
      </c>
      <c r="H599" s="22" t="s">
        <v>12</v>
      </c>
      <c r="I599" s="22" t="s">
        <v>5511</v>
      </c>
      <c r="J599" s="22" t="s">
        <v>48</v>
      </c>
      <c r="K599" s="22">
        <v>5.18124061200449e+18</v>
      </c>
      <c r="L599" s="22" t="s">
        <v>2080</v>
      </c>
      <c r="M599" s="25"/>
    </row>
    <row r="600" customHeight="1" spans="1:13">
      <c r="A600" s="21">
        <v>46023</v>
      </c>
      <c r="B600" s="22" t="s">
        <v>5476</v>
      </c>
      <c r="C600" s="23">
        <v>46035</v>
      </c>
      <c r="D600" s="24">
        <v>0</v>
      </c>
      <c r="E600" s="24">
        <v>0</v>
      </c>
      <c r="F600" s="22" t="s">
        <v>7</v>
      </c>
      <c r="G600" s="22" t="s">
        <v>2082</v>
      </c>
      <c r="H600" s="22" t="s">
        <v>10</v>
      </c>
      <c r="I600" s="22" t="s">
        <v>5511</v>
      </c>
      <c r="J600" s="22" t="s">
        <v>2002</v>
      </c>
      <c r="K600" s="22">
        <v>5.18124061200449e+18</v>
      </c>
      <c r="L600" s="22" t="s">
        <v>2080</v>
      </c>
      <c r="M600" s="25"/>
    </row>
    <row r="601" customHeight="1" spans="1:13">
      <c r="A601" s="21">
        <v>46023</v>
      </c>
      <c r="B601" s="22" t="s">
        <v>5476</v>
      </c>
      <c r="C601" s="23">
        <v>46035</v>
      </c>
      <c r="D601" s="27">
        <v>2777</v>
      </c>
      <c r="E601" s="22" t="s">
        <v>173</v>
      </c>
      <c r="F601" s="22" t="s">
        <v>105</v>
      </c>
      <c r="G601" s="22" t="s">
        <v>2086</v>
      </c>
      <c r="H601" s="22" t="s">
        <v>12</v>
      </c>
      <c r="I601" s="22" t="s">
        <v>5511</v>
      </c>
      <c r="J601" s="22" t="s">
        <v>39</v>
      </c>
      <c r="K601" s="22">
        <v>5.18124061200449e+18</v>
      </c>
      <c r="L601" s="22" t="s">
        <v>2080</v>
      </c>
      <c r="M601" s="25"/>
    </row>
    <row r="602" customHeight="1" spans="1:13">
      <c r="A602" s="21">
        <v>46023</v>
      </c>
      <c r="B602" s="22" t="s">
        <v>5476</v>
      </c>
      <c r="C602" s="23">
        <v>46036</v>
      </c>
      <c r="D602" s="27">
        <v>999968</v>
      </c>
      <c r="E602" s="22" t="s">
        <v>173</v>
      </c>
      <c r="F602" s="22" t="s">
        <v>7</v>
      </c>
      <c r="G602" s="22" t="s">
        <v>2089</v>
      </c>
      <c r="H602" s="22" t="s">
        <v>12</v>
      </c>
      <c r="I602" s="22" t="s">
        <v>5511</v>
      </c>
      <c r="J602" s="22" t="s">
        <v>46</v>
      </c>
      <c r="K602" s="22">
        <v>5.18125080704602e+18</v>
      </c>
      <c r="L602" s="22" t="s">
        <v>1991</v>
      </c>
      <c r="M602" s="25"/>
    </row>
    <row r="603" customHeight="1" spans="1:13">
      <c r="A603" s="21">
        <v>46023</v>
      </c>
      <c r="B603" s="22" t="s">
        <v>5477</v>
      </c>
      <c r="C603" s="23">
        <v>46038</v>
      </c>
      <c r="D603" s="27">
        <v>55009.72</v>
      </c>
      <c r="E603" s="22" t="s">
        <v>1062</v>
      </c>
      <c r="F603" s="22" t="s">
        <v>7</v>
      </c>
      <c r="G603" s="22" t="s">
        <v>2092</v>
      </c>
      <c r="H603" s="22" t="s">
        <v>10</v>
      </c>
      <c r="I603" s="22" t="s">
        <v>5511</v>
      </c>
      <c r="J603" s="22" t="s">
        <v>46</v>
      </c>
      <c r="K603" s="22">
        <v>5.18125082004652e+18</v>
      </c>
      <c r="L603" s="22" t="s">
        <v>2094</v>
      </c>
      <c r="M603" s="25"/>
    </row>
    <row r="604" customHeight="1" spans="1:13">
      <c r="A604" s="21">
        <v>46023</v>
      </c>
      <c r="B604" s="22" t="s">
        <v>5477</v>
      </c>
      <c r="C604" s="23">
        <v>46038</v>
      </c>
      <c r="D604" s="24">
        <v>220</v>
      </c>
      <c r="E604" s="22" t="s">
        <v>149</v>
      </c>
      <c r="F604" s="22" t="s">
        <v>105</v>
      </c>
      <c r="G604" s="22" t="s">
        <v>2096</v>
      </c>
      <c r="H604" s="22" t="s">
        <v>10</v>
      </c>
      <c r="I604" s="22" t="s">
        <v>5511</v>
      </c>
      <c r="J604" s="22" t="s">
        <v>40</v>
      </c>
      <c r="K604" s="22">
        <v>5.18125082004652e+18</v>
      </c>
      <c r="L604" s="22" t="s">
        <v>2094</v>
      </c>
      <c r="M604" s="25"/>
    </row>
    <row r="605" customHeight="1" spans="1:13">
      <c r="A605" s="21">
        <v>46023</v>
      </c>
      <c r="B605" s="22" t="s">
        <v>5477</v>
      </c>
      <c r="C605" s="23">
        <v>46042</v>
      </c>
      <c r="D605" s="27">
        <v>15963</v>
      </c>
      <c r="E605" s="22" t="s">
        <v>149</v>
      </c>
      <c r="F605" s="22" t="s">
        <v>7</v>
      </c>
      <c r="G605" s="22" t="s">
        <v>2099</v>
      </c>
      <c r="H605" s="22" t="s">
        <v>12</v>
      </c>
      <c r="I605" s="22" t="s">
        <v>5511</v>
      </c>
      <c r="J605" s="22" t="s">
        <v>39</v>
      </c>
      <c r="K605" s="22">
        <v>5.18126011305505e+18</v>
      </c>
      <c r="L605" s="22" t="s">
        <v>2101</v>
      </c>
      <c r="M605" s="25"/>
    </row>
    <row r="606" customHeight="1" spans="1:13">
      <c r="A606" s="21">
        <v>46023</v>
      </c>
      <c r="B606" s="22" t="s">
        <v>5477</v>
      </c>
      <c r="C606" s="23">
        <v>46043</v>
      </c>
      <c r="D606" s="24">
        <v>53.52</v>
      </c>
      <c r="E606" s="22" t="s">
        <v>149</v>
      </c>
      <c r="F606" s="22" t="s">
        <v>105</v>
      </c>
      <c r="G606" s="22" t="s">
        <v>2103</v>
      </c>
      <c r="H606" s="22" t="s">
        <v>10</v>
      </c>
      <c r="I606" s="22" t="s">
        <v>5511</v>
      </c>
      <c r="J606" s="22" t="s">
        <v>40</v>
      </c>
      <c r="K606" s="22">
        <v>5.18123091200075e+18</v>
      </c>
      <c r="L606" s="22" t="s">
        <v>2106</v>
      </c>
      <c r="M606" s="25"/>
    </row>
    <row r="607" customHeight="1" spans="1:13">
      <c r="A607" s="21">
        <v>46023</v>
      </c>
      <c r="B607" s="22" t="s">
        <v>5477</v>
      </c>
      <c r="C607" s="23">
        <v>46045</v>
      </c>
      <c r="D607" s="27">
        <v>1000</v>
      </c>
      <c r="E607" s="22" t="s">
        <v>149</v>
      </c>
      <c r="F607" s="22" t="s">
        <v>7</v>
      </c>
      <c r="G607" s="22" t="s">
        <v>2107</v>
      </c>
      <c r="H607" s="22" t="s">
        <v>10</v>
      </c>
      <c r="I607" s="22" t="s">
        <v>5511</v>
      </c>
      <c r="J607" s="22" t="s">
        <v>40</v>
      </c>
      <c r="K607" s="22">
        <v>5.18125111405163e+18</v>
      </c>
      <c r="L607" s="22" t="s">
        <v>2111</v>
      </c>
      <c r="M607" s="25"/>
    </row>
    <row r="608" customHeight="1" spans="1:13">
      <c r="A608" s="21">
        <v>46023</v>
      </c>
      <c r="B608" s="22" t="s">
        <v>5477</v>
      </c>
      <c r="C608" s="23">
        <v>46045</v>
      </c>
      <c r="D608" s="28">
        <v>219910</v>
      </c>
      <c r="E608" s="22" t="s">
        <v>1567</v>
      </c>
      <c r="F608" s="22" t="s">
        <v>105</v>
      </c>
      <c r="G608" s="22" t="s">
        <v>2112</v>
      </c>
      <c r="H608" s="22" t="s">
        <v>12</v>
      </c>
      <c r="I608" s="22" t="s">
        <v>5511</v>
      </c>
      <c r="J608" s="22" t="s">
        <v>48</v>
      </c>
      <c r="K608" s="22">
        <v>5.18125111405163e+18</v>
      </c>
      <c r="L608" s="22" t="s">
        <v>2111</v>
      </c>
      <c r="M608" s="25"/>
    </row>
    <row r="609" customHeight="1" spans="1:13">
      <c r="A609" s="21">
        <v>46023</v>
      </c>
      <c r="B609" s="22" t="s">
        <v>5477</v>
      </c>
      <c r="C609" s="23">
        <v>46044</v>
      </c>
      <c r="D609" s="24">
        <v>0.06</v>
      </c>
      <c r="E609" s="22" t="s">
        <v>149</v>
      </c>
      <c r="F609" s="22" t="s">
        <v>7</v>
      </c>
      <c r="G609" s="22" t="s">
        <v>2116</v>
      </c>
      <c r="H609" s="22" t="s">
        <v>10</v>
      </c>
      <c r="I609" s="22" t="s">
        <v>5511</v>
      </c>
      <c r="J609" s="22" t="s">
        <v>40</v>
      </c>
      <c r="K609" s="22">
        <v>5.18124010600167e+18</v>
      </c>
      <c r="L609" s="22" t="s">
        <v>1883</v>
      </c>
      <c r="M609" s="25"/>
    </row>
    <row r="610" customHeight="1" spans="1:13">
      <c r="A610" s="21">
        <v>46023</v>
      </c>
      <c r="B610" s="22" t="s">
        <v>5477</v>
      </c>
      <c r="C610" s="23">
        <v>46044</v>
      </c>
      <c r="D610" s="24">
        <v>250</v>
      </c>
      <c r="E610" s="22" t="s">
        <v>139</v>
      </c>
      <c r="F610" s="22" t="s">
        <v>7</v>
      </c>
      <c r="G610" s="22" t="s">
        <v>2119</v>
      </c>
      <c r="H610" s="22" t="s">
        <v>10</v>
      </c>
      <c r="I610" s="22" t="s">
        <v>5511</v>
      </c>
      <c r="J610" s="22" t="s">
        <v>40</v>
      </c>
      <c r="K610" s="22">
        <v>5.18124010600167e+18</v>
      </c>
      <c r="L610" s="22" t="s">
        <v>1883</v>
      </c>
      <c r="M610" s="25"/>
    </row>
    <row r="611" customHeight="1" spans="1:13">
      <c r="A611" s="21">
        <v>46023</v>
      </c>
      <c r="B611" s="22" t="s">
        <v>5477</v>
      </c>
      <c r="C611" s="23">
        <v>46045</v>
      </c>
      <c r="D611" s="27">
        <v>61928.01</v>
      </c>
      <c r="E611" s="22" t="s">
        <v>149</v>
      </c>
      <c r="F611" s="22" t="s">
        <v>7</v>
      </c>
      <c r="G611" s="22" t="s">
        <v>2122</v>
      </c>
      <c r="H611" s="22" t="s">
        <v>12</v>
      </c>
      <c r="I611" s="22" t="s">
        <v>5511</v>
      </c>
      <c r="J611" s="22" t="s">
        <v>48</v>
      </c>
      <c r="K611" s="22">
        <v>5.18125111405163e+18</v>
      </c>
      <c r="L611" s="22" t="s">
        <v>2111</v>
      </c>
      <c r="M611" s="25"/>
    </row>
    <row r="612" customHeight="1" spans="1:13">
      <c r="A612" s="21">
        <v>46023</v>
      </c>
      <c r="B612" s="22" t="s">
        <v>5477</v>
      </c>
      <c r="C612" s="23">
        <v>46046</v>
      </c>
      <c r="D612" s="27">
        <v>39000000</v>
      </c>
      <c r="E612" s="22" t="s">
        <v>1172</v>
      </c>
      <c r="F612" s="22" t="s">
        <v>105</v>
      </c>
      <c r="G612" s="22" t="s">
        <v>2123</v>
      </c>
      <c r="H612" s="22" t="s">
        <v>10</v>
      </c>
      <c r="I612" s="22" t="s">
        <v>5511</v>
      </c>
      <c r="J612" s="22" t="s">
        <v>44</v>
      </c>
      <c r="K612" s="22">
        <v>5.18125122205402e+18</v>
      </c>
      <c r="L612" s="22" t="s">
        <v>2125</v>
      </c>
      <c r="M612" s="25"/>
    </row>
    <row r="613" customHeight="1" spans="1:13">
      <c r="A613" s="21">
        <v>46023</v>
      </c>
      <c r="B613" s="22" t="s">
        <v>5477</v>
      </c>
      <c r="C613" s="23">
        <v>46048</v>
      </c>
      <c r="D613" s="24">
        <v>294</v>
      </c>
      <c r="E613" s="22" t="s">
        <v>149</v>
      </c>
      <c r="F613" s="22" t="s">
        <v>105</v>
      </c>
      <c r="G613" s="22" t="s">
        <v>5536</v>
      </c>
      <c r="H613" s="22" t="s">
        <v>10</v>
      </c>
      <c r="I613" s="22" t="s">
        <v>5511</v>
      </c>
      <c r="J613" s="22" t="s">
        <v>40</v>
      </c>
      <c r="K613" s="22">
        <v>5.18126011905534e+18</v>
      </c>
      <c r="L613" s="22" t="s">
        <v>2129</v>
      </c>
      <c r="M613" s="25"/>
    </row>
    <row r="614" customHeight="1" spans="1:13">
      <c r="A614" s="21">
        <v>46023</v>
      </c>
      <c r="B614" s="22" t="s">
        <v>5477</v>
      </c>
      <c r="C614" s="23">
        <v>46048</v>
      </c>
      <c r="D614" s="24">
        <v>110</v>
      </c>
      <c r="E614" s="22" t="s">
        <v>80</v>
      </c>
      <c r="F614" s="22" t="s">
        <v>105</v>
      </c>
      <c r="G614" s="22" t="s">
        <v>2130</v>
      </c>
      <c r="H614" s="22" t="s">
        <v>10</v>
      </c>
      <c r="I614" s="22" t="s">
        <v>5511</v>
      </c>
      <c r="J614" s="22" t="s">
        <v>40</v>
      </c>
      <c r="K614" s="22">
        <v>5.18126011905534e+18</v>
      </c>
      <c r="L614" s="22" t="s">
        <v>2129</v>
      </c>
      <c r="M614" s="25"/>
    </row>
    <row r="615" customHeight="1" spans="1:13">
      <c r="A615" s="21">
        <v>46023</v>
      </c>
      <c r="B615" s="22" t="s">
        <v>5477</v>
      </c>
      <c r="C615" s="23">
        <v>46049</v>
      </c>
      <c r="D615" s="27">
        <v>493827</v>
      </c>
      <c r="E615" s="22" t="s">
        <v>173</v>
      </c>
      <c r="F615" s="22" t="s">
        <v>7</v>
      </c>
      <c r="G615" s="22" t="s">
        <v>2133</v>
      </c>
      <c r="H615" s="22" t="s">
        <v>12</v>
      </c>
      <c r="I615" s="22" t="s">
        <v>5511</v>
      </c>
      <c r="J615" s="22" t="s">
        <v>48</v>
      </c>
      <c r="K615" s="22">
        <v>5.18123060200019e+18</v>
      </c>
      <c r="L615" s="22" t="s">
        <v>1072</v>
      </c>
      <c r="M615" s="25"/>
    </row>
    <row r="616" customHeight="1" spans="1:13">
      <c r="A616" s="21">
        <v>46023</v>
      </c>
      <c r="B616" s="22" t="s">
        <v>5477</v>
      </c>
      <c r="C616" s="23">
        <v>46049</v>
      </c>
      <c r="D616" s="27">
        <v>86246.37</v>
      </c>
      <c r="E616" s="22" t="s">
        <v>149</v>
      </c>
      <c r="F616" s="22" t="s">
        <v>7</v>
      </c>
      <c r="G616" s="22" t="s">
        <v>2136</v>
      </c>
      <c r="H616" s="22" t="s">
        <v>12</v>
      </c>
      <c r="I616" s="22" t="s">
        <v>5511</v>
      </c>
      <c r="J616" s="22" t="s">
        <v>39</v>
      </c>
      <c r="K616" s="22">
        <v>5.18123060200019e+18</v>
      </c>
      <c r="L616" s="22" t="s">
        <v>1072</v>
      </c>
      <c r="M616" s="25"/>
    </row>
    <row r="617" customHeight="1" spans="1:13">
      <c r="A617" s="21">
        <v>46023</v>
      </c>
      <c r="B617" s="22" t="s">
        <v>5477</v>
      </c>
      <c r="C617" s="23">
        <v>46050</v>
      </c>
      <c r="D617" s="27">
        <v>102350</v>
      </c>
      <c r="E617" s="22" t="s">
        <v>173</v>
      </c>
      <c r="F617" s="22" t="s">
        <v>7</v>
      </c>
      <c r="G617" s="22" t="s">
        <v>2138</v>
      </c>
      <c r="H617" s="22" t="s">
        <v>10</v>
      </c>
      <c r="I617" s="22" t="s">
        <v>5511</v>
      </c>
      <c r="J617" s="22" t="s">
        <v>48</v>
      </c>
      <c r="K617" s="22">
        <v>5.18124061200449e+18</v>
      </c>
      <c r="L617" s="22" t="s">
        <v>2080</v>
      </c>
      <c r="M617" s="25"/>
    </row>
    <row r="618" customHeight="1" spans="1:13">
      <c r="A618" s="21">
        <v>46023</v>
      </c>
      <c r="B618" s="22" t="s">
        <v>5477</v>
      </c>
      <c r="C618" s="23">
        <v>46050</v>
      </c>
      <c r="D618" s="27">
        <v>692715</v>
      </c>
      <c r="E618" s="22" t="s">
        <v>1062</v>
      </c>
      <c r="F618" s="22" t="s">
        <v>7</v>
      </c>
      <c r="G618" s="22" t="s">
        <v>2139</v>
      </c>
      <c r="H618" s="22" t="s">
        <v>11</v>
      </c>
      <c r="I618" s="22" t="s">
        <v>5511</v>
      </c>
      <c r="J618" s="22" t="s">
        <v>39</v>
      </c>
      <c r="K618" s="22">
        <v>5.18124061200449e+18</v>
      </c>
      <c r="L618" s="22" t="s">
        <v>2080</v>
      </c>
      <c r="M618" s="25"/>
    </row>
    <row r="619" customHeight="1" spans="1:13">
      <c r="A619" s="21">
        <v>46023</v>
      </c>
      <c r="B619" s="22" t="s">
        <v>5477</v>
      </c>
      <c r="C619" s="23">
        <v>46050</v>
      </c>
      <c r="D619" s="24">
        <v>882</v>
      </c>
      <c r="E619" s="22" t="s">
        <v>149</v>
      </c>
      <c r="F619" s="22" t="s">
        <v>7</v>
      </c>
      <c r="G619" s="22" t="s">
        <v>2143</v>
      </c>
      <c r="H619" s="22" t="s">
        <v>10</v>
      </c>
      <c r="I619" s="22" t="s">
        <v>5511</v>
      </c>
      <c r="J619" s="22" t="s">
        <v>40</v>
      </c>
      <c r="K619" s="22">
        <v>5.18124061200449e+18</v>
      </c>
      <c r="L619" s="22" t="s">
        <v>2080</v>
      </c>
      <c r="M619" s="25"/>
    </row>
    <row r="620" customHeight="1" spans="1:13">
      <c r="A620" s="21">
        <v>46023</v>
      </c>
      <c r="B620" s="22" t="s">
        <v>5477</v>
      </c>
      <c r="C620" s="23">
        <v>46052</v>
      </c>
      <c r="D620" s="27">
        <v>132200</v>
      </c>
      <c r="E620" s="22" t="s">
        <v>173</v>
      </c>
      <c r="F620" s="22" t="s">
        <v>105</v>
      </c>
      <c r="G620" s="22" t="s">
        <v>2145</v>
      </c>
      <c r="H620" s="22" t="s">
        <v>11</v>
      </c>
      <c r="I620" s="22" t="s">
        <v>5511</v>
      </c>
      <c r="J620" s="22" t="s">
        <v>48</v>
      </c>
      <c r="K620" s="22">
        <v>5.18124083002392e+18</v>
      </c>
      <c r="L620" s="22" t="s">
        <v>2147</v>
      </c>
      <c r="M620" s="25"/>
    </row>
    <row r="621" customHeight="1" spans="1:13">
      <c r="A621" s="21">
        <v>46023</v>
      </c>
      <c r="B621" s="22" t="s">
        <v>5477</v>
      </c>
      <c r="C621" s="23">
        <v>46052</v>
      </c>
      <c r="D621" s="24">
        <v>790</v>
      </c>
      <c r="E621" s="22" t="s">
        <v>149</v>
      </c>
      <c r="F621" s="22" t="s">
        <v>7</v>
      </c>
      <c r="G621" s="22" t="s">
        <v>2149</v>
      </c>
      <c r="H621" s="22" t="s">
        <v>10</v>
      </c>
      <c r="I621" s="22" t="s">
        <v>5511</v>
      </c>
      <c r="J621" s="22" t="s">
        <v>40</v>
      </c>
      <c r="K621" s="22">
        <v>5.18124083002392e+18</v>
      </c>
      <c r="L621" s="22" t="s">
        <v>2147</v>
      </c>
      <c r="M621" s="25"/>
    </row>
    <row r="622" customHeight="1" spans="1:13">
      <c r="A622" s="21">
        <v>46023</v>
      </c>
      <c r="B622" s="22" t="s">
        <v>5477</v>
      </c>
      <c r="C622" s="23">
        <v>46052</v>
      </c>
      <c r="D622" s="24">
        <v>76.36</v>
      </c>
      <c r="E622" s="22" t="s">
        <v>149</v>
      </c>
      <c r="F622" s="22" t="s">
        <v>105</v>
      </c>
      <c r="G622" s="22" t="s">
        <v>2150</v>
      </c>
      <c r="H622" s="22" t="s">
        <v>10</v>
      </c>
      <c r="I622" s="22" t="s">
        <v>5511</v>
      </c>
      <c r="J622" s="22" t="s">
        <v>40</v>
      </c>
      <c r="K622" s="22">
        <v>5.18124083002392e+18</v>
      </c>
      <c r="L622" s="22" t="s">
        <v>2147</v>
      </c>
      <c r="M622" s="25"/>
    </row>
    <row r="623" customHeight="1" spans="1:13">
      <c r="A623" s="21">
        <v>46054</v>
      </c>
      <c r="B623" s="22" t="s">
        <v>5478</v>
      </c>
      <c r="C623" s="23">
        <v>46056</v>
      </c>
      <c r="D623" s="27">
        <v>400000</v>
      </c>
      <c r="E623" s="22" t="s">
        <v>173</v>
      </c>
      <c r="F623" s="22" t="s">
        <v>7</v>
      </c>
      <c r="G623" s="22" t="s">
        <v>2152</v>
      </c>
      <c r="H623" s="22" t="s">
        <v>11</v>
      </c>
      <c r="I623" s="22" t="s">
        <v>5511</v>
      </c>
      <c r="J623" s="22" t="s">
        <v>48</v>
      </c>
      <c r="K623" s="22">
        <v>5.18124121303649e+18</v>
      </c>
      <c r="L623" s="22" t="s">
        <v>2154</v>
      </c>
      <c r="M623" s="25"/>
    </row>
    <row r="624" customHeight="1" spans="1:13">
      <c r="A624" s="21">
        <v>46054</v>
      </c>
      <c r="B624" s="22" t="s">
        <v>5478</v>
      </c>
      <c r="C624" s="23">
        <v>46057</v>
      </c>
      <c r="D624" s="28">
        <v>20000</v>
      </c>
      <c r="E624" s="22" t="s">
        <v>173</v>
      </c>
      <c r="F624" s="22" t="s">
        <v>7</v>
      </c>
      <c r="G624" s="22" t="s">
        <v>2156</v>
      </c>
      <c r="H624" s="22" t="s">
        <v>12</v>
      </c>
      <c r="I624" s="22" t="s">
        <v>5511</v>
      </c>
      <c r="J624" s="22" t="s">
        <v>48</v>
      </c>
      <c r="K624" s="22">
        <v>5.1812402210021e+18</v>
      </c>
      <c r="L624" s="22" t="s">
        <v>2158</v>
      </c>
      <c r="M624" s="25"/>
    </row>
    <row r="625" customHeight="1" spans="1:13">
      <c r="A625" s="21">
        <v>46054</v>
      </c>
      <c r="B625" s="22" t="s">
        <v>5478</v>
      </c>
      <c r="C625" s="23">
        <v>46057</v>
      </c>
      <c r="D625" s="24">
        <v>85.51</v>
      </c>
      <c r="E625" s="22" t="s">
        <v>80</v>
      </c>
      <c r="F625" s="22" t="s">
        <v>105</v>
      </c>
      <c r="G625" s="22" t="s">
        <v>2160</v>
      </c>
      <c r="H625" s="22" t="s">
        <v>10</v>
      </c>
      <c r="I625" s="22" t="s">
        <v>5511</v>
      </c>
      <c r="J625" s="22" t="s">
        <v>40</v>
      </c>
      <c r="K625" s="22">
        <v>5.1812402210021e+18</v>
      </c>
      <c r="L625" s="22" t="s">
        <v>2158</v>
      </c>
      <c r="M625" s="25"/>
    </row>
    <row r="626" customHeight="1" spans="1:13">
      <c r="A626" s="21">
        <v>46054</v>
      </c>
      <c r="B626" s="22" t="s">
        <v>5478</v>
      </c>
      <c r="C626" s="23">
        <v>46058</v>
      </c>
      <c r="D626" s="27">
        <v>4652.44</v>
      </c>
      <c r="E626" s="22" t="s">
        <v>173</v>
      </c>
      <c r="F626" s="22" t="s">
        <v>105</v>
      </c>
      <c r="G626" s="22" t="s">
        <v>2164</v>
      </c>
      <c r="H626" s="22" t="s">
        <v>12</v>
      </c>
      <c r="I626" s="22" t="s">
        <v>5511</v>
      </c>
      <c r="J626" s="22" t="s">
        <v>48</v>
      </c>
      <c r="K626" s="22">
        <v>5.1812412090364e+18</v>
      </c>
      <c r="L626" s="22" t="s">
        <v>2166</v>
      </c>
      <c r="M626" s="25"/>
    </row>
    <row r="627" customHeight="1" spans="1:13">
      <c r="A627" s="21">
        <v>46054</v>
      </c>
      <c r="B627" s="22" t="s">
        <v>5478</v>
      </c>
      <c r="C627" s="23">
        <v>46058</v>
      </c>
      <c r="D627" s="27">
        <v>784571250</v>
      </c>
      <c r="E627" s="22" t="s">
        <v>1037</v>
      </c>
      <c r="F627" s="22" t="s">
        <v>7</v>
      </c>
      <c r="G627" s="22" t="s">
        <v>2169</v>
      </c>
      <c r="H627" s="22" t="s">
        <v>12</v>
      </c>
      <c r="I627" s="22" t="s">
        <v>5511</v>
      </c>
      <c r="J627" s="22" t="s">
        <v>2168</v>
      </c>
      <c r="K627" s="22">
        <v>5.1812412090364e+18</v>
      </c>
      <c r="L627" s="22" t="s">
        <v>2166</v>
      </c>
      <c r="M627" s="25"/>
    </row>
    <row r="628" customHeight="1" spans="1:13">
      <c r="A628" s="21">
        <v>46054</v>
      </c>
      <c r="B628" s="22" t="s">
        <v>5478</v>
      </c>
      <c r="C628" s="23">
        <v>46058</v>
      </c>
      <c r="D628" s="27">
        <v>71088.84</v>
      </c>
      <c r="E628" s="22" t="s">
        <v>149</v>
      </c>
      <c r="F628" s="22" t="s">
        <v>7</v>
      </c>
      <c r="G628" s="22" t="s">
        <v>2174</v>
      </c>
      <c r="H628" s="22" t="s">
        <v>12</v>
      </c>
      <c r="I628" s="22" t="s">
        <v>5511</v>
      </c>
      <c r="J628" s="22" t="s">
        <v>48</v>
      </c>
      <c r="K628" s="22">
        <v>5.1812412090364e+18</v>
      </c>
      <c r="L628" s="22" t="s">
        <v>2166</v>
      </c>
      <c r="M628" s="25"/>
    </row>
    <row r="629" customHeight="1" spans="1:13">
      <c r="A629" s="21">
        <v>46054</v>
      </c>
      <c r="B629" s="22" t="s">
        <v>5478</v>
      </c>
      <c r="C629" s="23">
        <v>46058</v>
      </c>
      <c r="D629" s="27">
        <v>14915</v>
      </c>
      <c r="E629" s="22" t="s">
        <v>173</v>
      </c>
      <c r="F629" s="22" t="s">
        <v>7</v>
      </c>
      <c r="G629" s="22" t="s">
        <v>2175</v>
      </c>
      <c r="H629" s="22" t="s">
        <v>11</v>
      </c>
      <c r="I629" s="22" t="s">
        <v>5511</v>
      </c>
      <c r="J629" s="22" t="s">
        <v>48</v>
      </c>
      <c r="K629" s="22">
        <v>5.1812412090364e+18</v>
      </c>
      <c r="L629" s="22" t="s">
        <v>2166</v>
      </c>
      <c r="M629" s="25"/>
    </row>
    <row r="630" customHeight="1" spans="1:13">
      <c r="A630" s="21">
        <v>46054</v>
      </c>
      <c r="B630" s="22" t="s">
        <v>5478</v>
      </c>
      <c r="C630" s="23">
        <v>46058</v>
      </c>
      <c r="D630" s="24">
        <v>67.61</v>
      </c>
      <c r="E630" s="22" t="s">
        <v>149</v>
      </c>
      <c r="F630" s="22" t="s">
        <v>7</v>
      </c>
      <c r="G630" s="22" t="s">
        <v>2179</v>
      </c>
      <c r="H630" s="22" t="s">
        <v>10</v>
      </c>
      <c r="I630" s="22" t="s">
        <v>5511</v>
      </c>
      <c r="J630" s="22" t="s">
        <v>40</v>
      </c>
      <c r="K630" s="22">
        <v>5.1812412090364e+18</v>
      </c>
      <c r="L630" s="22" t="s">
        <v>2166</v>
      </c>
      <c r="M630" s="25"/>
    </row>
    <row r="631" customHeight="1" spans="1:13">
      <c r="A631" s="21">
        <v>46054</v>
      </c>
      <c r="B631" s="22" t="s">
        <v>5478</v>
      </c>
      <c r="C631" s="23">
        <v>46059</v>
      </c>
      <c r="D631" s="27">
        <v>132200</v>
      </c>
      <c r="E631" s="22" t="s">
        <v>173</v>
      </c>
      <c r="F631" s="22" t="s">
        <v>7</v>
      </c>
      <c r="G631" s="22" t="s">
        <v>2183</v>
      </c>
      <c r="H631" s="22" t="s">
        <v>11</v>
      </c>
      <c r="I631" s="22" t="s">
        <v>5511</v>
      </c>
      <c r="J631" s="22" t="s">
        <v>48</v>
      </c>
      <c r="K631" s="22">
        <v>5.18124083002392e+18</v>
      </c>
      <c r="L631" s="22" t="s">
        <v>2147</v>
      </c>
      <c r="M631" s="25"/>
    </row>
    <row r="632" customHeight="1" spans="1:13">
      <c r="A632" s="21">
        <v>46054</v>
      </c>
      <c r="B632" s="22" t="s">
        <v>5478</v>
      </c>
      <c r="C632" s="23">
        <v>46059</v>
      </c>
      <c r="D632" s="27">
        <v>515813</v>
      </c>
      <c r="E632" s="22" t="s">
        <v>173</v>
      </c>
      <c r="F632" s="22" t="s">
        <v>7</v>
      </c>
      <c r="G632" s="22" t="s">
        <v>2185</v>
      </c>
      <c r="H632" s="22" t="s">
        <v>12</v>
      </c>
      <c r="I632" s="22" t="s">
        <v>5511</v>
      </c>
      <c r="J632" s="22" t="s">
        <v>48</v>
      </c>
      <c r="K632" s="22">
        <v>5.18124083002392e+18</v>
      </c>
      <c r="L632" s="22" t="s">
        <v>2147</v>
      </c>
      <c r="M632" s="25"/>
    </row>
    <row r="633" customHeight="1" spans="1:13">
      <c r="A633" s="21">
        <v>46054</v>
      </c>
      <c r="B633" s="22" t="s">
        <v>5478</v>
      </c>
      <c r="C633" s="23">
        <v>46062</v>
      </c>
      <c r="D633" s="27">
        <v>38062.5</v>
      </c>
      <c r="E633" s="22" t="s">
        <v>1062</v>
      </c>
      <c r="F633" s="22" t="s">
        <v>7</v>
      </c>
      <c r="G633" s="22" t="s">
        <v>2188</v>
      </c>
      <c r="H633" s="22" t="s">
        <v>11</v>
      </c>
      <c r="I633" s="22" t="s">
        <v>5511</v>
      </c>
      <c r="J633" s="22" t="s">
        <v>39</v>
      </c>
      <c r="K633" s="22">
        <v>5.18125092804896e+18</v>
      </c>
      <c r="L633" s="22" t="s">
        <v>2190</v>
      </c>
      <c r="M633" s="25"/>
    </row>
    <row r="634" customHeight="1" spans="1:13">
      <c r="A634" s="21">
        <v>46054</v>
      </c>
      <c r="B634" s="22" t="s">
        <v>5478</v>
      </c>
      <c r="C634" s="23">
        <v>46063</v>
      </c>
      <c r="D634" s="27">
        <v>14915</v>
      </c>
      <c r="E634" s="22" t="s">
        <v>173</v>
      </c>
      <c r="F634" s="22" t="s">
        <v>7</v>
      </c>
      <c r="G634" s="22" t="s">
        <v>2175</v>
      </c>
      <c r="H634" s="22" t="s">
        <v>11</v>
      </c>
      <c r="I634" s="22" t="s">
        <v>5511</v>
      </c>
      <c r="J634" s="22" t="s">
        <v>48</v>
      </c>
      <c r="K634" s="22">
        <v>5.18126012205551e+18</v>
      </c>
      <c r="L634" s="22" t="s">
        <v>2177</v>
      </c>
      <c r="M634" s="25"/>
    </row>
    <row r="635" customHeight="1" spans="1:13">
      <c r="A635" s="21">
        <v>46054</v>
      </c>
      <c r="B635" s="22" t="s">
        <v>5478</v>
      </c>
      <c r="C635" s="23">
        <v>46063</v>
      </c>
      <c r="D635" s="27">
        <v>6764.95</v>
      </c>
      <c r="E635" s="22" t="s">
        <v>173</v>
      </c>
      <c r="F635" s="22" t="s">
        <v>105</v>
      </c>
      <c r="G635" s="22" t="s">
        <v>2192</v>
      </c>
      <c r="H635" s="22" t="s">
        <v>11</v>
      </c>
      <c r="I635" s="22" t="s">
        <v>5511</v>
      </c>
      <c r="J635" s="22" t="s">
        <v>48</v>
      </c>
      <c r="K635" s="22">
        <v>5.18126012205551e+18</v>
      </c>
      <c r="L635" s="22" t="s">
        <v>2177</v>
      </c>
      <c r="M635" s="25"/>
    </row>
    <row r="636" customHeight="1" spans="1:13">
      <c r="A636" s="21">
        <v>46054</v>
      </c>
      <c r="B636" s="22" t="s">
        <v>5478</v>
      </c>
      <c r="C636" s="23">
        <v>46063</v>
      </c>
      <c r="D636" s="27">
        <v>80000</v>
      </c>
      <c r="E636" s="22" t="s">
        <v>173</v>
      </c>
      <c r="F636" s="22" t="s">
        <v>105</v>
      </c>
      <c r="G636" s="22" t="s">
        <v>2193</v>
      </c>
      <c r="H636" s="22" t="s">
        <v>12</v>
      </c>
      <c r="I636" s="22" t="s">
        <v>5511</v>
      </c>
      <c r="J636" s="22" t="s">
        <v>39</v>
      </c>
      <c r="K636" s="22">
        <v>5.18126012205551e+18</v>
      </c>
      <c r="L636" s="22" t="s">
        <v>2177</v>
      </c>
      <c r="M636" s="25"/>
    </row>
    <row r="637" customHeight="1" spans="1:13">
      <c r="A637" s="21">
        <v>46054</v>
      </c>
      <c r="B637" s="22" t="s">
        <v>5478</v>
      </c>
      <c r="C637" s="23">
        <v>46063</v>
      </c>
      <c r="D637" s="27">
        <v>18899</v>
      </c>
      <c r="E637" s="22" t="s">
        <v>173</v>
      </c>
      <c r="F637" s="22" t="s">
        <v>7</v>
      </c>
      <c r="G637" s="22" t="s">
        <v>2197</v>
      </c>
      <c r="H637" s="22" t="s">
        <v>12</v>
      </c>
      <c r="I637" s="22" t="s">
        <v>5511</v>
      </c>
      <c r="J637" s="22" t="s">
        <v>48</v>
      </c>
      <c r="K637" s="22">
        <v>5.18126012205551e+18</v>
      </c>
      <c r="L637" s="22" t="s">
        <v>2177</v>
      </c>
      <c r="M637" s="25"/>
    </row>
    <row r="638" customHeight="1" spans="1:13">
      <c r="A638" s="21">
        <v>46054</v>
      </c>
      <c r="B638" s="22" t="s">
        <v>5478</v>
      </c>
      <c r="C638" s="23">
        <v>46064</v>
      </c>
      <c r="D638" s="27">
        <v>1000</v>
      </c>
      <c r="E638" s="22" t="s">
        <v>149</v>
      </c>
      <c r="F638" s="22" t="s">
        <v>7</v>
      </c>
      <c r="G638" s="22" t="s">
        <v>2198</v>
      </c>
      <c r="H638" s="22" t="s">
        <v>10</v>
      </c>
      <c r="I638" s="22" t="s">
        <v>5511</v>
      </c>
      <c r="J638" s="22" t="s">
        <v>40</v>
      </c>
      <c r="K638" s="22">
        <v>5.18125111405163e+18</v>
      </c>
      <c r="L638" s="22" t="s">
        <v>2111</v>
      </c>
      <c r="M638" s="25"/>
    </row>
    <row r="639" customHeight="1" spans="1:13">
      <c r="A639" s="21">
        <v>46054</v>
      </c>
      <c r="B639" s="22" t="s">
        <v>5478</v>
      </c>
      <c r="C639" s="23">
        <v>46066</v>
      </c>
      <c r="D639" s="27">
        <v>9337</v>
      </c>
      <c r="E639" s="22" t="s">
        <v>173</v>
      </c>
      <c r="F639" s="22" t="s">
        <v>7</v>
      </c>
      <c r="G639" s="22" t="s">
        <v>2199</v>
      </c>
      <c r="H639" s="22" t="s">
        <v>11</v>
      </c>
      <c r="I639" s="22" t="s">
        <v>5511</v>
      </c>
      <c r="J639" s="22" t="s">
        <v>48</v>
      </c>
      <c r="K639" s="22">
        <v>5.18126012205551e+18</v>
      </c>
      <c r="L639" s="22" t="s">
        <v>2177</v>
      </c>
      <c r="M639" s="25"/>
    </row>
    <row r="640" customHeight="1" spans="1:13">
      <c r="A640" s="21">
        <v>46054</v>
      </c>
      <c r="B640" s="22" t="s">
        <v>5478</v>
      </c>
      <c r="C640" s="23">
        <v>46066</v>
      </c>
      <c r="D640" s="27">
        <v>49278</v>
      </c>
      <c r="E640" s="22" t="s">
        <v>173</v>
      </c>
      <c r="F640" s="22" t="s">
        <v>7</v>
      </c>
      <c r="G640" s="22" t="s">
        <v>2200</v>
      </c>
      <c r="H640" s="22" t="s">
        <v>11</v>
      </c>
      <c r="I640" s="22" t="s">
        <v>5511</v>
      </c>
      <c r="J640" s="22" t="s">
        <v>48</v>
      </c>
      <c r="K640" s="22">
        <v>5.18126012205551e+18</v>
      </c>
      <c r="L640" s="22" t="s">
        <v>2177</v>
      </c>
      <c r="M640" s="25"/>
    </row>
    <row r="641" customHeight="1" spans="1:13">
      <c r="A641" s="21">
        <v>46054</v>
      </c>
      <c r="B641" s="22" t="s">
        <v>5478</v>
      </c>
      <c r="C641" s="23">
        <v>46066</v>
      </c>
      <c r="D641" s="27">
        <v>114620</v>
      </c>
      <c r="E641" s="22" t="s">
        <v>173</v>
      </c>
      <c r="F641" s="22" t="s">
        <v>7</v>
      </c>
      <c r="G641" s="22" t="s">
        <v>5537</v>
      </c>
      <c r="H641" s="22" t="s">
        <v>12</v>
      </c>
      <c r="I641" s="22" t="s">
        <v>5511</v>
      </c>
      <c r="J641" s="22" t="s">
        <v>48</v>
      </c>
      <c r="K641" s="22">
        <v>5.18126012205551e+18</v>
      </c>
      <c r="L641" s="22" t="s">
        <v>2177</v>
      </c>
      <c r="M641" s="25"/>
    </row>
    <row r="642" customHeight="1" spans="1:13">
      <c r="A642" s="21">
        <v>46054</v>
      </c>
      <c r="B642" s="22" t="s">
        <v>5478</v>
      </c>
      <c r="C642" s="23">
        <v>46066</v>
      </c>
      <c r="D642" s="27">
        <v>126085</v>
      </c>
      <c r="E642" s="22" t="s">
        <v>173</v>
      </c>
      <c r="F642" s="22" t="s">
        <v>7</v>
      </c>
      <c r="G642" s="22" t="s">
        <v>2205</v>
      </c>
      <c r="H642" s="22" t="s">
        <v>12</v>
      </c>
      <c r="I642" s="22" t="s">
        <v>5511</v>
      </c>
      <c r="J642" s="22" t="s">
        <v>48</v>
      </c>
      <c r="K642" s="22">
        <v>5.18126012205551e+18</v>
      </c>
      <c r="L642" s="22" t="s">
        <v>2177</v>
      </c>
      <c r="M642" s="25"/>
    </row>
    <row r="643" customHeight="1" spans="1:13">
      <c r="A643" s="21">
        <v>46054</v>
      </c>
      <c r="B643" s="22" t="s">
        <v>5479</v>
      </c>
      <c r="C643" s="23">
        <v>46071</v>
      </c>
      <c r="D643" s="24">
        <v>270.3</v>
      </c>
      <c r="E643" s="22" t="s">
        <v>149</v>
      </c>
      <c r="F643" s="22" t="s">
        <v>7</v>
      </c>
      <c r="G643" s="22" t="s">
        <v>2206</v>
      </c>
      <c r="H643" s="22" t="s">
        <v>10</v>
      </c>
      <c r="I643" s="22" t="s">
        <v>5511</v>
      </c>
      <c r="J643" s="22" t="s">
        <v>40</v>
      </c>
      <c r="K643" s="22">
        <v>5.18123041800346e+18</v>
      </c>
      <c r="L643" s="22" t="s">
        <v>2208</v>
      </c>
      <c r="M643" s="25"/>
    </row>
    <row r="644" customHeight="1" spans="1:13">
      <c r="A644" s="21">
        <v>46054</v>
      </c>
      <c r="B644" s="22" t="s">
        <v>5479</v>
      </c>
      <c r="C644" s="23">
        <v>46072</v>
      </c>
      <c r="D644" s="27">
        <v>1000</v>
      </c>
      <c r="E644" s="22" t="s">
        <v>149</v>
      </c>
      <c r="F644" s="22" t="s">
        <v>7</v>
      </c>
      <c r="G644" s="22" t="s">
        <v>2209</v>
      </c>
      <c r="H644" s="22" t="s">
        <v>10</v>
      </c>
      <c r="I644" s="22" t="s">
        <v>5511</v>
      </c>
      <c r="J644" s="22" t="s">
        <v>40</v>
      </c>
      <c r="K644" s="22">
        <v>5.18125111405163e+18</v>
      </c>
      <c r="L644" s="22" t="s">
        <v>2111</v>
      </c>
      <c r="M644" s="25"/>
    </row>
    <row r="645" customHeight="1" spans="1:13">
      <c r="A645" s="21">
        <v>46054</v>
      </c>
      <c r="B645" s="22" t="s">
        <v>5479</v>
      </c>
      <c r="C645" s="23">
        <v>46069</v>
      </c>
      <c r="D645" s="27">
        <v>69450.48</v>
      </c>
      <c r="E645" s="22" t="s">
        <v>149</v>
      </c>
      <c r="F645" s="22" t="s">
        <v>7</v>
      </c>
      <c r="G645" s="22" t="s">
        <v>2210</v>
      </c>
      <c r="H645" s="22" t="s">
        <v>12</v>
      </c>
      <c r="I645" s="22" t="s">
        <v>5511</v>
      </c>
      <c r="J645" s="22" t="s">
        <v>48</v>
      </c>
      <c r="K645" s="22">
        <v>5.18125070204435e+18</v>
      </c>
      <c r="L645" s="22" t="s">
        <v>1440</v>
      </c>
      <c r="M645" s="25"/>
    </row>
    <row r="646" customHeight="1" spans="1:13">
      <c r="A646" s="21">
        <v>46054</v>
      </c>
      <c r="B646" s="22" t="s">
        <v>5479</v>
      </c>
      <c r="C646" s="23">
        <v>46073</v>
      </c>
      <c r="D646" s="27">
        <v>49702</v>
      </c>
      <c r="E646" s="22" t="s">
        <v>173</v>
      </c>
      <c r="F646" s="22" t="s">
        <v>7</v>
      </c>
      <c r="G646" s="22" t="s">
        <v>2211</v>
      </c>
      <c r="H646" s="22" t="s">
        <v>12</v>
      </c>
      <c r="I646" s="22" t="s">
        <v>5511</v>
      </c>
      <c r="J646" s="22" t="s">
        <v>48</v>
      </c>
      <c r="K646" s="22">
        <v>5.18126012205551e+18</v>
      </c>
      <c r="L646" s="22" t="s">
        <v>2177</v>
      </c>
      <c r="M646" s="25"/>
    </row>
    <row r="647" customHeight="1" spans="1:13">
      <c r="A647" s="21">
        <v>46054</v>
      </c>
      <c r="B647" s="22" t="s">
        <v>5479</v>
      </c>
      <c r="C647" s="23">
        <v>46069</v>
      </c>
      <c r="D647" s="24">
        <v>10000</v>
      </c>
      <c r="E647" s="22" t="s">
        <v>1239</v>
      </c>
      <c r="F647" s="22" t="s">
        <v>7</v>
      </c>
      <c r="G647" s="22" t="s">
        <v>2213</v>
      </c>
      <c r="H647" s="22" t="s">
        <v>12</v>
      </c>
      <c r="I647" s="22" t="s">
        <v>5511</v>
      </c>
      <c r="J647" s="22" t="s">
        <v>51</v>
      </c>
      <c r="K647" s="22">
        <v>5.18125070204435e+18</v>
      </c>
      <c r="L647" s="22" t="s">
        <v>1440</v>
      </c>
      <c r="M647" s="25"/>
    </row>
    <row r="648" customHeight="1" spans="1:13">
      <c r="A648" s="21">
        <v>46054</v>
      </c>
      <c r="B648" s="22" t="s">
        <v>5479</v>
      </c>
      <c r="C648" s="23">
        <v>46070</v>
      </c>
      <c r="D648" s="27">
        <v>1563225.07</v>
      </c>
      <c r="E648" s="22" t="s">
        <v>1062</v>
      </c>
      <c r="F648" s="22" t="s">
        <v>7</v>
      </c>
      <c r="G648" s="22" t="s">
        <v>2215</v>
      </c>
      <c r="H648" s="22" t="s">
        <v>10</v>
      </c>
      <c r="I648" s="22" t="s">
        <v>5511</v>
      </c>
      <c r="J648" s="22" t="s">
        <v>51</v>
      </c>
      <c r="K648" s="22">
        <v>5.18125051504154e+18</v>
      </c>
      <c r="L648" s="22" t="s">
        <v>2217</v>
      </c>
      <c r="M648" s="25"/>
    </row>
    <row r="649" customHeight="1" spans="1:13">
      <c r="A649" s="21">
        <v>46054</v>
      </c>
      <c r="B649" s="22" t="s">
        <v>5479</v>
      </c>
      <c r="C649" s="23">
        <v>46069</v>
      </c>
      <c r="D649" s="27">
        <v>1026367.38</v>
      </c>
      <c r="E649" s="22" t="s">
        <v>1567</v>
      </c>
      <c r="F649" s="22" t="s">
        <v>7</v>
      </c>
      <c r="G649" s="22" t="s">
        <v>5538</v>
      </c>
      <c r="H649" s="22" t="s">
        <v>12</v>
      </c>
      <c r="I649" s="22" t="s">
        <v>5511</v>
      </c>
      <c r="J649" s="22" t="s">
        <v>51</v>
      </c>
      <c r="K649" s="22">
        <v>5.18125070204435e+18</v>
      </c>
      <c r="L649" s="22" t="s">
        <v>1440</v>
      </c>
      <c r="M649" s="25"/>
    </row>
    <row r="650" customHeight="1" spans="1:13">
      <c r="A650" s="21">
        <v>46054</v>
      </c>
      <c r="B650" s="22" t="s">
        <v>5479</v>
      </c>
      <c r="C650" s="23">
        <v>46077</v>
      </c>
      <c r="D650" s="27">
        <v>5639734</v>
      </c>
      <c r="E650" s="22" t="s">
        <v>1037</v>
      </c>
      <c r="F650" s="22" t="s">
        <v>7</v>
      </c>
      <c r="G650" s="22" t="s">
        <v>2222</v>
      </c>
      <c r="H650" s="22" t="s">
        <v>10</v>
      </c>
      <c r="I650" s="22" t="s">
        <v>5511</v>
      </c>
      <c r="J650" s="22" t="s">
        <v>2168</v>
      </c>
      <c r="K650" s="22">
        <v>5.18125011103721e+18</v>
      </c>
      <c r="L650" s="22" t="s">
        <v>2225</v>
      </c>
      <c r="M650" s="25"/>
    </row>
    <row r="651" customHeight="1" spans="1:13">
      <c r="A651" s="21">
        <v>46054</v>
      </c>
      <c r="B651" s="22" t="s">
        <v>5479</v>
      </c>
      <c r="C651" s="23">
        <v>46077</v>
      </c>
      <c r="D651" s="27">
        <v>123809.97</v>
      </c>
      <c r="E651" s="22" t="s">
        <v>173</v>
      </c>
      <c r="F651" s="22" t="s">
        <v>7</v>
      </c>
      <c r="G651" s="22" t="s">
        <v>2226</v>
      </c>
      <c r="H651" s="22" t="s">
        <v>11</v>
      </c>
      <c r="I651" s="22" t="s">
        <v>5511</v>
      </c>
      <c r="J651" s="22" t="s">
        <v>39</v>
      </c>
      <c r="K651" s="22">
        <v>5.18125011103721e+18</v>
      </c>
      <c r="L651" s="22" t="s">
        <v>2225</v>
      </c>
      <c r="M651" s="25"/>
    </row>
    <row r="652" customHeight="1" spans="1:13">
      <c r="A652" s="21">
        <v>46054</v>
      </c>
      <c r="B652" s="22" t="s">
        <v>5479</v>
      </c>
      <c r="C652" s="23">
        <v>46077</v>
      </c>
      <c r="D652" s="24">
        <v>32.68</v>
      </c>
      <c r="E652" s="22" t="s">
        <v>2233</v>
      </c>
      <c r="F652" s="22" t="s">
        <v>7</v>
      </c>
      <c r="G652" s="22" t="s">
        <v>839</v>
      </c>
      <c r="H652" s="22" t="s">
        <v>10</v>
      </c>
      <c r="I652" s="22" t="s">
        <v>5511</v>
      </c>
      <c r="J652" s="22" t="s">
        <v>47</v>
      </c>
      <c r="K652" s="22">
        <v>5.18125011103721e+18</v>
      </c>
      <c r="L652" s="22" t="s">
        <v>2225</v>
      </c>
      <c r="M652" s="25"/>
    </row>
    <row r="653" customHeight="1" spans="1:13">
      <c r="A653" s="21">
        <v>46054</v>
      </c>
      <c r="B653" s="22" t="s">
        <v>5479</v>
      </c>
      <c r="C653" s="23">
        <v>46078</v>
      </c>
      <c r="D653" s="27">
        <v>131392</v>
      </c>
      <c r="E653" s="22" t="s">
        <v>1062</v>
      </c>
      <c r="F653" s="22" t="s">
        <v>7</v>
      </c>
      <c r="G653" s="22" t="s">
        <v>2234</v>
      </c>
      <c r="H653" s="22" t="s">
        <v>11</v>
      </c>
      <c r="I653" s="22" t="s">
        <v>5511</v>
      </c>
      <c r="J653" s="22" t="s">
        <v>39</v>
      </c>
      <c r="K653" s="22">
        <v>5.18125092804896e+18</v>
      </c>
      <c r="L653" s="22" t="s">
        <v>2190</v>
      </c>
      <c r="M653" s="25"/>
    </row>
    <row r="654" customHeight="1" spans="1:13">
      <c r="A654" s="21">
        <v>46054</v>
      </c>
      <c r="B654" s="22" t="s">
        <v>5479</v>
      </c>
      <c r="C654" s="23">
        <v>46079</v>
      </c>
      <c r="D654" s="27">
        <v>854500</v>
      </c>
      <c r="E654" s="22" t="s">
        <v>2242</v>
      </c>
      <c r="F654" s="22" t="s">
        <v>105</v>
      </c>
      <c r="G654" s="22" t="s">
        <v>2238</v>
      </c>
      <c r="H654" s="22" t="s">
        <v>12</v>
      </c>
      <c r="I654" s="22" t="s">
        <v>5511</v>
      </c>
      <c r="J654" s="22" t="s">
        <v>39</v>
      </c>
      <c r="K654" s="22">
        <v>5.18123052200012e+18</v>
      </c>
      <c r="L654" s="22" t="s">
        <v>2240</v>
      </c>
      <c r="M654" s="25"/>
    </row>
    <row r="655" customHeight="1" spans="1:13">
      <c r="A655" s="21">
        <v>46054</v>
      </c>
      <c r="B655" s="22" t="s">
        <v>5479</v>
      </c>
      <c r="C655" s="23">
        <v>46081</v>
      </c>
      <c r="D655" s="27">
        <v>5337.81</v>
      </c>
      <c r="E655" s="22" t="s">
        <v>173</v>
      </c>
      <c r="F655" s="22" t="s">
        <v>7</v>
      </c>
      <c r="G655" s="22" t="s">
        <v>2244</v>
      </c>
      <c r="H655" s="22" t="s">
        <v>12</v>
      </c>
      <c r="I655" s="22" t="s">
        <v>5511</v>
      </c>
      <c r="J655" s="22" t="s">
        <v>44</v>
      </c>
      <c r="K655" s="22">
        <v>5.1812503110388e+18</v>
      </c>
      <c r="L655" s="22" t="s">
        <v>709</v>
      </c>
      <c r="M655" s="25"/>
    </row>
    <row r="656" customHeight="1" spans="1:13">
      <c r="A656" s="21">
        <v>46054</v>
      </c>
      <c r="B656" s="22" t="s">
        <v>5479</v>
      </c>
      <c r="C656" s="23">
        <v>46080</v>
      </c>
      <c r="D656" s="27">
        <v>80722</v>
      </c>
      <c r="E656" s="22" t="s">
        <v>173</v>
      </c>
      <c r="F656" s="22" t="s">
        <v>7</v>
      </c>
      <c r="G656" s="22" t="s">
        <v>2247</v>
      </c>
      <c r="H656" s="22" t="s">
        <v>12</v>
      </c>
      <c r="I656" s="22" t="s">
        <v>5511</v>
      </c>
      <c r="J656" s="22" t="s">
        <v>48</v>
      </c>
      <c r="K656" s="22">
        <v>5.1812511100513e+18</v>
      </c>
      <c r="L656" s="22" t="s">
        <v>2203</v>
      </c>
      <c r="M656" s="25"/>
    </row>
    <row r="657" customHeight="1" spans="1:13">
      <c r="A657" s="21">
        <v>46082</v>
      </c>
      <c r="B657" s="22" t="s">
        <v>5480</v>
      </c>
      <c r="C657" s="23">
        <v>46083</v>
      </c>
      <c r="D657" s="24">
        <v>499.04</v>
      </c>
      <c r="E657" s="22" t="s">
        <v>173</v>
      </c>
      <c r="F657" s="22" t="s">
        <v>7</v>
      </c>
      <c r="G657" s="22" t="s">
        <v>2248</v>
      </c>
      <c r="H657" s="22" t="s">
        <v>12</v>
      </c>
      <c r="I657" s="22" t="s">
        <v>5511</v>
      </c>
      <c r="J657" s="22" t="s">
        <v>48</v>
      </c>
      <c r="K657" s="22">
        <v>5.18125091604817e+18</v>
      </c>
      <c r="L657" s="22" t="s">
        <v>1871</v>
      </c>
      <c r="M657" s="25"/>
    </row>
    <row r="658" customHeight="1" spans="1:13">
      <c r="A658" s="21">
        <v>46082</v>
      </c>
      <c r="B658" s="22" t="s">
        <v>5480</v>
      </c>
      <c r="C658" s="23">
        <v>46086</v>
      </c>
      <c r="D658" s="27">
        <v>101500</v>
      </c>
      <c r="E658" s="22" t="s">
        <v>173</v>
      </c>
      <c r="F658" s="22" t="s">
        <v>7</v>
      </c>
      <c r="G658" s="22" t="s">
        <v>2249</v>
      </c>
      <c r="H658" s="22" t="s">
        <v>11</v>
      </c>
      <c r="I658" s="22" t="s">
        <v>5511</v>
      </c>
      <c r="J658" s="22" t="s">
        <v>39</v>
      </c>
      <c r="K658" s="22">
        <v>5.18125102005e+18</v>
      </c>
      <c r="L658" s="22" t="s">
        <v>2251</v>
      </c>
      <c r="M658" s="25"/>
    </row>
    <row r="659" customHeight="1" spans="1:13">
      <c r="A659" s="21">
        <v>46082</v>
      </c>
      <c r="B659" s="22" t="s">
        <v>5480</v>
      </c>
      <c r="C659" s="23">
        <v>46087</v>
      </c>
      <c r="D659" s="24">
        <v>0</v>
      </c>
      <c r="E659" s="24">
        <v>0</v>
      </c>
      <c r="F659" s="22" t="s">
        <v>105</v>
      </c>
      <c r="G659" s="22" t="s">
        <v>2254</v>
      </c>
      <c r="H659" s="22" t="s">
        <v>10</v>
      </c>
      <c r="I659" s="22" t="s">
        <v>5511</v>
      </c>
      <c r="J659" s="22" t="s">
        <v>53</v>
      </c>
      <c r="K659" s="22">
        <v>5.1812210110026e+18</v>
      </c>
      <c r="L659" s="22" t="s">
        <v>2257</v>
      </c>
      <c r="M659" s="25"/>
    </row>
    <row r="660" customHeight="1" spans="1:13">
      <c r="A660" s="21">
        <v>46082</v>
      </c>
      <c r="B660" s="22" t="s">
        <v>5480</v>
      </c>
      <c r="C660" s="23">
        <v>46087</v>
      </c>
      <c r="D660" s="27">
        <v>85064.99</v>
      </c>
      <c r="E660" s="22" t="s">
        <v>173</v>
      </c>
      <c r="F660" s="22" t="s">
        <v>7</v>
      </c>
      <c r="G660" s="22" t="s">
        <v>2259</v>
      </c>
      <c r="H660" s="22" t="s">
        <v>12</v>
      </c>
      <c r="I660" s="22" t="s">
        <v>5511</v>
      </c>
      <c r="J660" s="22" t="s">
        <v>48</v>
      </c>
      <c r="K660" s="22">
        <v>5.1812210110026e+18</v>
      </c>
      <c r="L660" s="22" t="s">
        <v>2257</v>
      </c>
      <c r="M660" s="25"/>
    </row>
    <row r="661" customHeight="1" spans="1:13">
      <c r="A661" s="21">
        <v>46082</v>
      </c>
      <c r="B661" s="22" t="s">
        <v>5480</v>
      </c>
      <c r="C661" s="23">
        <v>46087</v>
      </c>
      <c r="D661" s="27">
        <v>19890</v>
      </c>
      <c r="E661" s="22" t="s">
        <v>149</v>
      </c>
      <c r="F661" s="22" t="s">
        <v>7</v>
      </c>
      <c r="G661" s="22" t="s">
        <v>2260</v>
      </c>
      <c r="H661" s="22" t="s">
        <v>11</v>
      </c>
      <c r="I661" s="22" t="s">
        <v>5511</v>
      </c>
      <c r="J661" s="22" t="s">
        <v>40</v>
      </c>
      <c r="K661" s="22">
        <v>5.1812210110026e+18</v>
      </c>
      <c r="L661" s="22" t="s">
        <v>2257</v>
      </c>
      <c r="M661" s="25"/>
    </row>
    <row r="662" customHeight="1" spans="1:13">
      <c r="A662" s="21">
        <v>46082</v>
      </c>
      <c r="B662" s="22" t="s">
        <v>5480</v>
      </c>
      <c r="C662" s="23">
        <v>46090</v>
      </c>
      <c r="D662" s="27">
        <v>82987.17</v>
      </c>
      <c r="E662" s="22" t="s">
        <v>173</v>
      </c>
      <c r="F662" s="22" t="s">
        <v>7</v>
      </c>
      <c r="G662" s="22" t="s">
        <v>2265</v>
      </c>
      <c r="H662" s="22" t="s">
        <v>10</v>
      </c>
      <c r="I662" s="22" t="s">
        <v>5511</v>
      </c>
      <c r="J662" s="22" t="s">
        <v>39</v>
      </c>
      <c r="K662" s="22">
        <v>5.18124042500322e+18</v>
      </c>
      <c r="L662" s="22" t="s">
        <v>2268</v>
      </c>
      <c r="M662" s="25"/>
    </row>
    <row r="663" customHeight="1" spans="1:13">
      <c r="A663" s="21">
        <v>46082</v>
      </c>
      <c r="B663" s="22" t="s">
        <v>5480</v>
      </c>
      <c r="C663" s="23">
        <v>46091</v>
      </c>
      <c r="D663" s="24">
        <v>1.37</v>
      </c>
      <c r="E663" s="22" t="s">
        <v>1466</v>
      </c>
      <c r="F663" s="22" t="s">
        <v>7</v>
      </c>
      <c r="G663" s="22" t="s">
        <v>2269</v>
      </c>
      <c r="H663" s="22" t="s">
        <v>10</v>
      </c>
      <c r="I663" s="22" t="s">
        <v>5511</v>
      </c>
      <c r="J663" s="22" t="s">
        <v>47</v>
      </c>
      <c r="K663" s="22">
        <v>5.18123092200085e+18</v>
      </c>
      <c r="L663" s="22" t="s">
        <v>2272</v>
      </c>
      <c r="M663" s="25"/>
    </row>
    <row r="664" customHeight="1" spans="1:13">
      <c r="A664" s="21">
        <v>46082</v>
      </c>
      <c r="B664" s="22" t="s">
        <v>5480</v>
      </c>
      <c r="C664" s="23">
        <v>46090</v>
      </c>
      <c r="D664" s="24">
        <v>500</v>
      </c>
      <c r="E664" s="22" t="s">
        <v>173</v>
      </c>
      <c r="F664" s="22" t="s">
        <v>7</v>
      </c>
      <c r="G664" s="22" t="s">
        <v>2274</v>
      </c>
      <c r="H664" s="22" t="s">
        <v>12</v>
      </c>
      <c r="I664" s="22" t="s">
        <v>5511</v>
      </c>
      <c r="J664" s="22" t="s">
        <v>54</v>
      </c>
      <c r="K664" s="22">
        <v>5.18124042500322e+18</v>
      </c>
      <c r="L664" s="22" t="s">
        <v>2268</v>
      </c>
      <c r="M664" s="25"/>
    </row>
    <row r="665" customHeight="1" spans="1:13">
      <c r="A665" s="21">
        <v>46082</v>
      </c>
      <c r="B665" s="22" t="s">
        <v>5480</v>
      </c>
      <c r="C665" s="23">
        <v>46090</v>
      </c>
      <c r="D665" s="24">
        <v>240</v>
      </c>
      <c r="E665" s="22" t="s">
        <v>173</v>
      </c>
      <c r="F665" s="22" t="s">
        <v>7</v>
      </c>
      <c r="G665" s="22" t="s">
        <v>2278</v>
      </c>
      <c r="H665" s="22" t="s">
        <v>10</v>
      </c>
      <c r="I665" s="22" t="s">
        <v>5511</v>
      </c>
      <c r="J665" s="22" t="s">
        <v>53</v>
      </c>
      <c r="K665" s="22">
        <v>5.18124042500322e+18</v>
      </c>
      <c r="L665" s="22" t="s">
        <v>2268</v>
      </c>
      <c r="M665" s="25"/>
    </row>
    <row r="666" customHeight="1" spans="1:13">
      <c r="A666" s="21">
        <v>46082</v>
      </c>
      <c r="B666" s="22" t="s">
        <v>5480</v>
      </c>
      <c r="C666" s="23">
        <v>46090</v>
      </c>
      <c r="D666" s="27">
        <v>47668.44</v>
      </c>
      <c r="E666" s="22" t="s">
        <v>173</v>
      </c>
      <c r="F666" s="22" t="s">
        <v>105</v>
      </c>
      <c r="G666" s="22" t="s">
        <v>2281</v>
      </c>
      <c r="H666" s="22" t="s">
        <v>12</v>
      </c>
      <c r="I666" s="22" t="s">
        <v>5511</v>
      </c>
      <c r="J666" s="22" t="s">
        <v>39</v>
      </c>
      <c r="K666" s="22">
        <v>5.18124042500322e+18</v>
      </c>
      <c r="L666" s="22" t="s">
        <v>2268</v>
      </c>
      <c r="M666" s="25"/>
    </row>
    <row r="667" customHeight="1" spans="1:13">
      <c r="A667" s="21">
        <v>46082</v>
      </c>
      <c r="B667" s="22" t="s">
        <v>5480</v>
      </c>
      <c r="C667" s="23">
        <v>46092</v>
      </c>
      <c r="D667" s="27">
        <v>51172.61</v>
      </c>
      <c r="E667" s="22" t="s">
        <v>173</v>
      </c>
      <c r="F667" s="22" t="s">
        <v>105</v>
      </c>
      <c r="G667" s="22" t="s">
        <v>2284</v>
      </c>
      <c r="H667" s="22" t="s">
        <v>12</v>
      </c>
      <c r="I667" s="22" t="s">
        <v>5511</v>
      </c>
      <c r="J667" s="22" t="s">
        <v>39</v>
      </c>
      <c r="K667" s="22">
        <v>5.18126030305688e+18</v>
      </c>
      <c r="L667" s="22" t="s">
        <v>2283</v>
      </c>
      <c r="M667" s="25"/>
    </row>
    <row r="668" customHeight="1" spans="1:13">
      <c r="A668" s="21">
        <v>46082</v>
      </c>
      <c r="B668" s="22" t="s">
        <v>5480</v>
      </c>
      <c r="C668" s="23">
        <v>46092</v>
      </c>
      <c r="D668" s="27">
        <v>81715.38</v>
      </c>
      <c r="E668" s="22" t="s">
        <v>173</v>
      </c>
      <c r="F668" s="22" t="s">
        <v>105</v>
      </c>
      <c r="G668" s="22" t="s">
        <v>2285</v>
      </c>
      <c r="H668" s="22" t="s">
        <v>12</v>
      </c>
      <c r="I668" s="22" t="s">
        <v>5511</v>
      </c>
      <c r="J668" s="22" t="s">
        <v>39</v>
      </c>
      <c r="K668" s="22">
        <v>5.18126030305688e+18</v>
      </c>
      <c r="L668" s="22" t="s">
        <v>2283</v>
      </c>
      <c r="M668" s="25"/>
    </row>
    <row r="669" customHeight="1" spans="1:13">
      <c r="A669" s="21">
        <v>46082</v>
      </c>
      <c r="B669" s="22" t="s">
        <v>5480</v>
      </c>
      <c r="C669" s="23">
        <v>46093</v>
      </c>
      <c r="D669" s="27">
        <v>50000</v>
      </c>
      <c r="E669" s="22" t="s">
        <v>1128</v>
      </c>
      <c r="F669" s="22" t="s">
        <v>7</v>
      </c>
      <c r="G669" s="22" t="s">
        <v>2286</v>
      </c>
      <c r="H669" s="22" t="s">
        <v>12</v>
      </c>
      <c r="I669" s="22" t="s">
        <v>5511</v>
      </c>
      <c r="J669" s="22" t="s">
        <v>44</v>
      </c>
      <c r="K669" s="22">
        <v>5.18124031100242e+18</v>
      </c>
      <c r="L669" s="22" t="s">
        <v>2288</v>
      </c>
      <c r="M669" s="25"/>
    </row>
    <row r="670" customHeight="1" spans="1:13">
      <c r="A670" s="21">
        <v>46082</v>
      </c>
      <c r="B670" s="22" t="s">
        <v>5480</v>
      </c>
      <c r="C670" s="23">
        <v>46093</v>
      </c>
      <c r="D670" s="27">
        <v>943169.41</v>
      </c>
      <c r="E670" s="22" t="s">
        <v>149</v>
      </c>
      <c r="F670" s="22" t="s">
        <v>7</v>
      </c>
      <c r="G670" s="22" t="s">
        <v>2290</v>
      </c>
      <c r="H670" s="22" t="s">
        <v>12</v>
      </c>
      <c r="I670" s="22" t="s">
        <v>5511</v>
      </c>
      <c r="J670" s="22" t="s">
        <v>39</v>
      </c>
      <c r="K670" s="22">
        <v>5.18124031100242e+18</v>
      </c>
      <c r="L670" s="22" t="s">
        <v>2288</v>
      </c>
      <c r="M670" s="25"/>
    </row>
    <row r="671" customHeight="1" spans="1:13">
      <c r="A671" s="21">
        <v>46082</v>
      </c>
      <c r="B671" s="22" t="s">
        <v>5480</v>
      </c>
      <c r="C671" s="23">
        <v>46093</v>
      </c>
      <c r="D671" s="27">
        <v>150799.46</v>
      </c>
      <c r="E671" s="22" t="s">
        <v>173</v>
      </c>
      <c r="F671" s="22" t="s">
        <v>105</v>
      </c>
      <c r="G671" s="22" t="s">
        <v>2292</v>
      </c>
      <c r="H671" s="22" t="s">
        <v>12</v>
      </c>
      <c r="I671" s="22" t="s">
        <v>5511</v>
      </c>
      <c r="J671" s="22" t="s">
        <v>39</v>
      </c>
      <c r="K671" s="22">
        <v>5.18124031100242e+18</v>
      </c>
      <c r="L671" s="22" t="s">
        <v>2288</v>
      </c>
      <c r="M671" s="25"/>
    </row>
    <row r="672" customHeight="1" spans="1:13">
      <c r="A672" s="21">
        <v>46082</v>
      </c>
      <c r="B672" s="22" t="s">
        <v>5480</v>
      </c>
      <c r="C672" s="23">
        <v>46093</v>
      </c>
      <c r="D672" s="27">
        <v>84080.59</v>
      </c>
      <c r="E672" s="22" t="s">
        <v>173</v>
      </c>
      <c r="F672" s="22" t="s">
        <v>7</v>
      </c>
      <c r="G672" s="22" t="s">
        <v>2293</v>
      </c>
      <c r="H672" s="22" t="s">
        <v>12</v>
      </c>
      <c r="I672" s="22" t="s">
        <v>5511</v>
      </c>
      <c r="J672" s="22" t="s">
        <v>48</v>
      </c>
      <c r="K672" s="22">
        <v>5.18124031100242e+18</v>
      </c>
      <c r="L672" s="22" t="s">
        <v>2288</v>
      </c>
      <c r="M672" s="25"/>
    </row>
    <row r="673" customHeight="1" spans="1:13">
      <c r="A673" s="21">
        <v>46082</v>
      </c>
      <c r="B673" s="22" t="s">
        <v>5480</v>
      </c>
      <c r="C673" s="23">
        <v>46094</v>
      </c>
      <c r="D673" s="27">
        <v>150799.46</v>
      </c>
      <c r="E673" s="22" t="s">
        <v>173</v>
      </c>
      <c r="F673" s="22" t="s">
        <v>105</v>
      </c>
      <c r="G673" s="22" t="s">
        <v>2294</v>
      </c>
      <c r="H673" s="22" t="s">
        <v>12</v>
      </c>
      <c r="I673" s="22" t="s">
        <v>5511</v>
      </c>
      <c r="J673" s="22" t="s">
        <v>39</v>
      </c>
      <c r="K673" s="22">
        <v>5.18126030305688e+18</v>
      </c>
      <c r="L673" s="22" t="s">
        <v>2283</v>
      </c>
      <c r="M673" s="25"/>
    </row>
    <row r="674" customHeight="1" spans="1:13">
      <c r="A674" s="21">
        <v>46082</v>
      </c>
      <c r="B674" s="22" t="s">
        <v>5481</v>
      </c>
      <c r="C674" s="23">
        <v>46097</v>
      </c>
      <c r="D674" s="24">
        <v>0</v>
      </c>
      <c r="E674" s="24">
        <v>0</v>
      </c>
      <c r="F674" s="22" t="s">
        <v>7</v>
      </c>
      <c r="G674" s="22" t="s">
        <v>2295</v>
      </c>
      <c r="H674" s="22" t="s">
        <v>10</v>
      </c>
      <c r="I674" s="22" t="s">
        <v>5511</v>
      </c>
      <c r="J674" s="22" t="s">
        <v>2168</v>
      </c>
      <c r="K674" s="22" t="s">
        <v>5539</v>
      </c>
      <c r="L674" s="24">
        <v>0</v>
      </c>
      <c r="M674" s="25"/>
    </row>
    <row r="675" customHeight="1" spans="1:13">
      <c r="A675" s="21">
        <v>46082</v>
      </c>
      <c r="B675" s="22" t="s">
        <v>5481</v>
      </c>
      <c r="C675" s="23">
        <v>46097</v>
      </c>
      <c r="D675" s="27">
        <v>16210.74</v>
      </c>
      <c r="E675" s="22" t="s">
        <v>149</v>
      </c>
      <c r="F675" s="22" t="s">
        <v>7</v>
      </c>
      <c r="G675" s="22" t="s">
        <v>2297</v>
      </c>
      <c r="H675" s="22" t="s">
        <v>11</v>
      </c>
      <c r="I675" s="22" t="s">
        <v>5511</v>
      </c>
      <c r="J675" s="22" t="s">
        <v>39</v>
      </c>
      <c r="K675" s="22" t="s">
        <v>5539</v>
      </c>
      <c r="L675" s="24">
        <v>0</v>
      </c>
      <c r="M675" s="25"/>
    </row>
    <row r="676" customHeight="1" spans="1:13">
      <c r="A676" s="21">
        <v>46054</v>
      </c>
      <c r="B676" s="22" t="s">
        <v>5479</v>
      </c>
      <c r="C676" s="23">
        <v>46080</v>
      </c>
      <c r="D676" s="24">
        <v>534</v>
      </c>
      <c r="E676" s="22" t="s">
        <v>173</v>
      </c>
      <c r="F676" s="22" t="s">
        <v>105</v>
      </c>
      <c r="G676" s="22" t="s">
        <v>2299</v>
      </c>
      <c r="H676" s="22" t="s">
        <v>12</v>
      </c>
      <c r="I676" s="22" t="s">
        <v>5511</v>
      </c>
      <c r="J676" s="22" t="s">
        <v>53</v>
      </c>
      <c r="K676" s="22">
        <v>5.1812511100513e+18</v>
      </c>
      <c r="L676" s="22" t="s">
        <v>2203</v>
      </c>
      <c r="M676" s="25"/>
    </row>
    <row r="677" customHeight="1" spans="1:13">
      <c r="A677" s="21">
        <v>46082</v>
      </c>
      <c r="B677" s="22" t="s">
        <v>5481</v>
      </c>
      <c r="C677" s="23">
        <v>46099</v>
      </c>
      <c r="D677" s="27">
        <v>179586.63</v>
      </c>
      <c r="E677" s="22" t="s">
        <v>173</v>
      </c>
      <c r="F677" s="22" t="s">
        <v>105</v>
      </c>
      <c r="G677" s="22" t="s">
        <v>2300</v>
      </c>
      <c r="H677" s="22" t="s">
        <v>12</v>
      </c>
      <c r="I677" s="22" t="s">
        <v>5511</v>
      </c>
      <c r="J677" s="22" t="s">
        <v>39</v>
      </c>
      <c r="K677" s="22">
        <v>5.18126030305688e+18</v>
      </c>
      <c r="L677" s="22" t="s">
        <v>2283</v>
      </c>
      <c r="M677" s="25"/>
    </row>
    <row r="678" customHeight="1" spans="1:13">
      <c r="A678" s="21">
        <v>46082</v>
      </c>
      <c r="B678" s="22" t="s">
        <v>5481</v>
      </c>
      <c r="C678" s="23">
        <v>46101</v>
      </c>
      <c r="D678" s="27">
        <v>23396.82</v>
      </c>
      <c r="E678" s="22" t="s">
        <v>173</v>
      </c>
      <c r="F678" s="22" t="s">
        <v>7</v>
      </c>
      <c r="G678" s="22" t="s">
        <v>2301</v>
      </c>
      <c r="H678" s="22" t="s">
        <v>11</v>
      </c>
      <c r="I678" s="22" t="s">
        <v>5511</v>
      </c>
      <c r="J678" s="22" t="s">
        <v>48</v>
      </c>
      <c r="K678" s="22">
        <v>5.18125122005397e+18</v>
      </c>
      <c r="L678" s="22" t="s">
        <v>2304</v>
      </c>
      <c r="M678" s="25"/>
    </row>
    <row r="679" customHeight="1" spans="1:13">
      <c r="A679" s="21">
        <v>46082</v>
      </c>
      <c r="B679" s="22" t="s">
        <v>5481</v>
      </c>
      <c r="C679" s="23">
        <v>46105</v>
      </c>
      <c r="D679" s="27">
        <v>23080</v>
      </c>
      <c r="E679" s="22" t="s">
        <v>2309</v>
      </c>
      <c r="F679" s="22" t="s">
        <v>105</v>
      </c>
      <c r="G679" s="22" t="s">
        <v>2306</v>
      </c>
      <c r="H679" s="22" t="s">
        <v>12</v>
      </c>
      <c r="I679" s="22" t="s">
        <v>5511</v>
      </c>
      <c r="J679" s="22" t="s">
        <v>48</v>
      </c>
      <c r="K679" s="22">
        <v>5.18121041200008e+18</v>
      </c>
      <c r="L679" s="22" t="s">
        <v>1104</v>
      </c>
      <c r="M679" s="25"/>
    </row>
    <row r="680" customHeight="1" spans="1:13">
      <c r="A680" s="21">
        <v>46082</v>
      </c>
      <c r="B680" s="22" t="s">
        <v>5481</v>
      </c>
      <c r="C680" s="23">
        <v>46101</v>
      </c>
      <c r="D680" s="24">
        <v>0</v>
      </c>
      <c r="E680" s="24">
        <v>0</v>
      </c>
      <c r="F680" s="22" t="s">
        <v>7</v>
      </c>
      <c r="G680" s="22" t="s">
        <v>2311</v>
      </c>
      <c r="H680" s="22" t="s">
        <v>10</v>
      </c>
      <c r="I680" s="22" t="s">
        <v>5511</v>
      </c>
      <c r="J680" s="22" t="s">
        <v>2002</v>
      </c>
      <c r="K680" s="22">
        <v>5.18125122005397e+18</v>
      </c>
      <c r="L680" s="22" t="s">
        <v>2304</v>
      </c>
      <c r="M680" s="25"/>
    </row>
    <row r="681" customHeight="1" spans="1:13">
      <c r="A681" s="21">
        <v>46082</v>
      </c>
      <c r="B681" s="22" t="s">
        <v>5481</v>
      </c>
      <c r="C681" s="23">
        <v>46107</v>
      </c>
      <c r="D681" s="24">
        <v>0</v>
      </c>
      <c r="E681" s="24">
        <v>0</v>
      </c>
      <c r="F681" s="22" t="s">
        <v>105</v>
      </c>
      <c r="G681" s="22" t="s">
        <v>2313</v>
      </c>
      <c r="H681" s="22" t="s">
        <v>10</v>
      </c>
      <c r="I681" s="22" t="s">
        <v>5511</v>
      </c>
      <c r="J681" s="22" t="s">
        <v>54</v>
      </c>
      <c r="K681" s="22">
        <v>5.18123042000347e+18</v>
      </c>
      <c r="L681" s="22" t="s">
        <v>2316</v>
      </c>
      <c r="M681" s="25"/>
    </row>
    <row r="682" customHeight="1" spans="1:13">
      <c r="A682" s="21">
        <v>46082</v>
      </c>
      <c r="B682" s="22" t="s">
        <v>5481</v>
      </c>
      <c r="C682" s="23">
        <v>46107</v>
      </c>
      <c r="D682" s="27">
        <v>1227</v>
      </c>
      <c r="E682" s="22" t="s">
        <v>173</v>
      </c>
      <c r="F682" s="22" t="s">
        <v>7</v>
      </c>
      <c r="G682" s="22" t="s">
        <v>2317</v>
      </c>
      <c r="H682" s="22" t="s">
        <v>11</v>
      </c>
      <c r="I682" s="22" t="s">
        <v>5511</v>
      </c>
      <c r="J682" s="22" t="s">
        <v>48</v>
      </c>
      <c r="K682" s="22">
        <v>5.18123042000347e+18</v>
      </c>
      <c r="L682" s="22" t="s">
        <v>2316</v>
      </c>
      <c r="M682" s="25"/>
    </row>
    <row r="683" customHeight="1" spans="1:13">
      <c r="A683" s="21">
        <v>46082</v>
      </c>
      <c r="B683" s="22" t="s">
        <v>5481</v>
      </c>
      <c r="C683" s="23">
        <v>46109</v>
      </c>
      <c r="D683" s="24">
        <v>17.67</v>
      </c>
      <c r="E683" s="22" t="s">
        <v>149</v>
      </c>
      <c r="F683" s="22" t="s">
        <v>105</v>
      </c>
      <c r="G683" s="22" t="s">
        <v>2321</v>
      </c>
      <c r="H683" s="22" t="s">
        <v>10</v>
      </c>
      <c r="I683" s="22" t="s">
        <v>5511</v>
      </c>
      <c r="J683" s="22" t="s">
        <v>40</v>
      </c>
      <c r="K683" s="22">
        <v>5.18125060404249e+18</v>
      </c>
      <c r="L683" s="22" t="s">
        <v>2324</v>
      </c>
      <c r="M683" s="25"/>
    </row>
    <row r="684" customHeight="1" spans="1:13">
      <c r="A684" s="21">
        <v>46082</v>
      </c>
      <c r="B684" s="22" t="s">
        <v>5481</v>
      </c>
      <c r="C684" s="23">
        <v>46112</v>
      </c>
      <c r="D684" s="27">
        <v>65324.61</v>
      </c>
      <c r="E684" s="22" t="s">
        <v>149</v>
      </c>
      <c r="F684" s="22" t="s">
        <v>7</v>
      </c>
      <c r="G684" s="22" t="s">
        <v>2325</v>
      </c>
      <c r="H684" s="22" t="s">
        <v>12</v>
      </c>
      <c r="I684" s="22" t="s">
        <v>5511</v>
      </c>
      <c r="J684" s="22" t="s">
        <v>48</v>
      </c>
      <c r="K684" s="22">
        <v>5.18125070204435e+18</v>
      </c>
      <c r="L684" s="22" t="s">
        <v>1440</v>
      </c>
      <c r="M684" s="25"/>
    </row>
    <row r="685" customHeight="1" spans="1:13">
      <c r="A685" s="21">
        <v>46113</v>
      </c>
      <c r="B685" s="22" t="s">
        <v>5482</v>
      </c>
      <c r="C685" s="23">
        <v>46114</v>
      </c>
      <c r="D685" s="28">
        <v>42000</v>
      </c>
      <c r="E685" s="22" t="s">
        <v>173</v>
      </c>
      <c r="F685" s="22" t="s">
        <v>7</v>
      </c>
      <c r="G685" s="22" t="s">
        <v>2326</v>
      </c>
      <c r="H685" s="22" t="s">
        <v>11</v>
      </c>
      <c r="I685" s="22" t="s">
        <v>5511</v>
      </c>
      <c r="J685" s="22" t="s">
        <v>53</v>
      </c>
      <c r="K685" s="22">
        <v>5.18126022805674e+18</v>
      </c>
      <c r="L685" s="22" t="s">
        <v>2329</v>
      </c>
      <c r="M685" s="25"/>
    </row>
    <row r="686" customHeight="1" spans="1:13">
      <c r="A686" s="21">
        <v>46082</v>
      </c>
      <c r="B686" s="22" t="s">
        <v>5481</v>
      </c>
      <c r="C686" s="23">
        <v>46111</v>
      </c>
      <c r="D686" s="27">
        <v>50000</v>
      </c>
      <c r="E686" s="22" t="s">
        <v>173</v>
      </c>
      <c r="F686" s="22" t="s">
        <v>7</v>
      </c>
      <c r="G686" s="22" t="s">
        <v>5540</v>
      </c>
      <c r="H686" s="22" t="s">
        <v>12</v>
      </c>
      <c r="I686" s="22" t="s">
        <v>5511</v>
      </c>
      <c r="J686" s="22" t="s">
        <v>39</v>
      </c>
      <c r="K686" s="22">
        <v>5.18123060200019e+18</v>
      </c>
      <c r="L686" s="22" t="s">
        <v>1072</v>
      </c>
      <c r="M686" s="25"/>
    </row>
    <row r="687" customHeight="1" spans="1:13">
      <c r="A687" s="21">
        <v>46082</v>
      </c>
      <c r="B687" s="22" t="s">
        <v>5481</v>
      </c>
      <c r="C687" s="23">
        <v>46111</v>
      </c>
      <c r="D687" s="27">
        <v>99350</v>
      </c>
      <c r="E687" s="22" t="s">
        <v>173</v>
      </c>
      <c r="F687" s="22" t="s">
        <v>105</v>
      </c>
      <c r="G687" s="22" t="s">
        <v>2336</v>
      </c>
      <c r="H687" s="22" t="s">
        <v>12</v>
      </c>
      <c r="I687" s="22" t="s">
        <v>5511</v>
      </c>
      <c r="J687" s="22" t="s">
        <v>39</v>
      </c>
      <c r="K687" s="22">
        <v>5.18123060200019e+18</v>
      </c>
      <c r="L687" s="22" t="s">
        <v>1072</v>
      </c>
      <c r="M687" s="25"/>
    </row>
    <row r="688" customHeight="1" spans="1:13">
      <c r="A688" s="21">
        <v>46082</v>
      </c>
      <c r="B688" s="22" t="s">
        <v>5481</v>
      </c>
      <c r="C688" s="23">
        <v>46101</v>
      </c>
      <c r="D688" s="27">
        <v>210000</v>
      </c>
      <c r="E688" s="22" t="s">
        <v>173</v>
      </c>
      <c r="F688" s="22" t="s">
        <v>7</v>
      </c>
      <c r="G688" s="22" t="s">
        <v>5541</v>
      </c>
      <c r="H688" s="22" t="s">
        <v>11</v>
      </c>
      <c r="I688" s="22" t="s">
        <v>5511</v>
      </c>
      <c r="J688" s="22" t="s">
        <v>39</v>
      </c>
      <c r="K688" s="22">
        <v>5.18125122005397e+18</v>
      </c>
      <c r="L688" s="22" t="s">
        <v>2304</v>
      </c>
      <c r="M688" s="25"/>
    </row>
    <row r="689" customHeight="1" spans="1:13">
      <c r="A689" s="21">
        <v>46082</v>
      </c>
      <c r="B689" s="22" t="s">
        <v>5481</v>
      </c>
      <c r="C689" s="23">
        <v>46111</v>
      </c>
      <c r="D689" s="27">
        <v>16210.74</v>
      </c>
      <c r="E689" s="22" t="s">
        <v>149</v>
      </c>
      <c r="F689" s="22" t="s">
        <v>7</v>
      </c>
      <c r="G689" s="22" t="s">
        <v>2344</v>
      </c>
      <c r="H689" s="22" t="s">
        <v>12</v>
      </c>
      <c r="I689" s="22" t="s">
        <v>5511</v>
      </c>
      <c r="J689" s="22" t="s">
        <v>39</v>
      </c>
      <c r="K689" s="22">
        <v>5.18123060200019e+18</v>
      </c>
      <c r="L689" s="22" t="s">
        <v>1072</v>
      </c>
      <c r="M689" s="25"/>
    </row>
    <row r="690" customHeight="1" spans="1:13">
      <c r="A690" s="21">
        <v>46113</v>
      </c>
      <c r="B690" s="22" t="s">
        <v>5482</v>
      </c>
      <c r="C690" s="23">
        <v>46116</v>
      </c>
      <c r="D690" s="27">
        <v>120000</v>
      </c>
      <c r="E690" s="22" t="s">
        <v>1466</v>
      </c>
      <c r="F690" s="22" t="s">
        <v>7</v>
      </c>
      <c r="G690" s="22" t="s">
        <v>2345</v>
      </c>
      <c r="H690" s="22" t="s">
        <v>12</v>
      </c>
      <c r="I690" s="22" t="s">
        <v>5511</v>
      </c>
      <c r="J690" s="22" t="s">
        <v>44</v>
      </c>
      <c r="K690" s="22">
        <v>5.1812501200374e+18</v>
      </c>
      <c r="L690" s="22" t="s">
        <v>1610</v>
      </c>
      <c r="M690" s="25"/>
    </row>
    <row r="691" customHeight="1" spans="1:13">
      <c r="A691" s="21">
        <v>46113</v>
      </c>
      <c r="B691" s="22" t="s">
        <v>5482</v>
      </c>
      <c r="C691" s="23">
        <v>46115</v>
      </c>
      <c r="D691" s="24">
        <v>0.14</v>
      </c>
      <c r="E691" s="22" t="s">
        <v>149</v>
      </c>
      <c r="F691" s="22" t="s">
        <v>105</v>
      </c>
      <c r="G691" s="22" t="s">
        <v>2347</v>
      </c>
      <c r="H691" s="22" t="s">
        <v>10</v>
      </c>
      <c r="I691" s="22" t="s">
        <v>5511</v>
      </c>
      <c r="J691" s="22" t="s">
        <v>40</v>
      </c>
      <c r="K691" s="22">
        <v>5.18126033105923e+18</v>
      </c>
      <c r="L691" s="22" t="s">
        <v>2351</v>
      </c>
      <c r="M691" s="25"/>
    </row>
    <row r="692" customHeight="1" spans="1:13">
      <c r="A692" s="21">
        <v>46113</v>
      </c>
      <c r="B692" s="22" t="s">
        <v>5482</v>
      </c>
      <c r="C692" s="23">
        <v>46119</v>
      </c>
      <c r="D692" s="24">
        <v>812</v>
      </c>
      <c r="E692" s="22" t="s">
        <v>173</v>
      </c>
      <c r="F692" s="22" t="s">
        <v>105</v>
      </c>
      <c r="G692" s="22" t="s">
        <v>2353</v>
      </c>
      <c r="H692" s="22" t="s">
        <v>10</v>
      </c>
      <c r="I692" s="22" t="s">
        <v>5511</v>
      </c>
      <c r="J692" s="22" t="s">
        <v>54</v>
      </c>
      <c r="K692" s="22">
        <v>5.18125122505418e+18</v>
      </c>
      <c r="L692" s="22" t="s">
        <v>2277</v>
      </c>
      <c r="M692" s="25"/>
    </row>
    <row r="693" customHeight="1" spans="1:13">
      <c r="A693" s="21">
        <v>46113</v>
      </c>
      <c r="B693" s="22" t="s">
        <v>5482</v>
      </c>
      <c r="C693" s="23">
        <v>46120</v>
      </c>
      <c r="D693" s="27">
        <v>142533.14</v>
      </c>
      <c r="E693" s="22" t="s">
        <v>173</v>
      </c>
      <c r="F693" s="22" t="s">
        <v>7</v>
      </c>
      <c r="G693" s="22" t="s">
        <v>2356</v>
      </c>
      <c r="H693" s="22" t="s">
        <v>11</v>
      </c>
      <c r="I693" s="22" t="s">
        <v>5511</v>
      </c>
      <c r="J693" s="22" t="s">
        <v>53</v>
      </c>
      <c r="K693" s="22">
        <v>5.18126021105633e+18</v>
      </c>
      <c r="L693" s="22" t="s">
        <v>2359</v>
      </c>
      <c r="M693" s="25"/>
    </row>
    <row r="694" customHeight="1" spans="1:13">
      <c r="A694" s="21">
        <v>46113</v>
      </c>
      <c r="B694" s="22" t="s">
        <v>5482</v>
      </c>
      <c r="C694" s="23">
        <v>46120</v>
      </c>
      <c r="D694" s="27">
        <v>46761560</v>
      </c>
      <c r="E694" s="22" t="s">
        <v>1172</v>
      </c>
      <c r="F694" s="22" t="s">
        <v>7</v>
      </c>
      <c r="G694" s="22" t="s">
        <v>2360</v>
      </c>
      <c r="H694" s="22" t="s">
        <v>10</v>
      </c>
      <c r="I694" s="22" t="s">
        <v>5511</v>
      </c>
      <c r="J694" s="22" t="s">
        <v>44</v>
      </c>
      <c r="K694" s="22">
        <v>5.18126021105633e+18</v>
      </c>
      <c r="L694" s="22" t="s">
        <v>2359</v>
      </c>
      <c r="M694" s="25"/>
    </row>
    <row r="695" customHeight="1" spans="1:13">
      <c r="A695" s="21">
        <v>46113</v>
      </c>
      <c r="B695" s="22" t="s">
        <v>5482</v>
      </c>
      <c r="C695" s="23">
        <v>46126</v>
      </c>
      <c r="D695" s="24">
        <v>28</v>
      </c>
      <c r="E695" s="22" t="s">
        <v>139</v>
      </c>
      <c r="F695" s="22" t="s">
        <v>7</v>
      </c>
      <c r="G695" s="22" t="s">
        <v>2366</v>
      </c>
      <c r="H695" s="22" t="s">
        <v>10</v>
      </c>
      <c r="I695" s="22" t="s">
        <v>5511</v>
      </c>
      <c r="J695" s="22" t="s">
        <v>40</v>
      </c>
      <c r="K695" s="22">
        <v>5.18126031405785e+18</v>
      </c>
      <c r="L695" s="22" t="s">
        <v>2369</v>
      </c>
      <c r="M695" s="25"/>
    </row>
    <row r="696" customHeight="1" spans="1:13">
      <c r="A696" s="21">
        <v>46113</v>
      </c>
      <c r="B696" s="22" t="s">
        <v>5482</v>
      </c>
      <c r="C696" s="23">
        <v>46118</v>
      </c>
      <c r="D696" s="24">
        <v>15</v>
      </c>
      <c r="E696" s="22" t="s">
        <v>173</v>
      </c>
      <c r="F696" s="22" t="s">
        <v>105</v>
      </c>
      <c r="G696" s="22" t="s">
        <v>5542</v>
      </c>
      <c r="H696" s="22" t="s">
        <v>10</v>
      </c>
      <c r="I696" s="22" t="s">
        <v>5511</v>
      </c>
      <c r="J696" s="22" t="s">
        <v>53</v>
      </c>
      <c r="K696" s="22">
        <v>5.18126012605571e+18</v>
      </c>
      <c r="L696" s="22" t="s">
        <v>2373</v>
      </c>
      <c r="M696" s="25"/>
    </row>
    <row r="697" customHeight="1" spans="1:13">
      <c r="A697" s="21">
        <v>46113</v>
      </c>
      <c r="B697" s="22" t="s">
        <v>5482</v>
      </c>
      <c r="C697" s="23">
        <v>46127</v>
      </c>
      <c r="D697" s="24">
        <v>37</v>
      </c>
      <c r="E697" s="22" t="s">
        <v>173</v>
      </c>
      <c r="F697" s="22" t="s">
        <v>7</v>
      </c>
      <c r="G697" s="22" t="s">
        <v>5543</v>
      </c>
      <c r="H697" s="22" t="s">
        <v>10</v>
      </c>
      <c r="I697" s="22" t="s">
        <v>5511</v>
      </c>
      <c r="J697" s="22" t="s">
        <v>53</v>
      </c>
      <c r="K697" s="22">
        <v>5.18126012605571e+18</v>
      </c>
      <c r="L697" s="22" t="s">
        <v>2373</v>
      </c>
      <c r="M697" s="25"/>
    </row>
    <row r="698" customHeight="1" spans="1:13">
      <c r="A698" s="21">
        <v>46113</v>
      </c>
      <c r="B698" s="22" t="s">
        <v>5482</v>
      </c>
      <c r="C698" s="23">
        <v>46127</v>
      </c>
      <c r="D698" s="24">
        <v>37.8</v>
      </c>
      <c r="E698" s="22" t="s">
        <v>173</v>
      </c>
      <c r="F698" s="22" t="s">
        <v>7</v>
      </c>
      <c r="G698" s="22" t="s">
        <v>5544</v>
      </c>
      <c r="H698" s="22" t="s">
        <v>10</v>
      </c>
      <c r="I698" s="22" t="s">
        <v>5511</v>
      </c>
      <c r="J698" s="22" t="s">
        <v>53</v>
      </c>
      <c r="K698" s="22">
        <v>5.18126012605571e+18</v>
      </c>
      <c r="L698" s="22" t="s">
        <v>2373</v>
      </c>
      <c r="M698" s="25"/>
    </row>
    <row r="699" customHeight="1" spans="1:13">
      <c r="A699" s="21">
        <v>46113</v>
      </c>
      <c r="B699" s="22" t="s">
        <v>5482</v>
      </c>
      <c r="C699" s="23">
        <v>46127</v>
      </c>
      <c r="D699" s="27">
        <v>1000</v>
      </c>
      <c r="E699" s="22" t="s">
        <v>173</v>
      </c>
      <c r="F699" s="22" t="s">
        <v>7</v>
      </c>
      <c r="G699" s="22" t="s">
        <v>2377</v>
      </c>
      <c r="H699" s="22" t="s">
        <v>10</v>
      </c>
      <c r="I699" s="22" t="s">
        <v>5511</v>
      </c>
      <c r="J699" s="22" t="s">
        <v>48</v>
      </c>
      <c r="K699" s="22">
        <v>5.18126012605571e+18</v>
      </c>
      <c r="L699" s="22" t="s">
        <v>2373</v>
      </c>
      <c r="M699" s="25"/>
    </row>
    <row r="700" customHeight="1" spans="1:13">
      <c r="A700" s="21">
        <v>46113</v>
      </c>
      <c r="B700" s="22" t="s">
        <v>5482</v>
      </c>
      <c r="C700" s="23">
        <v>46126</v>
      </c>
      <c r="D700" s="27">
        <v>50000</v>
      </c>
      <c r="E700" s="22" t="s">
        <v>1128</v>
      </c>
      <c r="F700" s="22" t="s">
        <v>105</v>
      </c>
      <c r="G700" s="22" t="s">
        <v>2381</v>
      </c>
      <c r="H700" s="22" t="s">
        <v>12</v>
      </c>
      <c r="I700" s="22" t="s">
        <v>5511</v>
      </c>
      <c r="J700" s="22" t="s">
        <v>39</v>
      </c>
      <c r="K700" s="22">
        <v>5.18126031405785e+18</v>
      </c>
      <c r="L700" s="22" t="s">
        <v>2369</v>
      </c>
      <c r="M700" s="25"/>
    </row>
    <row r="701" customHeight="1" spans="1:13">
      <c r="A701" s="21">
        <v>46113</v>
      </c>
      <c r="B701" s="22" t="s">
        <v>5482</v>
      </c>
      <c r="C701" s="23">
        <v>46126</v>
      </c>
      <c r="D701" s="24">
        <v>500</v>
      </c>
      <c r="E701" s="22" t="s">
        <v>173</v>
      </c>
      <c r="F701" s="22" t="s">
        <v>105</v>
      </c>
      <c r="G701" s="22" t="s">
        <v>2385</v>
      </c>
      <c r="H701" s="22" t="s">
        <v>12</v>
      </c>
      <c r="I701" s="22" t="s">
        <v>5511</v>
      </c>
      <c r="J701" s="22" t="s">
        <v>48</v>
      </c>
      <c r="K701" s="22">
        <v>5.18126031405785e+18</v>
      </c>
      <c r="L701" s="22" t="s">
        <v>2369</v>
      </c>
      <c r="M701" s="25"/>
    </row>
    <row r="702" customHeight="1" spans="1:13">
      <c r="A702" s="21">
        <v>46113</v>
      </c>
      <c r="B702" s="22" t="s">
        <v>5483</v>
      </c>
      <c r="C702" s="23">
        <v>46129</v>
      </c>
      <c r="D702" s="28">
        <v>100000</v>
      </c>
      <c r="E702" s="22" t="s">
        <v>173</v>
      </c>
      <c r="F702" s="22" t="s">
        <v>7</v>
      </c>
      <c r="G702" s="22" t="s">
        <v>2389</v>
      </c>
      <c r="H702" s="22" t="s">
        <v>12</v>
      </c>
      <c r="I702" s="22" t="s">
        <v>5511</v>
      </c>
      <c r="J702" s="22" t="s">
        <v>48</v>
      </c>
      <c r="K702" s="22">
        <v>2.6041618040994e+18</v>
      </c>
      <c r="L702" s="22" t="s">
        <v>2391</v>
      </c>
      <c r="M702" s="25"/>
    </row>
    <row r="703" customHeight="1" spans="1:13">
      <c r="A703" s="21">
        <v>46113</v>
      </c>
      <c r="B703" s="22" t="s">
        <v>5483</v>
      </c>
      <c r="C703" s="23">
        <v>46132</v>
      </c>
      <c r="D703" s="27">
        <v>1031</v>
      </c>
      <c r="E703" s="22" t="s">
        <v>173</v>
      </c>
      <c r="F703" s="22" t="s">
        <v>7</v>
      </c>
      <c r="G703" s="22" t="s">
        <v>2393</v>
      </c>
      <c r="H703" s="22" t="s">
        <v>11</v>
      </c>
      <c r="I703" s="22" t="s">
        <v>5511</v>
      </c>
      <c r="J703" s="22" t="s">
        <v>39</v>
      </c>
      <c r="K703" s="22">
        <v>5.1812402290022e+18</v>
      </c>
      <c r="L703" s="22" t="s">
        <v>2319</v>
      </c>
      <c r="M703" s="25"/>
    </row>
    <row r="704" customHeight="1" spans="1:13">
      <c r="A704" s="21">
        <v>46113</v>
      </c>
      <c r="B704" s="22" t="s">
        <v>5483</v>
      </c>
      <c r="C704" s="23">
        <v>46132</v>
      </c>
      <c r="D704" s="27">
        <v>50000</v>
      </c>
      <c r="E704" s="22" t="s">
        <v>173</v>
      </c>
      <c r="F704" s="22" t="s">
        <v>7</v>
      </c>
      <c r="G704" s="22" t="s">
        <v>2396</v>
      </c>
      <c r="H704" s="22" t="s">
        <v>12</v>
      </c>
      <c r="I704" s="22" t="s">
        <v>5511</v>
      </c>
      <c r="J704" s="22" t="s">
        <v>44</v>
      </c>
      <c r="K704" s="22">
        <v>5.1812402290022e+18</v>
      </c>
      <c r="L704" s="22" t="s">
        <v>2319</v>
      </c>
      <c r="M704" s="25"/>
    </row>
    <row r="705" customHeight="1" spans="1:13">
      <c r="A705" s="21">
        <v>46113</v>
      </c>
      <c r="B705" s="22" t="s">
        <v>5483</v>
      </c>
      <c r="C705" s="23">
        <v>46136</v>
      </c>
      <c r="D705" s="27">
        <v>130000</v>
      </c>
      <c r="E705" s="22" t="s">
        <v>1466</v>
      </c>
      <c r="F705" s="22" t="s">
        <v>7</v>
      </c>
      <c r="G705" s="22" t="s">
        <v>2401</v>
      </c>
      <c r="H705" s="22" t="s">
        <v>12</v>
      </c>
      <c r="I705" s="22" t="s">
        <v>5511</v>
      </c>
      <c r="J705" s="22" t="s">
        <v>44</v>
      </c>
      <c r="K705" s="22">
        <v>5.1812404240032e+18</v>
      </c>
      <c r="L705" s="22" t="s">
        <v>2403</v>
      </c>
      <c r="M705" s="25"/>
    </row>
    <row r="706" customHeight="1" spans="1:13">
      <c r="A706" s="21">
        <v>46113</v>
      </c>
      <c r="B706" s="22" t="s">
        <v>5483</v>
      </c>
      <c r="C706" s="23">
        <v>46136</v>
      </c>
      <c r="D706" s="27">
        <v>140000</v>
      </c>
      <c r="E706" s="22" t="s">
        <v>1466</v>
      </c>
      <c r="F706" s="22" t="s">
        <v>7</v>
      </c>
      <c r="G706" s="22" t="s">
        <v>2401</v>
      </c>
      <c r="H706" s="22" t="s">
        <v>12</v>
      </c>
      <c r="I706" s="22" t="s">
        <v>5511</v>
      </c>
      <c r="J706" s="22" t="s">
        <v>44</v>
      </c>
      <c r="K706" s="22">
        <v>5.1812404240032e+18</v>
      </c>
      <c r="L706" s="22" t="s">
        <v>2403</v>
      </c>
      <c r="M706" s="25"/>
    </row>
    <row r="707" customHeight="1" spans="1:13">
      <c r="A707" s="21">
        <v>46113</v>
      </c>
      <c r="B707" s="22" t="s">
        <v>5483</v>
      </c>
      <c r="C707" s="23">
        <v>46136</v>
      </c>
      <c r="D707" s="27">
        <v>160000</v>
      </c>
      <c r="E707" s="22" t="s">
        <v>1466</v>
      </c>
      <c r="F707" s="22" t="s">
        <v>7</v>
      </c>
      <c r="G707" s="22" t="s">
        <v>2401</v>
      </c>
      <c r="H707" s="22" t="s">
        <v>12</v>
      </c>
      <c r="I707" s="22" t="s">
        <v>5511</v>
      </c>
      <c r="J707" s="22" t="s">
        <v>44</v>
      </c>
      <c r="K707" s="22">
        <v>5.1812404240032e+18</v>
      </c>
      <c r="L707" s="22" t="s">
        <v>2403</v>
      </c>
      <c r="M707" s="25"/>
    </row>
    <row r="708" customHeight="1" spans="1:13">
      <c r="A708" s="21">
        <v>46113</v>
      </c>
      <c r="B708" s="22" t="s">
        <v>5483</v>
      </c>
      <c r="C708" s="23">
        <v>46136</v>
      </c>
      <c r="D708" s="27">
        <v>170000</v>
      </c>
      <c r="E708" s="22" t="s">
        <v>1466</v>
      </c>
      <c r="F708" s="22" t="s">
        <v>7</v>
      </c>
      <c r="G708" s="22" t="s">
        <v>2401</v>
      </c>
      <c r="H708" s="22" t="s">
        <v>12</v>
      </c>
      <c r="I708" s="22" t="s">
        <v>5511</v>
      </c>
      <c r="J708" s="22" t="s">
        <v>44</v>
      </c>
      <c r="K708" s="22">
        <v>5.1812404240032e+18</v>
      </c>
      <c r="L708" s="22" t="s">
        <v>2403</v>
      </c>
      <c r="M708" s="25"/>
    </row>
    <row r="709" customHeight="1" spans="1:13">
      <c r="A709" s="21">
        <v>46113</v>
      </c>
      <c r="B709" s="22" t="s">
        <v>5483</v>
      </c>
      <c r="C709" s="23">
        <v>46136</v>
      </c>
      <c r="D709" s="27">
        <v>180000</v>
      </c>
      <c r="E709" s="22" t="s">
        <v>1466</v>
      </c>
      <c r="F709" s="22" t="s">
        <v>7</v>
      </c>
      <c r="G709" s="22" t="s">
        <v>2401</v>
      </c>
      <c r="H709" s="22" t="s">
        <v>12</v>
      </c>
      <c r="I709" s="22" t="s">
        <v>5511</v>
      </c>
      <c r="J709" s="22" t="s">
        <v>44</v>
      </c>
      <c r="K709" s="22">
        <v>5.1812404240032e+18</v>
      </c>
      <c r="L709" s="22" t="s">
        <v>2403</v>
      </c>
      <c r="M709" s="25"/>
    </row>
    <row r="710" customHeight="1" spans="1:13">
      <c r="A710" s="21">
        <v>46113</v>
      </c>
      <c r="B710" s="22" t="s">
        <v>5483</v>
      </c>
      <c r="C710" s="23">
        <v>46134</v>
      </c>
      <c r="D710" s="27">
        <v>160000</v>
      </c>
      <c r="E710" s="22" t="s">
        <v>1466</v>
      </c>
      <c r="F710" s="22" t="s">
        <v>7</v>
      </c>
      <c r="G710" s="22" t="s">
        <v>2405</v>
      </c>
      <c r="H710" s="22" t="s">
        <v>12</v>
      </c>
      <c r="I710" s="22" t="s">
        <v>5511</v>
      </c>
      <c r="J710" s="22" t="s">
        <v>44</v>
      </c>
      <c r="K710" s="22">
        <v>5.18125112505221e+18</v>
      </c>
      <c r="L710" s="22" t="s">
        <v>2407</v>
      </c>
      <c r="M710" s="25"/>
    </row>
    <row r="711" customHeight="1" spans="1:13">
      <c r="A711" s="21">
        <v>46113</v>
      </c>
      <c r="B711" s="22" t="s">
        <v>5483</v>
      </c>
      <c r="C711" s="23">
        <v>46134</v>
      </c>
      <c r="D711" s="27">
        <v>145000</v>
      </c>
      <c r="E711" s="22" t="s">
        <v>1466</v>
      </c>
      <c r="F711" s="22" t="s">
        <v>7</v>
      </c>
      <c r="G711" s="22" t="s">
        <v>2409</v>
      </c>
      <c r="H711" s="22" t="s">
        <v>12</v>
      </c>
      <c r="I711" s="22" t="s">
        <v>5511</v>
      </c>
      <c r="J711" s="22" t="s">
        <v>44</v>
      </c>
      <c r="K711" s="22">
        <v>5.18125112505221e+18</v>
      </c>
      <c r="L711" s="22" t="s">
        <v>2407</v>
      </c>
      <c r="M711" s="25"/>
    </row>
    <row r="712" customHeight="1" spans="1:13">
      <c r="A712" s="21">
        <v>46113</v>
      </c>
      <c r="B712" s="22" t="s">
        <v>5483</v>
      </c>
      <c r="C712" s="23">
        <v>46134</v>
      </c>
      <c r="D712" s="27">
        <v>180000</v>
      </c>
      <c r="E712" s="22" t="s">
        <v>1466</v>
      </c>
      <c r="F712" s="22" t="s">
        <v>7</v>
      </c>
      <c r="G712" s="22" t="s">
        <v>2411</v>
      </c>
      <c r="H712" s="22" t="s">
        <v>12</v>
      </c>
      <c r="I712" s="22" t="s">
        <v>5511</v>
      </c>
      <c r="J712" s="22" t="s">
        <v>44</v>
      </c>
      <c r="K712" s="22">
        <v>5.18125112505221e+18</v>
      </c>
      <c r="L712" s="22" t="s">
        <v>2407</v>
      </c>
      <c r="M712" s="25"/>
    </row>
    <row r="713" customHeight="1" spans="1:13">
      <c r="A713" s="21">
        <v>46113</v>
      </c>
      <c r="B713" s="22" t="s">
        <v>5483</v>
      </c>
      <c r="C713" s="23">
        <v>46134</v>
      </c>
      <c r="D713" s="27">
        <v>170000</v>
      </c>
      <c r="E713" s="22" t="s">
        <v>1466</v>
      </c>
      <c r="F713" s="22" t="s">
        <v>7</v>
      </c>
      <c r="G713" s="22" t="s">
        <v>2413</v>
      </c>
      <c r="H713" s="22" t="s">
        <v>12</v>
      </c>
      <c r="I713" s="22" t="s">
        <v>5511</v>
      </c>
      <c r="J713" s="22" t="s">
        <v>44</v>
      </c>
      <c r="K713" s="22">
        <v>5.18125112505221e+18</v>
      </c>
      <c r="L713" s="22" t="s">
        <v>2407</v>
      </c>
      <c r="M713" s="25"/>
    </row>
    <row r="714" customHeight="1" spans="1:13">
      <c r="A714" s="21">
        <v>46113</v>
      </c>
      <c r="B714" s="22" t="s">
        <v>5483</v>
      </c>
      <c r="C714" s="23">
        <v>46134</v>
      </c>
      <c r="D714" s="27">
        <v>155000</v>
      </c>
      <c r="E714" s="22" t="s">
        <v>1466</v>
      </c>
      <c r="F714" s="22" t="s">
        <v>7</v>
      </c>
      <c r="G714" s="22" t="s">
        <v>2415</v>
      </c>
      <c r="H714" s="22" t="s">
        <v>12</v>
      </c>
      <c r="I714" s="22" t="s">
        <v>5511</v>
      </c>
      <c r="J714" s="22" t="s">
        <v>44</v>
      </c>
      <c r="K714" s="22">
        <v>5.18125112505221e+18</v>
      </c>
      <c r="L714" s="22" t="s">
        <v>2407</v>
      </c>
      <c r="M714" s="25"/>
    </row>
    <row r="715" customHeight="1" spans="1:13">
      <c r="A715" s="21">
        <v>46113</v>
      </c>
      <c r="B715" s="22" t="s">
        <v>5483</v>
      </c>
      <c r="C715" s="23">
        <v>46136</v>
      </c>
      <c r="D715" s="27">
        <v>190000</v>
      </c>
      <c r="E715" s="22" t="s">
        <v>1466</v>
      </c>
      <c r="F715" s="22" t="s">
        <v>7</v>
      </c>
      <c r="G715" s="22" t="s">
        <v>2417</v>
      </c>
      <c r="H715" s="22" t="s">
        <v>12</v>
      </c>
      <c r="I715" s="22" t="s">
        <v>5511</v>
      </c>
      <c r="J715" s="22" t="s">
        <v>44</v>
      </c>
      <c r="K715" s="22">
        <v>5.1812404240032e+18</v>
      </c>
      <c r="L715" s="22" t="s">
        <v>2403</v>
      </c>
      <c r="M715" s="25"/>
    </row>
    <row r="716" customHeight="1" spans="1:13">
      <c r="A716" s="21">
        <v>46113</v>
      </c>
      <c r="B716" s="22" t="s">
        <v>5483</v>
      </c>
      <c r="C716" s="23">
        <v>46136</v>
      </c>
      <c r="D716" s="27">
        <v>180000</v>
      </c>
      <c r="E716" s="22" t="s">
        <v>1466</v>
      </c>
      <c r="F716" s="22" t="s">
        <v>7</v>
      </c>
      <c r="G716" s="22" t="s">
        <v>2419</v>
      </c>
      <c r="H716" s="22" t="s">
        <v>12</v>
      </c>
      <c r="I716" s="22" t="s">
        <v>5511</v>
      </c>
      <c r="J716" s="22" t="s">
        <v>44</v>
      </c>
      <c r="K716" s="22">
        <v>5.1812404240032e+18</v>
      </c>
      <c r="L716" s="22" t="s">
        <v>2403</v>
      </c>
      <c r="M716" s="25"/>
    </row>
    <row r="717" customHeight="1" spans="1:13">
      <c r="A717" s="21">
        <v>46113</v>
      </c>
      <c r="B717" s="22" t="s">
        <v>5483</v>
      </c>
      <c r="C717" s="23">
        <v>46136</v>
      </c>
      <c r="D717" s="27">
        <v>170000</v>
      </c>
      <c r="E717" s="22" t="s">
        <v>1466</v>
      </c>
      <c r="F717" s="22" t="s">
        <v>7</v>
      </c>
      <c r="G717" s="22" t="s">
        <v>2421</v>
      </c>
      <c r="H717" s="22" t="s">
        <v>12</v>
      </c>
      <c r="I717" s="22" t="s">
        <v>5511</v>
      </c>
      <c r="J717" s="22" t="s">
        <v>44</v>
      </c>
      <c r="K717" s="22">
        <v>5.1812404240032e+18</v>
      </c>
      <c r="L717" s="22" t="s">
        <v>2403</v>
      </c>
      <c r="M717" s="25"/>
    </row>
    <row r="718" customHeight="1" spans="1:13">
      <c r="A718" s="21">
        <v>46113</v>
      </c>
      <c r="B718" s="22" t="s">
        <v>5483</v>
      </c>
      <c r="C718" s="23">
        <v>46139</v>
      </c>
      <c r="D718" s="28">
        <v>66896</v>
      </c>
      <c r="E718" s="22" t="s">
        <v>173</v>
      </c>
      <c r="F718" s="22" t="s">
        <v>7</v>
      </c>
      <c r="G718" s="22" t="s">
        <v>2423</v>
      </c>
      <c r="H718" s="22" t="s">
        <v>11</v>
      </c>
      <c r="I718" s="22" t="s">
        <v>5511</v>
      </c>
      <c r="J718" s="22" t="s">
        <v>48</v>
      </c>
      <c r="K718" s="22">
        <v>5.18126041006015e+18</v>
      </c>
      <c r="L718" s="22" t="s">
        <v>2425</v>
      </c>
      <c r="M718" s="25"/>
    </row>
    <row r="719" customHeight="1" spans="1:13">
      <c r="A719" s="21">
        <v>46113</v>
      </c>
      <c r="B719" s="22" t="s">
        <v>5483</v>
      </c>
      <c r="C719" s="23">
        <v>46139</v>
      </c>
      <c r="D719" s="28">
        <v>37380</v>
      </c>
      <c r="E719" s="22" t="s">
        <v>173</v>
      </c>
      <c r="F719" s="22" t="s">
        <v>7</v>
      </c>
      <c r="G719" s="22" t="s">
        <v>2428</v>
      </c>
      <c r="H719" s="22" t="s">
        <v>11</v>
      </c>
      <c r="I719" s="22" t="s">
        <v>5511</v>
      </c>
      <c r="J719" s="22" t="s">
        <v>48</v>
      </c>
      <c r="K719" s="22">
        <v>5.18126041006015e+18</v>
      </c>
      <c r="L719" s="22" t="s">
        <v>2425</v>
      </c>
      <c r="M719" s="25"/>
    </row>
    <row r="720" customHeight="1" spans="1:13">
      <c r="A720" s="21">
        <v>46113</v>
      </c>
      <c r="B720" s="22" t="s">
        <v>5483</v>
      </c>
      <c r="C720" s="23">
        <v>46140</v>
      </c>
      <c r="D720" s="28">
        <v>10441</v>
      </c>
      <c r="E720" s="22" t="s">
        <v>173</v>
      </c>
      <c r="F720" s="22" t="s">
        <v>7</v>
      </c>
      <c r="G720" s="22" t="s">
        <v>5545</v>
      </c>
      <c r="H720" s="22" t="s">
        <v>10</v>
      </c>
      <c r="I720" s="22" t="s">
        <v>5511</v>
      </c>
      <c r="J720" s="22" t="s">
        <v>54</v>
      </c>
      <c r="K720" s="22">
        <v>5.18126020705621e+18</v>
      </c>
      <c r="L720" s="22" t="s">
        <v>2435</v>
      </c>
      <c r="M720" s="25"/>
    </row>
    <row r="721" customHeight="1" spans="1:13">
      <c r="A721" s="21">
        <v>46113</v>
      </c>
      <c r="B721" s="22" t="s">
        <v>5483</v>
      </c>
      <c r="C721" s="23">
        <v>46140</v>
      </c>
      <c r="D721" s="27">
        <v>2500</v>
      </c>
      <c r="E721" s="22" t="s">
        <v>173</v>
      </c>
      <c r="F721" s="22" t="s">
        <v>105</v>
      </c>
      <c r="G721" s="22" t="s">
        <v>2441</v>
      </c>
      <c r="H721" s="22" t="s">
        <v>11</v>
      </c>
      <c r="I721" s="22" t="s">
        <v>5511</v>
      </c>
      <c r="J721" s="22" t="s">
        <v>39</v>
      </c>
      <c r="K721" s="22">
        <v>5.18126020705621e+18</v>
      </c>
      <c r="L721" s="22" t="s">
        <v>2435</v>
      </c>
      <c r="M721" s="25"/>
    </row>
    <row r="722" customHeight="1" spans="1:13">
      <c r="A722" s="21">
        <v>46113</v>
      </c>
      <c r="B722" s="22" t="s">
        <v>5483</v>
      </c>
      <c r="C722" s="23">
        <v>46140</v>
      </c>
      <c r="D722" s="27">
        <v>180000</v>
      </c>
      <c r="E722" s="22" t="s">
        <v>1466</v>
      </c>
      <c r="F722" s="22" t="s">
        <v>7</v>
      </c>
      <c r="G722" s="22" t="s">
        <v>2445</v>
      </c>
      <c r="H722" s="22" t="s">
        <v>12</v>
      </c>
      <c r="I722" s="22" t="s">
        <v>5511</v>
      </c>
      <c r="J722" s="22" t="s">
        <v>44</v>
      </c>
      <c r="K722" s="22">
        <v>5.18126020705621e+18</v>
      </c>
      <c r="L722" s="22" t="s">
        <v>2435</v>
      </c>
      <c r="M722" s="25"/>
    </row>
    <row r="723" customHeight="1" spans="1:13">
      <c r="A723" s="21">
        <v>46113</v>
      </c>
      <c r="B723" s="22" t="s">
        <v>5483</v>
      </c>
      <c r="C723" s="23">
        <v>46140</v>
      </c>
      <c r="D723" s="27">
        <v>160000</v>
      </c>
      <c r="E723" s="22" t="s">
        <v>1466</v>
      </c>
      <c r="F723" s="22" t="s">
        <v>7</v>
      </c>
      <c r="G723" s="22" t="s">
        <v>2449</v>
      </c>
      <c r="H723" s="22" t="s">
        <v>12</v>
      </c>
      <c r="I723" s="22" t="s">
        <v>5511</v>
      </c>
      <c r="J723" s="22" t="s">
        <v>44</v>
      </c>
      <c r="K723" s="22">
        <v>5.18126020705621e+18</v>
      </c>
      <c r="L723" s="22" t="s">
        <v>2435</v>
      </c>
      <c r="M723" s="25"/>
    </row>
    <row r="724" customHeight="1" spans="1:13">
      <c r="A724" s="21">
        <v>46113</v>
      </c>
      <c r="B724" s="22" t="s">
        <v>5483</v>
      </c>
      <c r="C724" s="23">
        <v>46141</v>
      </c>
      <c r="D724" s="27">
        <v>68500000</v>
      </c>
      <c r="E724" s="22" t="s">
        <v>1172</v>
      </c>
      <c r="F724" s="22" t="s">
        <v>7</v>
      </c>
      <c r="G724" s="22" t="s">
        <v>2450</v>
      </c>
      <c r="H724" s="22" t="s">
        <v>10</v>
      </c>
      <c r="I724" s="22" t="s">
        <v>5511</v>
      </c>
      <c r="J724" s="22" t="s">
        <v>44</v>
      </c>
      <c r="K724" s="22">
        <v>5.18125042904106e+18</v>
      </c>
      <c r="L724" s="22" t="s">
        <v>2453</v>
      </c>
      <c r="M724" s="25"/>
    </row>
    <row r="725" customHeight="1" spans="1:13">
      <c r="A725" s="21">
        <v>46113</v>
      </c>
      <c r="B725" s="22" t="s">
        <v>5483</v>
      </c>
      <c r="C725" s="23">
        <v>46140</v>
      </c>
      <c r="D725" s="27">
        <v>6160</v>
      </c>
      <c r="E725" s="22" t="s">
        <v>173</v>
      </c>
      <c r="F725" s="22" t="s">
        <v>7</v>
      </c>
      <c r="G725" s="22" t="s">
        <v>2455</v>
      </c>
      <c r="H725" s="22" t="s">
        <v>10</v>
      </c>
      <c r="I725" s="22" t="s">
        <v>5511</v>
      </c>
      <c r="J725" s="22" t="s">
        <v>54</v>
      </c>
      <c r="K725" s="22">
        <v>5.18126020705621e+18</v>
      </c>
      <c r="L725" s="22" t="s">
        <v>2435</v>
      </c>
      <c r="M725" s="25"/>
    </row>
    <row r="726" customHeight="1" spans="1:13">
      <c r="A726" s="21">
        <v>46113</v>
      </c>
      <c r="B726" s="22" t="s">
        <v>5483</v>
      </c>
      <c r="C726" s="23">
        <v>46141</v>
      </c>
      <c r="D726" s="27">
        <v>6432.92</v>
      </c>
      <c r="E726" s="22" t="s">
        <v>173</v>
      </c>
      <c r="F726" s="22" t="s">
        <v>7</v>
      </c>
      <c r="G726" s="22" t="s">
        <v>2457</v>
      </c>
      <c r="H726" s="22" t="s">
        <v>10</v>
      </c>
      <c r="I726" s="22" t="s">
        <v>5511</v>
      </c>
      <c r="J726" s="22" t="s">
        <v>54</v>
      </c>
      <c r="K726" s="22">
        <v>5.18125042904106e+18</v>
      </c>
      <c r="L726" s="22" t="s">
        <v>2453</v>
      </c>
      <c r="M726" s="25"/>
    </row>
    <row r="727" customHeight="1" spans="1:13">
      <c r="A727" s="21">
        <v>46113</v>
      </c>
      <c r="B727" s="22" t="s">
        <v>5483</v>
      </c>
      <c r="C727" s="23">
        <v>46141</v>
      </c>
      <c r="D727" s="27">
        <v>1914.32</v>
      </c>
      <c r="E727" s="22" t="s">
        <v>1567</v>
      </c>
      <c r="F727" s="22" t="s">
        <v>105</v>
      </c>
      <c r="G727" s="22" t="s">
        <v>2460</v>
      </c>
      <c r="H727" s="22" t="s">
        <v>10</v>
      </c>
      <c r="I727" s="22" t="s">
        <v>5511</v>
      </c>
      <c r="J727" s="22" t="s">
        <v>39</v>
      </c>
      <c r="K727" s="22">
        <v>5.18125042904106e+18</v>
      </c>
      <c r="L727" s="22" t="s">
        <v>2453</v>
      </c>
      <c r="M727" s="25"/>
    </row>
    <row r="728" customHeight="1" spans="1:13">
      <c r="A728" s="21">
        <v>46113</v>
      </c>
      <c r="B728" s="22" t="s">
        <v>5483</v>
      </c>
      <c r="C728" s="23">
        <v>46142</v>
      </c>
      <c r="D728" s="27">
        <v>34891</v>
      </c>
      <c r="E728" s="22" t="s">
        <v>173</v>
      </c>
      <c r="F728" s="22" t="s">
        <v>7</v>
      </c>
      <c r="G728" s="22" t="s">
        <v>2464</v>
      </c>
      <c r="H728" s="22" t="s">
        <v>11</v>
      </c>
      <c r="I728" s="22" t="s">
        <v>5511</v>
      </c>
      <c r="J728" s="22" t="s">
        <v>44</v>
      </c>
      <c r="K728" s="22">
        <v>5.18126033005914e+18</v>
      </c>
      <c r="L728" s="22" t="s">
        <v>2467</v>
      </c>
      <c r="M728" s="25"/>
    </row>
    <row r="729" customHeight="1" spans="1:13">
      <c r="A729" s="21">
        <v>46143</v>
      </c>
      <c r="B729" s="22" t="s">
        <v>5484</v>
      </c>
      <c r="C729" s="23">
        <v>46143</v>
      </c>
      <c r="D729" s="24">
        <v>130.44</v>
      </c>
      <c r="E729" s="22" t="s">
        <v>173</v>
      </c>
      <c r="F729" s="22" t="s">
        <v>105</v>
      </c>
      <c r="G729" s="22" t="s">
        <v>5546</v>
      </c>
      <c r="H729" s="22" t="s">
        <v>10</v>
      </c>
      <c r="I729" s="22" t="s">
        <v>5511</v>
      </c>
      <c r="J729" s="22" t="s">
        <v>53</v>
      </c>
      <c r="K729" s="22">
        <v>5.18126042706188e+18</v>
      </c>
      <c r="L729" s="22" t="s">
        <v>2373</v>
      </c>
      <c r="M729" s="25"/>
    </row>
    <row r="730" customHeight="1" spans="1:13">
      <c r="A730" s="21">
        <v>46143</v>
      </c>
      <c r="B730" s="22" t="s">
        <v>5484</v>
      </c>
      <c r="C730" s="23">
        <v>46144</v>
      </c>
      <c r="D730" s="24">
        <v>801</v>
      </c>
      <c r="E730" s="22" t="s">
        <v>173</v>
      </c>
      <c r="F730" s="22" t="s">
        <v>7</v>
      </c>
      <c r="G730" s="22" t="s">
        <v>2473</v>
      </c>
      <c r="H730" s="22" t="s">
        <v>10</v>
      </c>
      <c r="I730" s="22" t="s">
        <v>5511</v>
      </c>
      <c r="J730" s="22" t="s">
        <v>54</v>
      </c>
      <c r="K730" s="22">
        <v>5.18123042000347e+18</v>
      </c>
      <c r="L730" s="22" t="s">
        <v>2316</v>
      </c>
      <c r="M730" s="25"/>
    </row>
    <row r="731" customHeight="1" spans="1:13">
      <c r="A731" s="21">
        <v>46143</v>
      </c>
      <c r="B731" s="22" t="s">
        <v>5484</v>
      </c>
      <c r="C731" s="23">
        <v>46146</v>
      </c>
      <c r="D731" s="27">
        <v>4512.16</v>
      </c>
      <c r="E731" s="22" t="s">
        <v>173</v>
      </c>
      <c r="F731" s="22" t="s">
        <v>7</v>
      </c>
      <c r="G731" s="22" t="s">
        <v>5547</v>
      </c>
      <c r="H731" s="22" t="s">
        <v>10</v>
      </c>
      <c r="I731" s="22" t="s">
        <v>5511</v>
      </c>
      <c r="J731" s="22" t="s">
        <v>54</v>
      </c>
      <c r="K731" s="22">
        <v>5.18126031005752e+18</v>
      </c>
      <c r="L731" s="22" t="s">
        <v>2478</v>
      </c>
      <c r="M731" s="25"/>
    </row>
    <row r="732" customHeight="1" spans="1:13">
      <c r="A732" s="21">
        <v>46143</v>
      </c>
      <c r="B732" s="22" t="s">
        <v>5484</v>
      </c>
      <c r="C732" s="23">
        <v>46147</v>
      </c>
      <c r="D732" s="28">
        <v>1494</v>
      </c>
      <c r="E732" s="22" t="s">
        <v>173</v>
      </c>
      <c r="F732" s="22" t="s">
        <v>7</v>
      </c>
      <c r="G732" s="22" t="s">
        <v>2479</v>
      </c>
      <c r="H732" s="22" t="s">
        <v>10</v>
      </c>
      <c r="I732" s="22" t="s">
        <v>5511</v>
      </c>
      <c r="J732" s="22" t="s">
        <v>54</v>
      </c>
      <c r="K732" s="22">
        <v>5.18123042000347e+18</v>
      </c>
      <c r="L732" s="22" t="s">
        <v>2316</v>
      </c>
      <c r="M732" s="25"/>
    </row>
    <row r="733" customHeight="1" spans="1:13">
      <c r="A733" s="21">
        <v>46143</v>
      </c>
      <c r="B733" s="22" t="s">
        <v>5484</v>
      </c>
      <c r="C733" s="23">
        <v>46147</v>
      </c>
      <c r="D733" s="24">
        <v>498</v>
      </c>
      <c r="E733" s="22" t="s">
        <v>173</v>
      </c>
      <c r="F733" s="22" t="s">
        <v>7</v>
      </c>
      <c r="G733" s="22" t="s">
        <v>2481</v>
      </c>
      <c r="H733" s="22" t="s">
        <v>10</v>
      </c>
      <c r="I733" s="22" t="s">
        <v>5511</v>
      </c>
      <c r="J733" s="22" t="s">
        <v>54</v>
      </c>
      <c r="K733" s="22">
        <v>5.18123042000347e+18</v>
      </c>
      <c r="L733" s="22" t="s">
        <v>2316</v>
      </c>
      <c r="M733" s="25"/>
    </row>
    <row r="734" customHeight="1" spans="1:13">
      <c r="A734" s="21">
        <v>46113</v>
      </c>
      <c r="B734" s="22" t="s">
        <v>5483</v>
      </c>
      <c r="C734" s="23">
        <v>46142</v>
      </c>
      <c r="D734" s="27">
        <v>44150</v>
      </c>
      <c r="E734" s="22" t="s">
        <v>173</v>
      </c>
      <c r="F734" s="22" t="s">
        <v>7</v>
      </c>
      <c r="G734" s="22" t="s">
        <v>2483</v>
      </c>
      <c r="H734" s="22" t="s">
        <v>11</v>
      </c>
      <c r="I734" s="22" t="s">
        <v>5511</v>
      </c>
      <c r="J734" s="22" t="s">
        <v>48</v>
      </c>
      <c r="K734" s="22">
        <v>5.18126033005914e+18</v>
      </c>
      <c r="L734" s="22" t="s">
        <v>2467</v>
      </c>
      <c r="M734" s="25"/>
    </row>
    <row r="735" customHeight="1" spans="1:13">
      <c r="A735" s="21">
        <v>46113</v>
      </c>
      <c r="B735" s="22" t="s">
        <v>5483</v>
      </c>
      <c r="C735" s="23">
        <v>46142</v>
      </c>
      <c r="D735" s="27">
        <v>13646</v>
      </c>
      <c r="E735" s="22" t="s">
        <v>173</v>
      </c>
      <c r="F735" s="22" t="s">
        <v>7</v>
      </c>
      <c r="G735" s="22" t="s">
        <v>2485</v>
      </c>
      <c r="H735" s="22" t="s">
        <v>11</v>
      </c>
      <c r="I735" s="22" t="s">
        <v>5511</v>
      </c>
      <c r="J735" s="22" t="s">
        <v>48</v>
      </c>
      <c r="K735" s="22">
        <v>5.18126033005914e+18</v>
      </c>
      <c r="L735" s="22" t="s">
        <v>2467</v>
      </c>
      <c r="M735" s="25"/>
    </row>
    <row r="736" customHeight="1" spans="1:13">
      <c r="A736" s="21">
        <v>46113</v>
      </c>
      <c r="B736" s="22" t="s">
        <v>5483</v>
      </c>
      <c r="C736" s="23">
        <v>46142</v>
      </c>
      <c r="D736" s="27">
        <v>24160</v>
      </c>
      <c r="E736" s="22" t="s">
        <v>173</v>
      </c>
      <c r="F736" s="22" t="s">
        <v>7</v>
      </c>
      <c r="G736" s="22" t="s">
        <v>2487</v>
      </c>
      <c r="H736" s="22" t="s">
        <v>11</v>
      </c>
      <c r="I736" s="22" t="s">
        <v>5511</v>
      </c>
      <c r="J736" s="22" t="s">
        <v>48</v>
      </c>
      <c r="K736" s="22">
        <v>5.18126033005914e+18</v>
      </c>
      <c r="L736" s="22" t="s">
        <v>2467</v>
      </c>
      <c r="M736" s="25"/>
    </row>
    <row r="737" customHeight="1" spans="1:13">
      <c r="A737" s="21">
        <v>46143</v>
      </c>
      <c r="B737" s="22" t="s">
        <v>5484</v>
      </c>
      <c r="C737" s="23">
        <v>46149</v>
      </c>
      <c r="D737" s="27">
        <v>8459.62</v>
      </c>
      <c r="E737" s="22" t="s">
        <v>173</v>
      </c>
      <c r="F737" s="22" t="s">
        <v>7</v>
      </c>
      <c r="G737" s="22" t="s">
        <v>2489</v>
      </c>
      <c r="H737" s="22" t="s">
        <v>12</v>
      </c>
      <c r="I737" s="22" t="s">
        <v>5511</v>
      </c>
      <c r="J737" s="22" t="s">
        <v>48</v>
      </c>
      <c r="K737" s="22">
        <v>5.18125120205254e+18</v>
      </c>
      <c r="L737" s="22" t="s">
        <v>2492</v>
      </c>
      <c r="M737" s="25"/>
    </row>
    <row r="738" customHeight="1" spans="1:13">
      <c r="A738" s="21">
        <v>46143</v>
      </c>
      <c r="B738" s="22" t="s">
        <v>5484</v>
      </c>
      <c r="C738" s="23">
        <v>46149</v>
      </c>
      <c r="D738" s="27">
        <v>40675</v>
      </c>
      <c r="E738" s="22" t="s">
        <v>173</v>
      </c>
      <c r="F738" s="22" t="s">
        <v>105</v>
      </c>
      <c r="G738" s="22" t="s">
        <v>2494</v>
      </c>
      <c r="H738" s="22" t="s">
        <v>11</v>
      </c>
      <c r="I738" s="22" t="s">
        <v>5511</v>
      </c>
      <c r="J738" s="22" t="s">
        <v>48</v>
      </c>
      <c r="K738" s="22">
        <v>5.18125120205254e+18</v>
      </c>
      <c r="L738" s="22" t="s">
        <v>2492</v>
      </c>
      <c r="M738" s="25"/>
    </row>
    <row r="739" customHeight="1" spans="1:13">
      <c r="A739" s="21">
        <v>46143</v>
      </c>
      <c r="B739" s="22" t="s">
        <v>5484</v>
      </c>
      <c r="C739" s="23">
        <v>46150</v>
      </c>
      <c r="D739" s="27">
        <v>34891</v>
      </c>
      <c r="E739" s="22" t="s">
        <v>173</v>
      </c>
      <c r="F739" s="22" t="s">
        <v>7</v>
      </c>
      <c r="G739" s="22" t="s">
        <v>2497</v>
      </c>
      <c r="H739" s="22" t="s">
        <v>11</v>
      </c>
      <c r="I739" s="22" t="s">
        <v>5511</v>
      </c>
      <c r="J739" s="22" t="s">
        <v>44</v>
      </c>
      <c r="K739" s="22">
        <v>5.18126033005914e+18</v>
      </c>
      <c r="L739" s="22" t="s">
        <v>2467</v>
      </c>
      <c r="M739" s="25"/>
    </row>
    <row r="740" customHeight="1" spans="1:13">
      <c r="A740" s="21">
        <v>46143</v>
      </c>
      <c r="B740" s="22" t="s">
        <v>5484</v>
      </c>
      <c r="C740" s="23">
        <v>46150</v>
      </c>
      <c r="D740" s="24">
        <v>55.18</v>
      </c>
      <c r="E740" s="22" t="s">
        <v>139</v>
      </c>
      <c r="F740" s="22" t="s">
        <v>105</v>
      </c>
      <c r="G740" s="22" t="s">
        <v>2498</v>
      </c>
      <c r="H740" s="22" t="s">
        <v>10</v>
      </c>
      <c r="I740" s="22" t="s">
        <v>5511</v>
      </c>
      <c r="J740" s="22" t="s">
        <v>40</v>
      </c>
      <c r="K740" s="22">
        <v>5.18126033005914e+18</v>
      </c>
      <c r="L740" s="22" t="s">
        <v>2467</v>
      </c>
      <c r="M740" s="25"/>
    </row>
    <row r="741" customHeight="1" spans="1:13">
      <c r="A741" s="21">
        <v>46143</v>
      </c>
      <c r="B741" s="22" t="s">
        <v>5484</v>
      </c>
      <c r="C741" s="23">
        <v>46151</v>
      </c>
      <c r="D741" s="27">
        <v>10000</v>
      </c>
      <c r="E741" s="22" t="s">
        <v>173</v>
      </c>
      <c r="F741" s="22" t="s">
        <v>7</v>
      </c>
      <c r="G741" s="22" t="s">
        <v>2501</v>
      </c>
      <c r="H741" s="22" t="s">
        <v>11</v>
      </c>
      <c r="I741" s="22" t="s">
        <v>5511</v>
      </c>
      <c r="J741" s="22" t="s">
        <v>53</v>
      </c>
      <c r="K741" s="22">
        <v>5.18126050606272e+18</v>
      </c>
      <c r="L741" s="22" t="s">
        <v>2504</v>
      </c>
      <c r="M741" s="25"/>
    </row>
    <row r="742" customHeight="1" spans="1:13">
      <c r="A742" s="21">
        <v>46143</v>
      </c>
      <c r="B742" s="22" t="s">
        <v>5484</v>
      </c>
      <c r="C742" s="23">
        <v>46152</v>
      </c>
      <c r="D742" s="27">
        <v>72410</v>
      </c>
      <c r="E742" s="22" t="s">
        <v>173</v>
      </c>
      <c r="F742" s="22" t="s">
        <v>7</v>
      </c>
      <c r="G742" s="22" t="s">
        <v>2506</v>
      </c>
      <c r="H742" s="22" t="s">
        <v>11</v>
      </c>
      <c r="I742" s="22" t="s">
        <v>5511</v>
      </c>
      <c r="J742" s="22" t="s">
        <v>48</v>
      </c>
      <c r="K742" s="22">
        <v>5.18126041006015e+18</v>
      </c>
      <c r="L742" s="22" t="s">
        <v>2425</v>
      </c>
      <c r="M742" s="25"/>
    </row>
    <row r="743" customHeight="1" spans="1:13">
      <c r="A743" s="21">
        <v>46143</v>
      </c>
      <c r="B743" s="22" t="s">
        <v>5484</v>
      </c>
      <c r="C743" s="23">
        <v>46153</v>
      </c>
      <c r="D743" s="27">
        <v>40000</v>
      </c>
      <c r="E743" s="22" t="s">
        <v>173</v>
      </c>
      <c r="F743" s="22" t="s">
        <v>7</v>
      </c>
      <c r="G743" s="22" t="s">
        <v>2509</v>
      </c>
      <c r="H743" s="22" t="s">
        <v>12</v>
      </c>
      <c r="I743" s="22" t="s">
        <v>5511</v>
      </c>
      <c r="J743" s="22" t="s">
        <v>44</v>
      </c>
      <c r="K743" s="22">
        <v>5.18126030505702e+18</v>
      </c>
      <c r="L743" s="22" t="s">
        <v>2512</v>
      </c>
      <c r="M743" s="25"/>
    </row>
    <row r="744" customHeight="1" spans="1:13">
      <c r="A744" s="21">
        <v>46143</v>
      </c>
      <c r="B744" s="22" t="s">
        <v>5484</v>
      </c>
      <c r="C744" s="23">
        <v>46154</v>
      </c>
      <c r="D744" s="27">
        <v>34900</v>
      </c>
      <c r="E744" s="22" t="s">
        <v>173</v>
      </c>
      <c r="F744" s="22" t="s">
        <v>7</v>
      </c>
      <c r="G744" s="22" t="s">
        <v>2514</v>
      </c>
      <c r="H744" s="22" t="s">
        <v>11</v>
      </c>
      <c r="I744" s="22" t="s">
        <v>5511</v>
      </c>
      <c r="J744" s="22" t="s">
        <v>48</v>
      </c>
      <c r="K744" s="22">
        <v>5.18126041006015e+18</v>
      </c>
      <c r="L744" s="22" t="s">
        <v>2425</v>
      </c>
      <c r="M744" s="25"/>
    </row>
    <row r="745" customHeight="1" spans="1:13">
      <c r="A745" s="21">
        <v>46143</v>
      </c>
      <c r="B745" s="22" t="s">
        <v>5484</v>
      </c>
      <c r="C745" s="23">
        <v>46149</v>
      </c>
      <c r="D745" s="28">
        <v>1199968</v>
      </c>
      <c r="E745" s="22" t="s">
        <v>173</v>
      </c>
      <c r="F745" s="22" t="s">
        <v>7</v>
      </c>
      <c r="G745" s="22" t="s">
        <v>2517</v>
      </c>
      <c r="H745" s="22" t="s">
        <v>12</v>
      </c>
      <c r="I745" s="22" t="s">
        <v>5511</v>
      </c>
      <c r="J745" s="22" t="s">
        <v>46</v>
      </c>
      <c r="K745" s="22">
        <v>5.18125120205254e+18</v>
      </c>
      <c r="L745" s="22" t="s">
        <v>2492</v>
      </c>
      <c r="M745" s="25"/>
    </row>
    <row r="746" customHeight="1" spans="1:13">
      <c r="A746" s="21">
        <v>46143</v>
      </c>
      <c r="B746" s="22" t="s">
        <v>5484</v>
      </c>
      <c r="C746" s="23">
        <v>46154</v>
      </c>
      <c r="D746" s="28">
        <v>9245</v>
      </c>
      <c r="E746" s="22" t="s">
        <v>173</v>
      </c>
      <c r="F746" s="22" t="s">
        <v>105</v>
      </c>
      <c r="G746" s="22" t="s">
        <v>2519</v>
      </c>
      <c r="H746" s="22" t="s">
        <v>11</v>
      </c>
      <c r="I746" s="22" t="s">
        <v>5511</v>
      </c>
      <c r="J746" s="22" t="s">
        <v>48</v>
      </c>
      <c r="K746" s="22">
        <v>5.18126041006015e+18</v>
      </c>
      <c r="L746" s="22" t="s">
        <v>2425</v>
      </c>
      <c r="M746" s="25"/>
    </row>
    <row r="747" customHeight="1" spans="1:13">
      <c r="A747" s="21">
        <v>46143</v>
      </c>
      <c r="B747" s="22" t="s">
        <v>5484</v>
      </c>
      <c r="C747" s="23">
        <v>46154</v>
      </c>
      <c r="D747" s="27">
        <v>66850</v>
      </c>
      <c r="E747" s="22" t="s">
        <v>173</v>
      </c>
      <c r="F747" s="22" t="s">
        <v>7</v>
      </c>
      <c r="G747" s="22" t="s">
        <v>2522</v>
      </c>
      <c r="H747" s="22" t="s">
        <v>11</v>
      </c>
      <c r="I747" s="22" t="s">
        <v>5511</v>
      </c>
      <c r="J747" s="22" t="s">
        <v>48</v>
      </c>
      <c r="K747" s="22">
        <v>5.18126041006015e+18</v>
      </c>
      <c r="L747" s="22" t="s">
        <v>2425</v>
      </c>
      <c r="M747" s="25"/>
    </row>
    <row r="748" customHeight="1" spans="1:13">
      <c r="A748" s="21">
        <v>46143</v>
      </c>
      <c r="B748" s="22" t="s">
        <v>5484</v>
      </c>
      <c r="C748" s="23">
        <v>46155</v>
      </c>
      <c r="D748" s="27">
        <v>19850</v>
      </c>
      <c r="E748" s="22" t="s">
        <v>173</v>
      </c>
      <c r="F748" s="22" t="s">
        <v>7</v>
      </c>
      <c r="G748" s="22" t="s">
        <v>2525</v>
      </c>
      <c r="H748" s="22" t="s">
        <v>11</v>
      </c>
      <c r="I748" s="22" t="s">
        <v>5511</v>
      </c>
      <c r="J748" s="22" t="s">
        <v>48</v>
      </c>
      <c r="K748" s="22">
        <v>5.18126041006015e+18</v>
      </c>
      <c r="L748" s="22" t="s">
        <v>2425</v>
      </c>
      <c r="M748" s="25"/>
    </row>
    <row r="749" customHeight="1" spans="1:13">
      <c r="A749" s="21">
        <v>46143</v>
      </c>
      <c r="B749" s="22" t="s">
        <v>5484</v>
      </c>
      <c r="C749" s="23">
        <v>46155</v>
      </c>
      <c r="D749" s="27">
        <v>19900</v>
      </c>
      <c r="E749" s="22" t="s">
        <v>173</v>
      </c>
      <c r="F749" s="22" t="s">
        <v>7</v>
      </c>
      <c r="G749" s="22" t="s">
        <v>2527</v>
      </c>
      <c r="H749" s="22" t="s">
        <v>11</v>
      </c>
      <c r="I749" s="22" t="s">
        <v>5511</v>
      </c>
      <c r="J749" s="22" t="s">
        <v>48</v>
      </c>
      <c r="K749" s="22">
        <v>5.18126041006015e+18</v>
      </c>
      <c r="L749" s="22" t="s">
        <v>2425</v>
      </c>
      <c r="M749" s="25"/>
    </row>
    <row r="750" customHeight="1" spans="1:13">
      <c r="A750" s="21">
        <v>46143</v>
      </c>
      <c r="B750" s="22" t="s">
        <v>5484</v>
      </c>
      <c r="C750" s="23">
        <v>46156</v>
      </c>
      <c r="D750" s="27">
        <v>78485.2</v>
      </c>
      <c r="E750" s="22" t="s">
        <v>173</v>
      </c>
      <c r="F750" s="22" t="s">
        <v>7</v>
      </c>
      <c r="G750" s="22" t="s">
        <v>2531</v>
      </c>
      <c r="H750" s="22" t="s">
        <v>11</v>
      </c>
      <c r="I750" s="22" t="s">
        <v>5511</v>
      </c>
      <c r="J750" s="22" t="s">
        <v>39</v>
      </c>
      <c r="K750" s="22">
        <v>5.18124121203647e+18</v>
      </c>
      <c r="L750" s="22" t="s">
        <v>1200</v>
      </c>
      <c r="M750" s="25"/>
    </row>
    <row r="751" customHeight="1" spans="1:13">
      <c r="A751" s="21">
        <v>46143</v>
      </c>
      <c r="B751" s="22" t="s">
        <v>5484</v>
      </c>
      <c r="C751" s="23">
        <v>46157</v>
      </c>
      <c r="D751" s="27">
        <v>98570</v>
      </c>
      <c r="E751" s="22" t="s">
        <v>173</v>
      </c>
      <c r="F751" s="22" t="s">
        <v>7</v>
      </c>
      <c r="G751" s="22" t="s">
        <v>2533</v>
      </c>
      <c r="H751" s="22" t="s">
        <v>11</v>
      </c>
      <c r="I751" s="22" t="s">
        <v>5511</v>
      </c>
      <c r="J751" s="22" t="s">
        <v>48</v>
      </c>
      <c r="K751" s="22">
        <v>5.18126041006015e+18</v>
      </c>
      <c r="L751" s="22" t="s">
        <v>2425</v>
      </c>
      <c r="M751" s="25"/>
    </row>
    <row r="752" customHeight="1" spans="1:13">
      <c r="A752" s="21">
        <v>46143</v>
      </c>
      <c r="B752" s="22" t="s">
        <v>5484</v>
      </c>
      <c r="C752" s="23">
        <v>46157</v>
      </c>
      <c r="D752" s="27">
        <v>21919.2</v>
      </c>
      <c r="E752" s="22" t="s">
        <v>173</v>
      </c>
      <c r="F752" s="22" t="s">
        <v>105</v>
      </c>
      <c r="G752" s="22" t="s">
        <v>2536</v>
      </c>
      <c r="H752" s="22" t="s">
        <v>12</v>
      </c>
      <c r="I752" s="22" t="s">
        <v>5511</v>
      </c>
      <c r="J752" s="22" t="s">
        <v>39</v>
      </c>
      <c r="K752" s="22">
        <v>5.18126041006015e+18</v>
      </c>
      <c r="L752" s="22" t="s">
        <v>2425</v>
      </c>
      <c r="M752" s="25"/>
    </row>
    <row r="753" customHeight="1" spans="1:13">
      <c r="A753" s="21">
        <v>46143</v>
      </c>
      <c r="B753" s="22" t="s">
        <v>5484</v>
      </c>
      <c r="C753" s="23">
        <v>46157</v>
      </c>
      <c r="D753" s="27">
        <v>97140</v>
      </c>
      <c r="E753" s="22" t="s">
        <v>173</v>
      </c>
      <c r="F753" s="22" t="s">
        <v>7</v>
      </c>
      <c r="G753" s="22" t="s">
        <v>2540</v>
      </c>
      <c r="H753" s="22" t="s">
        <v>11</v>
      </c>
      <c r="I753" s="22" t="s">
        <v>5511</v>
      </c>
      <c r="J753" s="22" t="s">
        <v>48</v>
      </c>
      <c r="K753" s="22">
        <v>5.18126041006015e+18</v>
      </c>
      <c r="L753" s="22" t="s">
        <v>2425</v>
      </c>
      <c r="M753" s="25"/>
    </row>
    <row r="754" customHeight="1" spans="1:13">
      <c r="A754" s="21">
        <v>46143</v>
      </c>
      <c r="B754" s="22" t="s">
        <v>5484</v>
      </c>
      <c r="C754" s="23">
        <v>46157</v>
      </c>
      <c r="D754" s="24">
        <v>46.91</v>
      </c>
      <c r="E754" s="22" t="s">
        <v>149</v>
      </c>
      <c r="F754" s="22" t="s">
        <v>7</v>
      </c>
      <c r="G754" s="22" t="s">
        <v>2543</v>
      </c>
      <c r="H754" s="22" t="s">
        <v>10</v>
      </c>
      <c r="I754" s="22" t="s">
        <v>5511</v>
      </c>
      <c r="J754" s="22" t="s">
        <v>40</v>
      </c>
      <c r="K754" s="22">
        <v>5.18126041006015e+18</v>
      </c>
      <c r="L754" s="22" t="s">
        <v>2425</v>
      </c>
      <c r="M754" s="25"/>
    </row>
    <row r="755" customHeight="1" spans="1:13">
      <c r="A755" s="21">
        <v>46143</v>
      </c>
      <c r="B755" s="22" t="s">
        <v>5485</v>
      </c>
      <c r="C755" s="23">
        <v>46161</v>
      </c>
      <c r="D755" s="27">
        <v>61400</v>
      </c>
      <c r="E755" s="22" t="s">
        <v>173</v>
      </c>
      <c r="F755" s="22" t="s">
        <v>7</v>
      </c>
      <c r="G755" s="22" t="s">
        <v>2545</v>
      </c>
      <c r="H755" s="22" t="s">
        <v>11</v>
      </c>
      <c r="I755" s="22" t="s">
        <v>5511</v>
      </c>
      <c r="J755" s="22" t="s">
        <v>39</v>
      </c>
      <c r="K755" s="22">
        <v>5.18126041006015e+18</v>
      </c>
      <c r="L755" s="22" t="s">
        <v>2425</v>
      </c>
      <c r="M755" s="25"/>
    </row>
    <row r="756" customHeight="1" spans="1:13">
      <c r="A756" s="21">
        <v>46143</v>
      </c>
      <c r="B756" s="22" t="s">
        <v>5485</v>
      </c>
      <c r="C756" s="23">
        <v>46162</v>
      </c>
      <c r="D756" s="27">
        <v>33980.4</v>
      </c>
      <c r="E756" s="22" t="s">
        <v>173</v>
      </c>
      <c r="F756" s="22" t="s">
        <v>7</v>
      </c>
      <c r="G756" s="22" t="s">
        <v>2548</v>
      </c>
      <c r="H756" s="22" t="s">
        <v>12</v>
      </c>
      <c r="I756" s="22" t="s">
        <v>5511</v>
      </c>
      <c r="J756" s="22" t="s">
        <v>44</v>
      </c>
      <c r="K756" s="22">
        <v>5.18126022705668e+18</v>
      </c>
      <c r="L756" s="22" t="s">
        <v>2551</v>
      </c>
      <c r="M756" s="25"/>
    </row>
    <row r="757" customHeight="1" spans="1:13">
      <c r="A757" s="21">
        <v>46143</v>
      </c>
      <c r="B757" s="22" t="s">
        <v>5485</v>
      </c>
      <c r="C757" s="23">
        <v>46162</v>
      </c>
      <c r="D757" s="24">
        <v>20</v>
      </c>
      <c r="E757" s="22" t="s">
        <v>173</v>
      </c>
      <c r="F757" s="22" t="s">
        <v>105</v>
      </c>
      <c r="G757" s="22" t="s">
        <v>2553</v>
      </c>
      <c r="H757" s="22" t="s">
        <v>11</v>
      </c>
      <c r="I757" s="22" t="s">
        <v>5511</v>
      </c>
      <c r="J757" s="22" t="s">
        <v>39</v>
      </c>
      <c r="K757" s="22">
        <v>5.18126022705668e+18</v>
      </c>
      <c r="L757" s="22" t="s">
        <v>2551</v>
      </c>
      <c r="M757" s="25"/>
    </row>
    <row r="758" customHeight="1" spans="1:13">
      <c r="A758" s="21">
        <v>46143</v>
      </c>
      <c r="B758" s="22" t="s">
        <v>5485</v>
      </c>
      <c r="C758" s="23">
        <v>46162</v>
      </c>
      <c r="D758" s="24">
        <v>155.1</v>
      </c>
      <c r="E758" s="22" t="s">
        <v>173</v>
      </c>
      <c r="F758" s="22" t="s">
        <v>7</v>
      </c>
      <c r="G758" s="22" t="s">
        <v>2554</v>
      </c>
      <c r="H758" s="22" t="s">
        <v>12</v>
      </c>
      <c r="I758" s="22" t="s">
        <v>5511</v>
      </c>
      <c r="J758" s="22" t="s">
        <v>46</v>
      </c>
      <c r="K758" s="22">
        <v>5.18126022705668e+18</v>
      </c>
      <c r="L758" s="22" t="s">
        <v>2551</v>
      </c>
      <c r="M758" s="25"/>
    </row>
    <row r="759" customHeight="1" spans="1:13">
      <c r="A759" s="21">
        <v>46143</v>
      </c>
      <c r="B759" s="22" t="s">
        <v>5485</v>
      </c>
      <c r="C759" s="23">
        <v>46163</v>
      </c>
      <c r="D759" s="27">
        <v>24000</v>
      </c>
      <c r="E759" s="22" t="s">
        <v>173</v>
      </c>
      <c r="F759" s="22" t="s">
        <v>7</v>
      </c>
      <c r="G759" s="22" t="s">
        <v>5548</v>
      </c>
      <c r="H759" s="22" t="s">
        <v>10</v>
      </c>
      <c r="I759" s="22" t="s">
        <v>5511</v>
      </c>
      <c r="J759" s="22" t="s">
        <v>53</v>
      </c>
      <c r="K759" s="22">
        <v>5.18126042206149e+18</v>
      </c>
      <c r="L759" s="22" t="s">
        <v>2563</v>
      </c>
      <c r="M759" s="25"/>
    </row>
    <row r="760" customHeight="1" spans="1:13">
      <c r="A760" s="21">
        <v>46143</v>
      </c>
      <c r="B760" s="22" t="s">
        <v>5485</v>
      </c>
      <c r="C760" s="23">
        <v>46163</v>
      </c>
      <c r="D760" s="27">
        <v>149900</v>
      </c>
      <c r="E760" s="22" t="s">
        <v>173</v>
      </c>
      <c r="F760" s="22" t="s">
        <v>7</v>
      </c>
      <c r="G760" s="22" t="s">
        <v>2564</v>
      </c>
      <c r="H760" s="22" t="s">
        <v>11</v>
      </c>
      <c r="I760" s="22" t="s">
        <v>5511</v>
      </c>
      <c r="J760" s="22" t="s">
        <v>48</v>
      </c>
      <c r="K760" s="22">
        <v>5.18126042206149e+18</v>
      </c>
      <c r="L760" s="22" t="s">
        <v>2563</v>
      </c>
      <c r="M760" s="25"/>
    </row>
    <row r="761" customHeight="1" spans="1:13">
      <c r="A761" s="21">
        <v>46143</v>
      </c>
      <c r="B761" s="22" t="s">
        <v>5485</v>
      </c>
      <c r="C761" s="23">
        <v>46163</v>
      </c>
      <c r="D761" s="27">
        <v>29880</v>
      </c>
      <c r="E761" s="22" t="s">
        <v>173</v>
      </c>
      <c r="F761" s="22" t="s">
        <v>7</v>
      </c>
      <c r="G761" s="22" t="s">
        <v>2567</v>
      </c>
      <c r="H761" s="22" t="s">
        <v>12</v>
      </c>
      <c r="I761" s="22" t="s">
        <v>5511</v>
      </c>
      <c r="J761" s="22" t="s">
        <v>48</v>
      </c>
      <c r="K761" s="22">
        <v>5.18126042206149e+18</v>
      </c>
      <c r="L761" s="22" t="s">
        <v>2563</v>
      </c>
      <c r="M761" s="25"/>
    </row>
    <row r="762" customHeight="1" spans="1:13">
      <c r="A762" s="21">
        <v>46143</v>
      </c>
      <c r="B762" s="22" t="s">
        <v>5485</v>
      </c>
      <c r="C762" s="23">
        <v>46163</v>
      </c>
      <c r="D762" s="27">
        <v>2046</v>
      </c>
      <c r="E762" s="22" t="s">
        <v>149</v>
      </c>
      <c r="F762" s="22" t="s">
        <v>7</v>
      </c>
      <c r="G762" s="22" t="s">
        <v>2572</v>
      </c>
      <c r="H762" s="22" t="s">
        <v>12</v>
      </c>
      <c r="I762" s="22" t="s">
        <v>5511</v>
      </c>
      <c r="J762" s="22" t="s">
        <v>48</v>
      </c>
      <c r="K762" s="22">
        <v>5.18126042206149e+18</v>
      </c>
      <c r="L762" s="22" t="s">
        <v>2563</v>
      </c>
      <c r="M762" s="25"/>
    </row>
    <row r="763" customHeight="1" spans="1:13">
      <c r="A763" s="21">
        <v>46143</v>
      </c>
      <c r="B763" s="22" t="s">
        <v>5485</v>
      </c>
      <c r="C763" s="23">
        <v>46163</v>
      </c>
      <c r="D763" s="27">
        <v>27516</v>
      </c>
      <c r="E763" s="22" t="s">
        <v>173</v>
      </c>
      <c r="F763" s="22" t="s">
        <v>7</v>
      </c>
      <c r="G763" s="22" t="s">
        <v>2577</v>
      </c>
      <c r="H763" s="22" t="s">
        <v>11</v>
      </c>
      <c r="I763" s="22" t="s">
        <v>5511</v>
      </c>
      <c r="J763" s="22" t="s">
        <v>48</v>
      </c>
      <c r="K763" s="22">
        <v>5.18126042206149e+18</v>
      </c>
      <c r="L763" s="22" t="s">
        <v>2563</v>
      </c>
      <c r="M763" s="25"/>
    </row>
    <row r="764" customHeight="1" spans="1:13">
      <c r="A764" s="21">
        <v>46143</v>
      </c>
      <c r="B764" s="22" t="s">
        <v>5485</v>
      </c>
      <c r="C764" s="23">
        <v>46163</v>
      </c>
      <c r="D764" s="27">
        <v>7225</v>
      </c>
      <c r="E764" s="22" t="s">
        <v>173</v>
      </c>
      <c r="F764" s="22" t="s">
        <v>105</v>
      </c>
      <c r="G764" s="22" t="s">
        <v>2580</v>
      </c>
      <c r="H764" s="22" t="s">
        <v>12</v>
      </c>
      <c r="I764" s="22" t="s">
        <v>5511</v>
      </c>
      <c r="J764" s="22" t="s">
        <v>48</v>
      </c>
      <c r="K764" s="22">
        <v>5.18126042206149e+18</v>
      </c>
      <c r="L764" s="22" t="s">
        <v>2563</v>
      </c>
      <c r="M764" s="25"/>
    </row>
    <row r="765" customHeight="1" spans="1:13">
      <c r="A765" s="21">
        <v>46143</v>
      </c>
      <c r="B765" s="22" t="s">
        <v>5485</v>
      </c>
      <c r="C765" s="23">
        <v>46163</v>
      </c>
      <c r="D765" s="27">
        <v>37800</v>
      </c>
      <c r="E765" s="22" t="s">
        <v>173</v>
      </c>
      <c r="F765" s="22" t="s">
        <v>105</v>
      </c>
      <c r="G765" s="22" t="s">
        <v>2582</v>
      </c>
      <c r="H765" s="22" t="s">
        <v>12</v>
      </c>
      <c r="I765" s="22" t="s">
        <v>5511</v>
      </c>
      <c r="J765" s="22" t="s">
        <v>48</v>
      </c>
      <c r="K765" s="22">
        <v>5.18126042206149e+18</v>
      </c>
      <c r="L765" s="22" t="s">
        <v>2563</v>
      </c>
      <c r="M765" s="25"/>
    </row>
    <row r="766" customHeight="1" spans="1:13">
      <c r="A766" s="21">
        <v>46143</v>
      </c>
      <c r="B766" s="22" t="s">
        <v>5485</v>
      </c>
      <c r="C766" s="23">
        <v>46163</v>
      </c>
      <c r="D766" s="24">
        <v>161.35</v>
      </c>
      <c r="E766" s="22" t="s">
        <v>173</v>
      </c>
      <c r="F766" s="22" t="s">
        <v>105</v>
      </c>
      <c r="G766" s="22" t="s">
        <v>5549</v>
      </c>
      <c r="H766" s="22" t="s">
        <v>10</v>
      </c>
      <c r="I766" s="22" t="s">
        <v>5511</v>
      </c>
      <c r="J766" s="22" t="s">
        <v>53</v>
      </c>
      <c r="K766" s="22">
        <v>5.18126042206149e+18</v>
      </c>
      <c r="L766" s="22" t="s">
        <v>2563</v>
      </c>
      <c r="M766" s="25"/>
    </row>
    <row r="767" customHeight="1" spans="1:13">
      <c r="A767" s="21">
        <v>46143</v>
      </c>
      <c r="B767" s="22" t="s">
        <v>5485</v>
      </c>
      <c r="C767" s="23">
        <v>46164</v>
      </c>
      <c r="D767" s="27">
        <v>29900</v>
      </c>
      <c r="E767" s="22" t="s">
        <v>173</v>
      </c>
      <c r="F767" s="22" t="s">
        <v>7</v>
      </c>
      <c r="G767" s="22" t="s">
        <v>2590</v>
      </c>
      <c r="H767" s="22" t="s">
        <v>12</v>
      </c>
      <c r="I767" s="22" t="s">
        <v>5511</v>
      </c>
      <c r="J767" s="22" t="s">
        <v>48</v>
      </c>
      <c r="K767" s="22">
        <v>5.18126041006015e+18</v>
      </c>
      <c r="L767" s="22" t="s">
        <v>2425</v>
      </c>
      <c r="M767" s="25"/>
    </row>
    <row r="768" customHeight="1" spans="1:13">
      <c r="A768" s="21">
        <v>46143</v>
      </c>
      <c r="B768" s="22" t="s">
        <v>5485</v>
      </c>
      <c r="C768" s="23">
        <v>46164</v>
      </c>
      <c r="D768" s="27">
        <v>71500</v>
      </c>
      <c r="E768" s="22" t="s">
        <v>173</v>
      </c>
      <c r="F768" s="22" t="s">
        <v>7</v>
      </c>
      <c r="G768" s="22" t="s">
        <v>2593</v>
      </c>
      <c r="H768" s="22" t="s">
        <v>11</v>
      </c>
      <c r="I768" s="22" t="s">
        <v>5511</v>
      </c>
      <c r="J768" s="22" t="s">
        <v>53</v>
      </c>
      <c r="K768" s="22">
        <v>5.18126041006015e+18</v>
      </c>
      <c r="L768" s="22" t="s">
        <v>2425</v>
      </c>
      <c r="M768" s="25"/>
    </row>
    <row r="769" customHeight="1" spans="1:13">
      <c r="A769" s="21">
        <v>46143</v>
      </c>
      <c r="B769" s="22" t="s">
        <v>5485</v>
      </c>
      <c r="C769" s="23">
        <v>46169</v>
      </c>
      <c r="D769" s="24">
        <v>800</v>
      </c>
      <c r="E769" s="22" t="s">
        <v>173</v>
      </c>
      <c r="F769" s="22" t="s">
        <v>105</v>
      </c>
      <c r="G769" s="22" t="s">
        <v>2600</v>
      </c>
      <c r="H769" s="22" t="s">
        <v>12</v>
      </c>
      <c r="I769" s="22" t="s">
        <v>5511</v>
      </c>
      <c r="J769" s="22" t="s">
        <v>48</v>
      </c>
      <c r="K769" s="22">
        <v>5.18125112705233e+18</v>
      </c>
      <c r="L769" s="22" t="s">
        <v>2602</v>
      </c>
      <c r="M769" s="25"/>
    </row>
    <row r="770" customHeight="1" spans="1:13">
      <c r="A770" s="21">
        <v>46143</v>
      </c>
      <c r="B770" s="22" t="s">
        <v>5485</v>
      </c>
      <c r="C770" s="23">
        <v>46169</v>
      </c>
      <c r="D770" s="28">
        <v>179900</v>
      </c>
      <c r="E770" s="22" t="s">
        <v>173</v>
      </c>
      <c r="F770" s="22" t="s">
        <v>7</v>
      </c>
      <c r="G770" s="22" t="s">
        <v>2604</v>
      </c>
      <c r="H770" s="22" t="s">
        <v>11</v>
      </c>
      <c r="I770" s="22" t="s">
        <v>5511</v>
      </c>
      <c r="J770" s="22" t="s">
        <v>48</v>
      </c>
      <c r="K770" s="22">
        <v>5.18125112705233e+18</v>
      </c>
      <c r="L770" s="22" t="s">
        <v>2602</v>
      </c>
      <c r="M770" s="25"/>
    </row>
    <row r="771" customHeight="1" spans="1:13">
      <c r="A771" s="21">
        <v>46143</v>
      </c>
      <c r="B771" s="22" t="s">
        <v>5485</v>
      </c>
      <c r="C771" s="23">
        <v>46169</v>
      </c>
      <c r="D771" s="28">
        <v>19522</v>
      </c>
      <c r="E771" s="22" t="s">
        <v>173</v>
      </c>
      <c r="F771" s="22" t="s">
        <v>7</v>
      </c>
      <c r="G771" s="22" t="s">
        <v>2607</v>
      </c>
      <c r="H771" s="22" t="s">
        <v>11</v>
      </c>
      <c r="I771" s="22" t="s">
        <v>5511</v>
      </c>
      <c r="J771" s="22" t="s">
        <v>39</v>
      </c>
      <c r="K771" s="22">
        <v>5.18125112705233e+18</v>
      </c>
      <c r="L771" s="22" t="s">
        <v>2602</v>
      </c>
      <c r="M771" s="25"/>
    </row>
    <row r="772" customHeight="1" spans="1:13">
      <c r="A772" s="21">
        <v>46143</v>
      </c>
      <c r="B772" s="22" t="s">
        <v>5485</v>
      </c>
      <c r="C772" s="23">
        <v>46170</v>
      </c>
      <c r="D772" s="27">
        <v>10000</v>
      </c>
      <c r="E772" s="22" t="s">
        <v>173</v>
      </c>
      <c r="F772" s="22" t="s">
        <v>7</v>
      </c>
      <c r="G772" s="22" t="s">
        <v>2611</v>
      </c>
      <c r="H772" s="22" t="s">
        <v>11</v>
      </c>
      <c r="I772" s="22" t="s">
        <v>5511</v>
      </c>
      <c r="J772" s="22" t="s">
        <v>39</v>
      </c>
      <c r="K772" s="22">
        <v>5.1812511100513e+18</v>
      </c>
      <c r="L772" s="22" t="s">
        <v>2614</v>
      </c>
      <c r="M772" s="25"/>
    </row>
    <row r="773" customHeight="1" spans="1:13">
      <c r="A773" s="21">
        <v>46143</v>
      </c>
      <c r="B773" s="22" t="s">
        <v>5485</v>
      </c>
      <c r="C773" s="23">
        <v>46170</v>
      </c>
      <c r="D773" s="27">
        <v>299998.76</v>
      </c>
      <c r="E773" s="22" t="s">
        <v>173</v>
      </c>
      <c r="F773" s="22" t="s">
        <v>7</v>
      </c>
      <c r="G773" s="22" t="s">
        <v>2617</v>
      </c>
      <c r="H773" s="22" t="s">
        <v>12</v>
      </c>
      <c r="I773" s="22" t="s">
        <v>5511</v>
      </c>
      <c r="J773" s="22" t="s">
        <v>53</v>
      </c>
      <c r="K773" s="22">
        <v>5.1812511100513e+18</v>
      </c>
      <c r="L773" s="22" t="s">
        <v>2614</v>
      </c>
      <c r="M773" s="25"/>
    </row>
    <row r="774" customHeight="1" spans="1:13">
      <c r="A774" s="21">
        <v>46143</v>
      </c>
      <c r="B774" s="22" t="s">
        <v>5485</v>
      </c>
      <c r="C774" s="23">
        <v>46171</v>
      </c>
      <c r="D774" s="28">
        <v>37800</v>
      </c>
      <c r="E774" s="22" t="s">
        <v>173</v>
      </c>
      <c r="F774" s="22" t="s">
        <v>105</v>
      </c>
      <c r="G774" s="22" t="s">
        <v>2622</v>
      </c>
      <c r="H774" s="22" t="s">
        <v>12</v>
      </c>
      <c r="I774" s="22" t="s">
        <v>5511</v>
      </c>
      <c r="J774" s="22" t="s">
        <v>48</v>
      </c>
      <c r="K774" s="22">
        <v>5.18123122800158e+18</v>
      </c>
      <c r="L774" s="22" t="s">
        <v>1211</v>
      </c>
      <c r="M774" s="25"/>
    </row>
    <row r="775" customHeight="1" spans="1:13">
      <c r="A775" s="21">
        <v>46143</v>
      </c>
      <c r="B775" s="22" t="s">
        <v>5485</v>
      </c>
      <c r="C775" s="23">
        <v>46171</v>
      </c>
      <c r="D775" s="27">
        <v>7225.8</v>
      </c>
      <c r="E775" s="22" t="s">
        <v>173</v>
      </c>
      <c r="F775" s="22" t="s">
        <v>105</v>
      </c>
      <c r="G775" s="22" t="s">
        <v>2623</v>
      </c>
      <c r="H775" s="22" t="s">
        <v>12</v>
      </c>
      <c r="I775" s="22" t="s">
        <v>5511</v>
      </c>
      <c r="J775" s="22" t="s">
        <v>48</v>
      </c>
      <c r="K775" s="22">
        <v>5.18123122800158e+18</v>
      </c>
      <c r="L775" s="22" t="s">
        <v>1211</v>
      </c>
      <c r="M775" s="25"/>
    </row>
    <row r="776" customHeight="1" spans="1:13">
      <c r="A776" s="21">
        <v>46174</v>
      </c>
      <c r="B776" s="22" t="s">
        <v>5487</v>
      </c>
      <c r="C776" s="23">
        <v>46175</v>
      </c>
      <c r="D776" s="27">
        <v>400000</v>
      </c>
      <c r="E776" s="22" t="s">
        <v>2629</v>
      </c>
      <c r="F776" s="22" t="s">
        <v>7</v>
      </c>
      <c r="G776" s="22" t="s">
        <v>2624</v>
      </c>
      <c r="H776" s="22" t="s">
        <v>12</v>
      </c>
      <c r="I776" s="22" t="s">
        <v>5511</v>
      </c>
      <c r="J776" s="22" t="s">
        <v>44</v>
      </c>
      <c r="K776" s="22">
        <v>5.18126022605664e+18</v>
      </c>
      <c r="L776" s="22" t="s">
        <v>2627</v>
      </c>
      <c r="M776" s="25"/>
    </row>
    <row r="777" customHeight="1" spans="1:13">
      <c r="A777" s="21">
        <v>46174</v>
      </c>
      <c r="B777" s="22" t="s">
        <v>5487</v>
      </c>
      <c r="C777" s="23">
        <v>46175</v>
      </c>
      <c r="D777" s="27">
        <v>10450</v>
      </c>
      <c r="E777" s="22" t="s">
        <v>173</v>
      </c>
      <c r="F777" s="22" t="s">
        <v>105</v>
      </c>
      <c r="G777" s="22" t="s">
        <v>2630</v>
      </c>
      <c r="H777" s="22" t="s">
        <v>11</v>
      </c>
      <c r="I777" s="22" t="s">
        <v>5511</v>
      </c>
      <c r="J777" s="22" t="s">
        <v>39</v>
      </c>
      <c r="K777" s="22">
        <v>5.18126022605664e+18</v>
      </c>
      <c r="L777" s="22" t="s">
        <v>2627</v>
      </c>
      <c r="M777" s="25"/>
    </row>
    <row r="778" customHeight="1" spans="1:13">
      <c r="A778" s="21">
        <v>46174</v>
      </c>
      <c r="B778" s="22" t="s">
        <v>5487</v>
      </c>
      <c r="C778" s="23">
        <v>46176</v>
      </c>
      <c r="D778" s="27">
        <v>995000</v>
      </c>
      <c r="E778" s="22" t="s">
        <v>173</v>
      </c>
      <c r="F778" s="22" t="s">
        <v>7</v>
      </c>
      <c r="G778" s="22" t="s">
        <v>2632</v>
      </c>
      <c r="H778" s="22" t="s">
        <v>12</v>
      </c>
      <c r="I778" s="22" t="s">
        <v>5511</v>
      </c>
      <c r="J778" s="22" t="s">
        <v>48</v>
      </c>
      <c r="K778" s="22">
        <v>5.18123060200019e+18</v>
      </c>
      <c r="L778" s="22" t="s">
        <v>1072</v>
      </c>
      <c r="M778" s="25"/>
    </row>
    <row r="779" customHeight="1" spans="1:13">
      <c r="A779" s="21">
        <v>46174</v>
      </c>
      <c r="B779" s="22" t="s">
        <v>5487</v>
      </c>
      <c r="C779" s="23">
        <v>46177</v>
      </c>
      <c r="D779" s="24">
        <v>0.01</v>
      </c>
      <c r="E779" s="22" t="s">
        <v>139</v>
      </c>
      <c r="F779" s="22" t="s">
        <v>7</v>
      </c>
      <c r="G779" s="22" t="s">
        <v>2636</v>
      </c>
      <c r="H779" s="22" t="s">
        <v>10</v>
      </c>
      <c r="I779" s="22" t="s">
        <v>5511</v>
      </c>
      <c r="J779" s="22" t="s">
        <v>40</v>
      </c>
      <c r="K779" s="22">
        <v>5.18126042206154e+18</v>
      </c>
      <c r="L779" s="22" t="s">
        <v>2639</v>
      </c>
      <c r="M779" s="25"/>
    </row>
    <row r="780" customHeight="1" spans="1:13">
      <c r="A780" s="21">
        <v>46174</v>
      </c>
      <c r="B780" s="22" t="s">
        <v>5487</v>
      </c>
      <c r="C780" s="23">
        <v>46176</v>
      </c>
      <c r="D780" s="27">
        <v>37980.12</v>
      </c>
      <c r="E780" s="22" t="s">
        <v>149</v>
      </c>
      <c r="F780" s="22" t="s">
        <v>7</v>
      </c>
      <c r="G780" s="22" t="s">
        <v>2640</v>
      </c>
      <c r="H780" s="22" t="s">
        <v>11</v>
      </c>
      <c r="I780" s="22" t="s">
        <v>5511</v>
      </c>
      <c r="J780" s="22" t="s">
        <v>52</v>
      </c>
      <c r="K780" s="22">
        <v>5.18123060200019e+18</v>
      </c>
      <c r="L780" s="22" t="s">
        <v>1072</v>
      </c>
      <c r="M780" s="25"/>
    </row>
    <row r="781" customHeight="1" spans="1:13">
      <c r="A781" s="21">
        <v>46174</v>
      </c>
      <c r="B781" s="22" t="s">
        <v>5487</v>
      </c>
      <c r="C781" s="23">
        <v>46177</v>
      </c>
      <c r="D781" s="27">
        <v>15501.2</v>
      </c>
      <c r="E781" s="22" t="s">
        <v>149</v>
      </c>
      <c r="F781" s="22" t="s">
        <v>7</v>
      </c>
      <c r="G781" s="22" t="s">
        <v>2644</v>
      </c>
      <c r="H781" s="22" t="s">
        <v>11</v>
      </c>
      <c r="I781" s="22" t="s">
        <v>5511</v>
      </c>
      <c r="J781" s="22" t="s">
        <v>52</v>
      </c>
      <c r="K781" s="22">
        <v>5.18126042206154e+18</v>
      </c>
      <c r="L781" s="22" t="s">
        <v>2639</v>
      </c>
      <c r="M781" s="25"/>
    </row>
    <row r="782" customHeight="1" spans="1:13">
      <c r="A782" s="21">
        <v>46174</v>
      </c>
      <c r="B782" s="22" t="s">
        <v>5487</v>
      </c>
      <c r="C782" s="23">
        <v>46177</v>
      </c>
      <c r="D782" s="28">
        <v>1000</v>
      </c>
      <c r="E782" s="22" t="s">
        <v>173</v>
      </c>
      <c r="F782" s="22" t="s">
        <v>7</v>
      </c>
      <c r="G782" s="22" t="s">
        <v>2646</v>
      </c>
      <c r="H782" s="22" t="s">
        <v>12</v>
      </c>
      <c r="I782" s="22" t="s">
        <v>5511</v>
      </c>
      <c r="J782" s="22" t="s">
        <v>53</v>
      </c>
      <c r="K782" s="22">
        <v>5.18126042206154e+18</v>
      </c>
      <c r="L782" s="22" t="s">
        <v>2639</v>
      </c>
      <c r="M782" s="25"/>
    </row>
    <row r="783" customHeight="1" spans="1:13">
      <c r="A783" s="21">
        <v>46174</v>
      </c>
      <c r="B783" s="22" t="s">
        <v>5487</v>
      </c>
      <c r="C783" s="23">
        <v>46177</v>
      </c>
      <c r="D783" s="27">
        <v>500000</v>
      </c>
      <c r="E783" s="22" t="s">
        <v>1466</v>
      </c>
      <c r="F783" s="22" t="s">
        <v>7</v>
      </c>
      <c r="G783" s="22" t="s">
        <v>2651</v>
      </c>
      <c r="H783" s="22" t="s">
        <v>12</v>
      </c>
      <c r="I783" s="22" t="s">
        <v>5511</v>
      </c>
      <c r="J783" s="22" t="s">
        <v>44</v>
      </c>
      <c r="K783" s="22">
        <v>5.18126042206154e+18</v>
      </c>
      <c r="L783" s="22" t="s">
        <v>2639</v>
      </c>
      <c r="M783" s="25"/>
    </row>
    <row r="784" customHeight="1" spans="1:13">
      <c r="A784" s="21">
        <v>46174</v>
      </c>
      <c r="B784" s="22" t="s">
        <v>5487</v>
      </c>
      <c r="C784" s="23">
        <v>46178</v>
      </c>
      <c r="D784" s="27">
        <v>126552</v>
      </c>
      <c r="E784" s="22" t="s">
        <v>1466</v>
      </c>
      <c r="F784" s="22" t="s">
        <v>7</v>
      </c>
      <c r="G784" s="22" t="s">
        <v>2652</v>
      </c>
      <c r="H784" s="22" t="s">
        <v>12</v>
      </c>
      <c r="I784" s="22" t="s">
        <v>5511</v>
      </c>
      <c r="J784" s="22" t="s">
        <v>44</v>
      </c>
      <c r="K784" s="22">
        <v>5.18126030505702e+18</v>
      </c>
      <c r="L784" s="22" t="s">
        <v>2512</v>
      </c>
      <c r="M784" s="25"/>
    </row>
    <row r="785" customHeight="1" spans="1:13">
      <c r="A785" s="21">
        <v>46174</v>
      </c>
      <c r="B785" s="22" t="s">
        <v>5487</v>
      </c>
      <c r="C785" s="23">
        <v>46178</v>
      </c>
      <c r="D785" s="27">
        <v>20000</v>
      </c>
      <c r="E785" s="22" t="s">
        <v>149</v>
      </c>
      <c r="F785" s="22" t="s">
        <v>7</v>
      </c>
      <c r="G785" s="22" t="s">
        <v>2654</v>
      </c>
      <c r="H785" s="22" t="s">
        <v>11</v>
      </c>
      <c r="I785" s="22" t="s">
        <v>5511</v>
      </c>
      <c r="J785" s="22" t="s">
        <v>52</v>
      </c>
      <c r="K785" s="22">
        <v>5.18126030505702e+18</v>
      </c>
      <c r="L785" s="22" t="s">
        <v>2512</v>
      </c>
      <c r="M785" s="25"/>
    </row>
    <row r="786" customHeight="1" spans="1:13">
      <c r="A786" s="21">
        <v>46174</v>
      </c>
      <c r="B786" s="22" t="s">
        <v>5487</v>
      </c>
      <c r="C786" s="23">
        <v>46181</v>
      </c>
      <c r="D786" s="24">
        <v>53.29</v>
      </c>
      <c r="E786" s="22" t="s">
        <v>149</v>
      </c>
      <c r="F786" s="22" t="s">
        <v>105</v>
      </c>
      <c r="G786" s="22" t="s">
        <v>2656</v>
      </c>
      <c r="H786" s="22" t="s">
        <v>10</v>
      </c>
      <c r="I786" s="22" t="s">
        <v>5511</v>
      </c>
      <c r="J786" s="22" t="s">
        <v>40</v>
      </c>
      <c r="K786" s="22">
        <v>5.18126030405696e+18</v>
      </c>
      <c r="L786" s="22" t="s">
        <v>2659</v>
      </c>
      <c r="M786" s="25"/>
    </row>
    <row r="787" customHeight="1" spans="1:13">
      <c r="A787" s="21">
        <v>46174</v>
      </c>
      <c r="B787" s="22" t="s">
        <v>5487</v>
      </c>
      <c r="C787" s="23">
        <v>46181</v>
      </c>
      <c r="D787" s="24">
        <v>10</v>
      </c>
      <c r="E787" s="22" t="s">
        <v>149</v>
      </c>
      <c r="F787" s="22" t="s">
        <v>105</v>
      </c>
      <c r="G787" s="22" t="s">
        <v>2660</v>
      </c>
      <c r="H787" s="22" t="s">
        <v>10</v>
      </c>
      <c r="I787" s="22" t="s">
        <v>5511</v>
      </c>
      <c r="J787" s="22" t="s">
        <v>40</v>
      </c>
      <c r="K787" s="22">
        <v>5.18126030405696e+18</v>
      </c>
      <c r="L787" s="22" t="s">
        <v>2659</v>
      </c>
      <c r="M787" s="25"/>
    </row>
    <row r="788" customHeight="1" spans="1:13">
      <c r="A788" s="21">
        <v>46174</v>
      </c>
      <c r="B788" s="22" t="s">
        <v>5487</v>
      </c>
      <c r="C788" s="23">
        <v>46182</v>
      </c>
      <c r="D788" s="24">
        <v>50</v>
      </c>
      <c r="E788" s="22" t="s">
        <v>173</v>
      </c>
      <c r="F788" s="22" t="s">
        <v>105</v>
      </c>
      <c r="G788" s="22" t="s">
        <v>2665</v>
      </c>
      <c r="H788" s="22" t="s">
        <v>10</v>
      </c>
      <c r="I788" s="22" t="s">
        <v>5511</v>
      </c>
      <c r="J788" s="22" t="s">
        <v>39</v>
      </c>
      <c r="K788" s="22">
        <v>5.1812311030011e+18</v>
      </c>
      <c r="L788" s="22" t="s">
        <v>2668</v>
      </c>
      <c r="M788" s="25"/>
    </row>
    <row r="789" customHeight="1" spans="1:13">
      <c r="A789" s="21">
        <v>46174</v>
      </c>
      <c r="B789" s="22" t="s">
        <v>5487</v>
      </c>
      <c r="C789" s="23">
        <v>46183</v>
      </c>
      <c r="D789" s="27">
        <v>42908574</v>
      </c>
      <c r="E789" s="22" t="s">
        <v>1172</v>
      </c>
      <c r="F789" s="22" t="s">
        <v>7</v>
      </c>
      <c r="G789" s="22" t="s">
        <v>2671</v>
      </c>
      <c r="H789" s="22" t="s">
        <v>10</v>
      </c>
      <c r="I789" s="22" t="s">
        <v>5511</v>
      </c>
      <c r="J789" s="22" t="s">
        <v>44</v>
      </c>
      <c r="K789" s="22">
        <v>5.18125072404523e+18</v>
      </c>
      <c r="L789" s="22" t="s">
        <v>2674</v>
      </c>
      <c r="M789" s="25"/>
    </row>
    <row r="790" customHeight="1" spans="1:13">
      <c r="A790" s="21">
        <v>46174</v>
      </c>
      <c r="B790" s="22" t="s">
        <v>5487</v>
      </c>
      <c r="C790" s="23">
        <v>46183</v>
      </c>
      <c r="D790" s="28">
        <v>36735</v>
      </c>
      <c r="E790" s="22" t="s">
        <v>173</v>
      </c>
      <c r="F790" s="22" t="s">
        <v>105</v>
      </c>
      <c r="G790" s="22" t="s">
        <v>5550</v>
      </c>
      <c r="H790" s="22" t="s">
        <v>11</v>
      </c>
      <c r="I790" s="22" t="s">
        <v>5511</v>
      </c>
      <c r="J790" s="22" t="s">
        <v>39</v>
      </c>
      <c r="K790" s="22">
        <v>5.18125072404523e+18</v>
      </c>
      <c r="L790" s="22" t="s">
        <v>2674</v>
      </c>
      <c r="M790" s="25"/>
    </row>
    <row r="791" customHeight="1" spans="1:13">
      <c r="A791" s="21">
        <v>46174</v>
      </c>
      <c r="B791" s="22" t="s">
        <v>5487</v>
      </c>
      <c r="C791" s="23">
        <v>46184</v>
      </c>
      <c r="D791" s="24">
        <v>39880</v>
      </c>
      <c r="E791" s="22" t="s">
        <v>173</v>
      </c>
      <c r="F791" s="22" t="s">
        <v>7</v>
      </c>
      <c r="G791" s="22" t="s">
        <v>2677</v>
      </c>
      <c r="H791" s="22" t="s">
        <v>11</v>
      </c>
      <c r="I791" s="22" t="s">
        <v>5511</v>
      </c>
      <c r="J791" s="22" t="s">
        <v>39</v>
      </c>
      <c r="K791" s="22">
        <v>5.18126060306947e+18</v>
      </c>
      <c r="L791" s="22" t="s">
        <v>2679</v>
      </c>
      <c r="M791" s="25"/>
    </row>
    <row r="792" customHeight="1" spans="1:13">
      <c r="A792" s="21">
        <v>46174</v>
      </c>
      <c r="B792" s="22" t="s">
        <v>5487</v>
      </c>
      <c r="C792" s="23">
        <v>46184</v>
      </c>
      <c r="D792" s="24">
        <v>0.01</v>
      </c>
      <c r="E792" s="22" t="s">
        <v>139</v>
      </c>
      <c r="F792" s="22" t="s">
        <v>105</v>
      </c>
      <c r="G792" s="22" t="s">
        <v>2681</v>
      </c>
      <c r="H792" s="22" t="s">
        <v>10</v>
      </c>
      <c r="I792" s="22" t="s">
        <v>5511</v>
      </c>
      <c r="J792" s="22" t="s">
        <v>40</v>
      </c>
      <c r="K792" s="22">
        <v>5.18126060306947e+18</v>
      </c>
      <c r="L792" s="22" t="s">
        <v>2679</v>
      </c>
      <c r="M792" s="25"/>
    </row>
    <row r="793" customHeight="1" spans="1:13">
      <c r="A793" s="21">
        <v>46174</v>
      </c>
      <c r="B793" s="22" t="s">
        <v>5487</v>
      </c>
      <c r="C793" s="23">
        <v>46183</v>
      </c>
      <c r="D793" s="27">
        <v>17256.64</v>
      </c>
      <c r="E793" s="22" t="s">
        <v>2687</v>
      </c>
      <c r="F793" s="22" t="s">
        <v>7</v>
      </c>
      <c r="G793" s="22" t="s">
        <v>2685</v>
      </c>
      <c r="H793" s="22" t="s">
        <v>10</v>
      </c>
      <c r="I793" s="22" t="s">
        <v>5511</v>
      </c>
      <c r="J793" s="22" t="s">
        <v>54</v>
      </c>
      <c r="K793" s="22">
        <v>5.18125072404523e+18</v>
      </c>
      <c r="L793" s="22" t="s">
        <v>2674</v>
      </c>
      <c r="M793" s="25"/>
    </row>
    <row r="794" customHeight="1" spans="1:13">
      <c r="A794" s="21">
        <v>46174</v>
      </c>
      <c r="B794" s="22" t="s">
        <v>5487</v>
      </c>
      <c r="C794" s="23">
        <v>46185</v>
      </c>
      <c r="D794" s="24">
        <v>610</v>
      </c>
      <c r="E794" s="22" t="s">
        <v>173</v>
      </c>
      <c r="F794" s="22" t="s">
        <v>7</v>
      </c>
      <c r="G794" s="22" t="s">
        <v>2688</v>
      </c>
      <c r="H794" s="22" t="s">
        <v>11</v>
      </c>
      <c r="I794" s="22" t="s">
        <v>5511</v>
      </c>
      <c r="J794" s="22" t="s">
        <v>39</v>
      </c>
      <c r="K794" s="22">
        <v>5.18126031705803e+18</v>
      </c>
      <c r="L794" s="22" t="s">
        <v>2692</v>
      </c>
      <c r="M794" s="25"/>
    </row>
    <row r="795" customHeight="1" spans="1:13">
      <c r="A795" s="21">
        <v>46174</v>
      </c>
      <c r="B795" s="22" t="s">
        <v>5487</v>
      </c>
      <c r="C795" s="23">
        <v>46185</v>
      </c>
      <c r="D795" s="27">
        <v>214961.42</v>
      </c>
      <c r="E795" s="22" t="s">
        <v>1062</v>
      </c>
      <c r="F795" s="22" t="s">
        <v>7</v>
      </c>
      <c r="G795" s="22" t="s">
        <v>2693</v>
      </c>
      <c r="H795" s="22" t="s">
        <v>10</v>
      </c>
      <c r="I795" s="22" t="s">
        <v>5511</v>
      </c>
      <c r="J795" s="22" t="s">
        <v>46</v>
      </c>
      <c r="K795" s="22">
        <v>5.18126031705803e+18</v>
      </c>
      <c r="L795" s="22" t="s">
        <v>2692</v>
      </c>
      <c r="M795" s="25"/>
    </row>
    <row r="796" customHeight="1" spans="1:13">
      <c r="A796" s="21">
        <v>46174</v>
      </c>
      <c r="B796" s="22" t="s">
        <v>5487</v>
      </c>
      <c r="C796" s="23">
        <v>46185</v>
      </c>
      <c r="D796" s="27">
        <v>124000</v>
      </c>
      <c r="E796" s="22" t="s">
        <v>173</v>
      </c>
      <c r="F796" s="22" t="s">
        <v>7</v>
      </c>
      <c r="G796" s="22" t="s">
        <v>2698</v>
      </c>
      <c r="H796" s="22" t="s">
        <v>12</v>
      </c>
      <c r="I796" s="22" t="s">
        <v>5511</v>
      </c>
      <c r="J796" s="22" t="s">
        <v>39</v>
      </c>
      <c r="K796" s="22">
        <v>5.18126031705803e+18</v>
      </c>
      <c r="L796" s="22" t="s">
        <v>2692</v>
      </c>
      <c r="M796" s="25"/>
    </row>
    <row r="797" customHeight="1" spans="1:13">
      <c r="A797" s="21">
        <v>46174</v>
      </c>
      <c r="B797" s="22" t="s">
        <v>5487</v>
      </c>
      <c r="C797" s="23">
        <v>46188</v>
      </c>
      <c r="D797" s="24">
        <v>0.1</v>
      </c>
      <c r="E797" s="22" t="s">
        <v>173</v>
      </c>
      <c r="F797" s="22" t="s">
        <v>7</v>
      </c>
      <c r="G797" s="22" t="s">
        <v>5551</v>
      </c>
      <c r="H797" s="22" t="s">
        <v>10</v>
      </c>
      <c r="I797" s="22" t="s">
        <v>5511</v>
      </c>
      <c r="J797" s="22" t="s">
        <v>53</v>
      </c>
      <c r="K797" s="22">
        <v>5.18126060907107e+18</v>
      </c>
      <c r="L797" s="22" t="s">
        <v>2705</v>
      </c>
      <c r="M797" s="25"/>
    </row>
    <row r="798" customHeight="1" spans="1:13">
      <c r="A798" s="21">
        <v>46174</v>
      </c>
      <c r="B798" s="22" t="s">
        <v>5487</v>
      </c>
      <c r="C798" s="23">
        <v>46185</v>
      </c>
      <c r="D798" s="27">
        <v>1390490</v>
      </c>
      <c r="E798" s="22" t="s">
        <v>173</v>
      </c>
      <c r="F798" s="22" t="s">
        <v>7</v>
      </c>
      <c r="G798" s="22" t="s">
        <v>2708</v>
      </c>
      <c r="H798" s="22" t="s">
        <v>10</v>
      </c>
      <c r="I798" s="22" t="s">
        <v>5511</v>
      </c>
      <c r="J798" s="22" t="s">
        <v>51</v>
      </c>
      <c r="K798" s="22">
        <v>5.18126031705803e+18</v>
      </c>
      <c r="L798" s="22" t="s">
        <v>2692</v>
      </c>
      <c r="M798" s="25"/>
    </row>
    <row r="799" customHeight="1" spans="1:13">
      <c r="A799" s="21">
        <v>46174</v>
      </c>
      <c r="B799" s="22" t="s">
        <v>5487</v>
      </c>
      <c r="C799" s="23">
        <v>46188</v>
      </c>
      <c r="D799" s="27">
        <v>89212.88</v>
      </c>
      <c r="E799" s="22" t="s">
        <v>173</v>
      </c>
      <c r="F799" s="22" t="s">
        <v>105</v>
      </c>
      <c r="G799" s="22" t="s">
        <v>2711</v>
      </c>
      <c r="H799" s="22" t="s">
        <v>11</v>
      </c>
      <c r="I799" s="22" t="s">
        <v>5511</v>
      </c>
      <c r="J799" s="22" t="s">
        <v>39</v>
      </c>
      <c r="K799" s="22">
        <v>5.18126060907107e+18</v>
      </c>
      <c r="L799" s="22" t="s">
        <v>2705</v>
      </c>
      <c r="M799" s="25"/>
    </row>
    <row r="800" customHeight="1" spans="1:13">
      <c r="A800" s="21">
        <v>46174</v>
      </c>
      <c r="B800" s="22" t="s">
        <v>5487</v>
      </c>
      <c r="C800" s="23">
        <v>46188</v>
      </c>
      <c r="D800" s="27">
        <v>19055</v>
      </c>
      <c r="E800" s="22" t="s">
        <v>173</v>
      </c>
      <c r="F800" s="22" t="s">
        <v>7</v>
      </c>
      <c r="G800" s="22" t="s">
        <v>2712</v>
      </c>
      <c r="H800" s="22" t="s">
        <v>11</v>
      </c>
      <c r="I800" s="22" t="s">
        <v>5511</v>
      </c>
      <c r="J800" s="22" t="s">
        <v>39</v>
      </c>
      <c r="K800" s="22">
        <v>5.18126060907107e+18</v>
      </c>
      <c r="L800" s="22" t="s">
        <v>2705</v>
      </c>
      <c r="M800" s="25"/>
    </row>
    <row r="801" customHeight="1" spans="1:13">
      <c r="A801" s="21">
        <v>46174</v>
      </c>
      <c r="B801" s="22" t="s">
        <v>5487</v>
      </c>
      <c r="C801" s="23">
        <v>46188</v>
      </c>
      <c r="D801" s="27">
        <v>15711</v>
      </c>
      <c r="E801" s="22" t="s">
        <v>173</v>
      </c>
      <c r="F801" s="22" t="s">
        <v>7</v>
      </c>
      <c r="G801" s="22" t="s">
        <v>2714</v>
      </c>
      <c r="H801" s="22" t="s">
        <v>11</v>
      </c>
      <c r="I801" s="22" t="s">
        <v>5511</v>
      </c>
      <c r="J801" s="22" t="s">
        <v>39</v>
      </c>
      <c r="K801" s="22">
        <v>5.18126060907107e+18</v>
      </c>
      <c r="L801" s="22" t="s">
        <v>2705</v>
      </c>
      <c r="M801" s="25"/>
    </row>
    <row r="802" customHeight="1" spans="1:13">
      <c r="A802" s="21">
        <v>46174</v>
      </c>
      <c r="B802" s="22" t="s">
        <v>5487</v>
      </c>
      <c r="C802" s="23">
        <v>46188</v>
      </c>
      <c r="D802" s="27">
        <v>3800</v>
      </c>
      <c r="E802" s="22" t="s">
        <v>173</v>
      </c>
      <c r="F802" s="22" t="s">
        <v>7</v>
      </c>
      <c r="G802" s="22" t="s">
        <v>2718</v>
      </c>
      <c r="H802" s="22" t="s">
        <v>11</v>
      </c>
      <c r="I802" s="22" t="s">
        <v>5511</v>
      </c>
      <c r="J802" s="22" t="s">
        <v>39</v>
      </c>
      <c r="K802" s="22">
        <v>5.18126060907107e+18</v>
      </c>
      <c r="L802" s="22" t="s">
        <v>2705</v>
      </c>
      <c r="M802" s="25"/>
    </row>
    <row r="803" customHeight="1" spans="1:13">
      <c r="A803" s="21">
        <v>46174</v>
      </c>
      <c r="B803" s="22" t="s">
        <v>5489</v>
      </c>
      <c r="C803" s="23">
        <v>46189</v>
      </c>
      <c r="D803" s="27">
        <v>124900</v>
      </c>
      <c r="E803" s="22" t="s">
        <v>173</v>
      </c>
      <c r="F803" s="22" t="s">
        <v>7</v>
      </c>
      <c r="G803" s="22" t="s">
        <v>2721</v>
      </c>
      <c r="H803" s="22" t="s">
        <v>11</v>
      </c>
      <c r="I803" s="22" t="s">
        <v>5511</v>
      </c>
      <c r="J803" s="22" t="s">
        <v>48</v>
      </c>
      <c r="K803" s="22">
        <v>5.18126060306947e+18</v>
      </c>
      <c r="L803" s="22" t="s">
        <v>2679</v>
      </c>
      <c r="M803" s="25"/>
    </row>
    <row r="804" customHeight="1" spans="1:13">
      <c r="A804" s="21">
        <v>46174</v>
      </c>
      <c r="B804" s="22" t="s">
        <v>5489</v>
      </c>
      <c r="C804" s="23">
        <v>46190</v>
      </c>
      <c r="D804" s="27">
        <v>19870</v>
      </c>
      <c r="E804" s="22" t="s">
        <v>173</v>
      </c>
      <c r="F804" s="22" t="s">
        <v>7</v>
      </c>
      <c r="G804" s="22" t="s">
        <v>5552</v>
      </c>
      <c r="H804" s="22" t="s">
        <v>11</v>
      </c>
      <c r="I804" s="22" t="s">
        <v>5511</v>
      </c>
      <c r="J804" s="22" t="s">
        <v>39</v>
      </c>
      <c r="K804" s="22">
        <v>5.18126060306947e+18</v>
      </c>
      <c r="L804" s="22" t="s">
        <v>2679</v>
      </c>
      <c r="M804" s="25"/>
    </row>
    <row r="805" customHeight="1" spans="1:13">
      <c r="A805" s="21">
        <v>46174</v>
      </c>
      <c r="B805" s="22" t="s">
        <v>5489</v>
      </c>
      <c r="C805" s="23">
        <v>46191</v>
      </c>
      <c r="D805" s="27">
        <v>154615.12</v>
      </c>
      <c r="E805" s="22" t="s">
        <v>173</v>
      </c>
      <c r="F805" s="22" t="s">
        <v>7</v>
      </c>
      <c r="G805" s="22" t="s">
        <v>2729</v>
      </c>
      <c r="H805" s="22" t="s">
        <v>11</v>
      </c>
      <c r="I805" s="22" t="s">
        <v>5511</v>
      </c>
      <c r="J805" s="22" t="s">
        <v>48</v>
      </c>
      <c r="K805" s="22">
        <v>5.18126052506713e+18</v>
      </c>
      <c r="L805" s="22" t="s">
        <v>2732</v>
      </c>
      <c r="M805" s="25"/>
    </row>
    <row r="806" customHeight="1" spans="1:13">
      <c r="A806" s="21">
        <v>46174</v>
      </c>
      <c r="B806" s="22" t="s">
        <v>5489</v>
      </c>
      <c r="C806" s="23">
        <v>46191</v>
      </c>
      <c r="D806" s="27">
        <v>59140.1</v>
      </c>
      <c r="E806" s="22" t="s">
        <v>173</v>
      </c>
      <c r="F806" s="22" t="s">
        <v>7</v>
      </c>
      <c r="G806" s="22" t="s">
        <v>2735</v>
      </c>
      <c r="H806" s="22" t="s">
        <v>12</v>
      </c>
      <c r="I806" s="22" t="s">
        <v>5511</v>
      </c>
      <c r="J806" s="22" t="s">
        <v>48</v>
      </c>
      <c r="K806" s="22">
        <v>5.18126052506713e+18</v>
      </c>
      <c r="L806" s="22" t="s">
        <v>2732</v>
      </c>
      <c r="M806" s="25"/>
    </row>
    <row r="807" customHeight="1" spans="1:13">
      <c r="A807" s="21">
        <v>46174</v>
      </c>
      <c r="B807" s="22" t="s">
        <v>5489</v>
      </c>
      <c r="C807" s="23">
        <v>46195</v>
      </c>
      <c r="D807" s="27">
        <v>3803833900</v>
      </c>
      <c r="E807" s="22" t="s">
        <v>1037</v>
      </c>
      <c r="F807" s="22" t="s">
        <v>7</v>
      </c>
      <c r="G807" s="22" t="s">
        <v>2738</v>
      </c>
      <c r="H807" s="22" t="s">
        <v>12</v>
      </c>
      <c r="I807" s="22" t="s">
        <v>5511</v>
      </c>
      <c r="J807" s="22" t="s">
        <v>2168</v>
      </c>
      <c r="K807" s="22">
        <v>5.1812603250587e+18</v>
      </c>
      <c r="L807" s="22" t="s">
        <v>2448</v>
      </c>
      <c r="M807" s="25"/>
    </row>
    <row r="808" customHeight="1" spans="1:13">
      <c r="A808" s="21">
        <v>46174</v>
      </c>
      <c r="B808" s="22" t="s">
        <v>5489</v>
      </c>
      <c r="C808" s="23">
        <v>46195</v>
      </c>
      <c r="D808" s="27">
        <v>99880</v>
      </c>
      <c r="E808" s="22" t="s">
        <v>173</v>
      </c>
      <c r="F808" s="22" t="s">
        <v>105</v>
      </c>
      <c r="G808" s="22" t="s">
        <v>2741</v>
      </c>
      <c r="H808" s="22" t="s">
        <v>11</v>
      </c>
      <c r="I808" s="22" t="s">
        <v>5511</v>
      </c>
      <c r="J808" s="22" t="s">
        <v>39</v>
      </c>
      <c r="K808" s="22">
        <v>5.1812603250587e+18</v>
      </c>
      <c r="L808" s="22" t="s">
        <v>2448</v>
      </c>
      <c r="M808" s="25"/>
    </row>
    <row r="809" customHeight="1" spans="1:13">
      <c r="A809" s="21">
        <v>46174</v>
      </c>
      <c r="B809" s="22" t="s">
        <v>5489</v>
      </c>
      <c r="C809" s="23">
        <v>46196</v>
      </c>
      <c r="D809" s="27">
        <v>6700000</v>
      </c>
      <c r="E809" s="22" t="s">
        <v>1367</v>
      </c>
      <c r="F809" s="22" t="s">
        <v>7</v>
      </c>
      <c r="G809" s="22" t="s">
        <v>2744</v>
      </c>
      <c r="H809" s="22" t="s">
        <v>12</v>
      </c>
      <c r="I809" s="22" t="s">
        <v>5511</v>
      </c>
      <c r="J809" s="22" t="s">
        <v>44</v>
      </c>
      <c r="K809" s="22">
        <v>5.18126022605664e+18</v>
      </c>
      <c r="L809" s="22" t="s">
        <v>2627</v>
      </c>
      <c r="M809" s="25"/>
    </row>
    <row r="810" customHeight="1" spans="1:13">
      <c r="A810" s="21">
        <v>46174</v>
      </c>
      <c r="B810" s="22" t="s">
        <v>5489</v>
      </c>
      <c r="C810" s="23">
        <v>46199</v>
      </c>
      <c r="D810" s="27">
        <v>3865</v>
      </c>
      <c r="E810" s="22" t="s">
        <v>173</v>
      </c>
      <c r="F810" s="22" t="s">
        <v>7</v>
      </c>
      <c r="G810" s="22" t="s">
        <v>2748</v>
      </c>
      <c r="H810" s="22" t="s">
        <v>11</v>
      </c>
      <c r="I810" s="22" t="s">
        <v>5511</v>
      </c>
      <c r="J810" s="22" t="s">
        <v>48</v>
      </c>
      <c r="K810" s="22">
        <v>5.18126060306947e+18</v>
      </c>
      <c r="L810" s="22" t="s">
        <v>2679</v>
      </c>
      <c r="M810" s="25"/>
    </row>
    <row r="811" customHeight="1" spans="1:13">
      <c r="A811" s="21">
        <v>46174</v>
      </c>
      <c r="B811" s="22" t="s">
        <v>5489</v>
      </c>
      <c r="C811" s="23">
        <v>46199</v>
      </c>
      <c r="D811" s="24">
        <v>155.76</v>
      </c>
      <c r="E811" s="22" t="s">
        <v>173</v>
      </c>
      <c r="F811" s="22" t="s">
        <v>7</v>
      </c>
      <c r="G811" s="22" t="s">
        <v>2751</v>
      </c>
      <c r="H811" s="22" t="s">
        <v>11</v>
      </c>
      <c r="I811" s="22" t="s">
        <v>5511</v>
      </c>
      <c r="J811" s="22" t="s">
        <v>39</v>
      </c>
      <c r="K811" s="22">
        <v>5.18126060306947e+18</v>
      </c>
      <c r="L811" s="22" t="s">
        <v>2679</v>
      </c>
      <c r="M811" s="25"/>
    </row>
    <row r="812" customHeight="1" spans="1:13">
      <c r="A812" s="21">
        <v>46174</v>
      </c>
      <c r="B812" s="22" t="s">
        <v>5489</v>
      </c>
      <c r="C812" s="23">
        <v>46203</v>
      </c>
      <c r="D812" s="27">
        <v>18608.51</v>
      </c>
      <c r="E812" s="22" t="s">
        <v>173</v>
      </c>
      <c r="F812" s="22" t="s">
        <v>7</v>
      </c>
      <c r="G812" s="22" t="s">
        <v>2756</v>
      </c>
      <c r="H812" s="22" t="s">
        <v>11</v>
      </c>
      <c r="I812" s="22" t="s">
        <v>5511</v>
      </c>
      <c r="J812" s="22" t="s">
        <v>39</v>
      </c>
      <c r="K812" s="22">
        <v>5.18126041106025e+18</v>
      </c>
      <c r="L812" s="22" t="s">
        <v>2759</v>
      </c>
      <c r="M812" s="25"/>
    </row>
    <row r="813" customHeight="1" spans="1:13">
      <c r="A813" s="21">
        <v>46204</v>
      </c>
      <c r="B813" s="22" t="s">
        <v>5491</v>
      </c>
      <c r="C813" s="23">
        <v>46204</v>
      </c>
      <c r="D813" s="24">
        <v>194</v>
      </c>
      <c r="E813" s="22" t="s">
        <v>139</v>
      </c>
      <c r="F813" s="22" t="s">
        <v>105</v>
      </c>
      <c r="G813" s="22" t="s">
        <v>2760</v>
      </c>
      <c r="H813" s="22" t="s">
        <v>10</v>
      </c>
      <c r="I813" s="22" t="s">
        <v>5511</v>
      </c>
      <c r="J813" s="22" t="s">
        <v>40</v>
      </c>
      <c r="K813" s="22">
        <v>5.18126031405785e+18</v>
      </c>
      <c r="L813" s="22" t="s">
        <v>2369</v>
      </c>
      <c r="M813" s="25"/>
    </row>
    <row r="814" customHeight="1" spans="1:13">
      <c r="A814" s="21">
        <v>46204</v>
      </c>
      <c r="B814" s="22" t="s">
        <v>5491</v>
      </c>
      <c r="C814" s="23">
        <v>46205</v>
      </c>
      <c r="D814" s="27">
        <v>97880</v>
      </c>
      <c r="E814" s="22" t="s">
        <v>173</v>
      </c>
      <c r="F814" s="22" t="s">
        <v>7</v>
      </c>
      <c r="G814" s="22" t="s">
        <v>2763</v>
      </c>
      <c r="H814" s="22" t="s">
        <v>11</v>
      </c>
      <c r="I814" s="22" t="s">
        <v>5511</v>
      </c>
      <c r="J814" s="22" t="s">
        <v>39</v>
      </c>
      <c r="K814" s="22">
        <v>5.18126060306947e+18</v>
      </c>
      <c r="L814" s="22" t="s">
        <v>2679</v>
      </c>
      <c r="M814" s="25"/>
    </row>
    <row r="815" customHeight="1" spans="1:13">
      <c r="A815" s="21">
        <v>46204</v>
      </c>
      <c r="B815" s="22" t="s">
        <v>5491</v>
      </c>
      <c r="C815" s="23">
        <v>46206</v>
      </c>
      <c r="D815" s="27">
        <v>150000</v>
      </c>
      <c r="E815" s="22" t="s">
        <v>1466</v>
      </c>
      <c r="F815" s="22" t="s">
        <v>7</v>
      </c>
      <c r="G815" s="22" t="s">
        <v>5553</v>
      </c>
      <c r="H815" s="22" t="s">
        <v>12</v>
      </c>
      <c r="I815" s="22" t="s">
        <v>5511</v>
      </c>
      <c r="J815" s="22" t="s">
        <v>44</v>
      </c>
      <c r="K815" s="22">
        <v>5.1812501200374e+18</v>
      </c>
      <c r="L815" s="22" t="s">
        <v>1610</v>
      </c>
      <c r="M815" s="25"/>
    </row>
    <row r="816" customHeight="1" spans="1:13">
      <c r="A816" s="21">
        <v>45658</v>
      </c>
      <c r="B816" s="22" t="s">
        <v>5477</v>
      </c>
      <c r="C816" s="23">
        <v>45673</v>
      </c>
      <c r="D816" s="22" t="s">
        <v>2232</v>
      </c>
      <c r="E816" s="22" t="s">
        <v>2232</v>
      </c>
      <c r="F816" s="22" t="s">
        <v>7</v>
      </c>
      <c r="G816" s="22" t="s">
        <v>2768</v>
      </c>
      <c r="H816" s="22" t="s">
        <v>10</v>
      </c>
      <c r="I816" s="22" t="s">
        <v>5554</v>
      </c>
      <c r="J816" s="22" t="s">
        <v>42</v>
      </c>
      <c r="K816" s="22" t="s">
        <v>2232</v>
      </c>
      <c r="L816" s="22" t="s">
        <v>2232</v>
      </c>
      <c r="M816" s="25"/>
    </row>
    <row r="817" customHeight="1" spans="1:13">
      <c r="A817" s="21">
        <v>45658</v>
      </c>
      <c r="B817" s="22" t="s">
        <v>5477</v>
      </c>
      <c r="C817" s="23">
        <v>45673</v>
      </c>
      <c r="D817" s="22" t="s">
        <v>2232</v>
      </c>
      <c r="E817" s="22" t="s">
        <v>2232</v>
      </c>
      <c r="F817" s="22" t="s">
        <v>7</v>
      </c>
      <c r="G817" s="22" t="s">
        <v>2770</v>
      </c>
      <c r="H817" s="22" t="s">
        <v>11</v>
      </c>
      <c r="I817" s="22" t="s">
        <v>5554</v>
      </c>
      <c r="J817" s="22" t="s">
        <v>40</v>
      </c>
      <c r="K817" s="22" t="s">
        <v>2232</v>
      </c>
      <c r="L817" s="22" t="s">
        <v>2232</v>
      </c>
      <c r="M817" s="25"/>
    </row>
    <row r="818" customHeight="1" spans="1:13">
      <c r="A818" s="21">
        <v>45689</v>
      </c>
      <c r="B818" s="22" t="s">
        <v>5478</v>
      </c>
      <c r="C818" s="23">
        <v>45698</v>
      </c>
      <c r="D818" s="24">
        <v>395000</v>
      </c>
      <c r="E818" s="22" t="s">
        <v>149</v>
      </c>
      <c r="F818" s="22" t="s">
        <v>7</v>
      </c>
      <c r="G818" s="22" t="s">
        <v>2774</v>
      </c>
      <c r="H818" s="22" t="s">
        <v>11</v>
      </c>
      <c r="I818" s="22" t="s">
        <v>5554</v>
      </c>
      <c r="J818" s="22" t="s">
        <v>40</v>
      </c>
      <c r="K818" s="22">
        <v>5.18124110203449e+18</v>
      </c>
      <c r="L818" s="22" t="s">
        <v>2776</v>
      </c>
      <c r="M818" s="25"/>
    </row>
    <row r="819" customHeight="1" spans="1:13">
      <c r="A819" s="21">
        <v>45658</v>
      </c>
      <c r="B819" s="22" t="s">
        <v>5477</v>
      </c>
      <c r="C819" s="23">
        <v>45681</v>
      </c>
      <c r="D819" s="22" t="s">
        <v>2232</v>
      </c>
      <c r="E819" s="22" t="s">
        <v>2232</v>
      </c>
      <c r="F819" s="22" t="s">
        <v>7</v>
      </c>
      <c r="G819" s="22" t="s">
        <v>2777</v>
      </c>
      <c r="H819" s="22" t="s">
        <v>12</v>
      </c>
      <c r="I819" s="22" t="s">
        <v>5554</v>
      </c>
      <c r="J819" s="22" t="s">
        <v>39</v>
      </c>
      <c r="K819" s="24">
        <v>0</v>
      </c>
      <c r="L819" s="26" t="e">
        <v>#N/A</v>
      </c>
      <c r="M819" s="25"/>
    </row>
    <row r="820" customHeight="1" spans="1:13">
      <c r="A820" s="21">
        <v>45689</v>
      </c>
      <c r="B820" s="22" t="s">
        <v>5479</v>
      </c>
      <c r="C820" s="23">
        <v>45708</v>
      </c>
      <c r="D820" s="22" t="s">
        <v>2232</v>
      </c>
      <c r="E820" s="22" t="s">
        <v>2232</v>
      </c>
      <c r="F820" s="22" t="s">
        <v>7</v>
      </c>
      <c r="G820" s="22" t="s">
        <v>2778</v>
      </c>
      <c r="H820" s="22" t="s">
        <v>11</v>
      </c>
      <c r="I820" s="22" t="s">
        <v>5554</v>
      </c>
      <c r="J820" s="22" t="s">
        <v>40</v>
      </c>
      <c r="K820" s="22">
        <v>5.18124122903695e+18</v>
      </c>
      <c r="L820" s="22" t="s">
        <v>2780</v>
      </c>
      <c r="M820" s="25"/>
    </row>
    <row r="821" customHeight="1" spans="1:13">
      <c r="A821" s="21">
        <v>45689</v>
      </c>
      <c r="B821" s="22" t="s">
        <v>5479</v>
      </c>
      <c r="C821" s="23">
        <v>45713</v>
      </c>
      <c r="D821" s="22" t="s">
        <v>2232</v>
      </c>
      <c r="E821" s="22" t="s">
        <v>2232</v>
      </c>
      <c r="F821" s="22" t="s">
        <v>7</v>
      </c>
      <c r="G821" s="22" t="s">
        <v>2782</v>
      </c>
      <c r="H821" s="22" t="s">
        <v>12</v>
      </c>
      <c r="I821" s="22" t="s">
        <v>5554</v>
      </c>
      <c r="J821" s="22" t="s">
        <v>39</v>
      </c>
      <c r="K821" s="22" t="s">
        <v>5555</v>
      </c>
      <c r="L821" s="24">
        <v>0</v>
      </c>
      <c r="M821" s="25"/>
    </row>
    <row r="822" customHeight="1" spans="1:13">
      <c r="A822" s="21">
        <v>45689</v>
      </c>
      <c r="B822" s="22" t="s">
        <v>5479</v>
      </c>
      <c r="C822" s="23">
        <v>45714</v>
      </c>
      <c r="D822" s="24">
        <v>62797.4</v>
      </c>
      <c r="E822" s="22" t="s">
        <v>149</v>
      </c>
      <c r="F822" s="22" t="s">
        <v>7</v>
      </c>
      <c r="G822" s="22" t="s">
        <v>2786</v>
      </c>
      <c r="H822" s="22" t="s">
        <v>11</v>
      </c>
      <c r="I822" s="22" t="s">
        <v>5554</v>
      </c>
      <c r="J822" s="22" t="s">
        <v>40</v>
      </c>
      <c r="K822" s="22">
        <v>5.18124123003696e+18</v>
      </c>
      <c r="L822" s="22" t="s">
        <v>200</v>
      </c>
      <c r="M822" s="25"/>
    </row>
    <row r="823" customHeight="1" spans="1:13">
      <c r="A823" s="21">
        <v>45717</v>
      </c>
      <c r="B823" s="22" t="s">
        <v>5480</v>
      </c>
      <c r="C823" s="23">
        <v>45721</v>
      </c>
      <c r="D823" s="24">
        <v>483243494</v>
      </c>
      <c r="E823" s="22" t="s">
        <v>1037</v>
      </c>
      <c r="F823" s="22" t="s">
        <v>7</v>
      </c>
      <c r="G823" s="22" t="s">
        <v>2788</v>
      </c>
      <c r="H823" s="22" t="s">
        <v>10</v>
      </c>
      <c r="I823" s="22" t="s">
        <v>5554</v>
      </c>
      <c r="J823" s="22" t="s">
        <v>41</v>
      </c>
      <c r="K823" s="22">
        <v>5.1812302070031e+18</v>
      </c>
      <c r="L823" s="22" t="s">
        <v>2790</v>
      </c>
      <c r="M823" s="25"/>
    </row>
    <row r="824" customHeight="1" spans="1:13">
      <c r="A824" s="21">
        <v>45717</v>
      </c>
      <c r="B824" s="22" t="s">
        <v>5480</v>
      </c>
      <c r="C824" s="23">
        <v>45727</v>
      </c>
      <c r="D824" s="28">
        <v>1127781268</v>
      </c>
      <c r="E824" s="22" t="s">
        <v>1037</v>
      </c>
      <c r="F824" s="22" t="s">
        <v>7</v>
      </c>
      <c r="G824" s="22" t="s">
        <v>2791</v>
      </c>
      <c r="H824" s="22" t="s">
        <v>12</v>
      </c>
      <c r="I824" s="22" t="s">
        <v>5554</v>
      </c>
      <c r="J824" s="22" t="s">
        <v>41</v>
      </c>
      <c r="K824" s="24">
        <v>0</v>
      </c>
      <c r="L824" s="26" t="e">
        <v>#N/A</v>
      </c>
      <c r="M824" s="25"/>
    </row>
    <row r="825" customHeight="1" spans="1:13">
      <c r="A825" s="21">
        <v>45717</v>
      </c>
      <c r="B825" s="22" t="s">
        <v>5481</v>
      </c>
      <c r="C825" s="23">
        <v>45737</v>
      </c>
      <c r="D825" s="24">
        <v>255126.4</v>
      </c>
      <c r="E825" s="22" t="s">
        <v>173</v>
      </c>
      <c r="F825" s="22" t="s">
        <v>7</v>
      </c>
      <c r="G825" s="22" t="s">
        <v>5556</v>
      </c>
      <c r="H825" s="22" t="s">
        <v>11</v>
      </c>
      <c r="I825" s="22" t="s">
        <v>5554</v>
      </c>
      <c r="J825" s="22" t="s">
        <v>39</v>
      </c>
      <c r="K825" s="22" t="s">
        <v>5557</v>
      </c>
      <c r="L825" s="22" t="s">
        <v>5558</v>
      </c>
      <c r="M825" s="25"/>
    </row>
    <row r="826" customHeight="1" spans="1:13">
      <c r="A826" s="21">
        <v>45717</v>
      </c>
      <c r="B826" s="22" t="s">
        <v>5481</v>
      </c>
      <c r="C826" s="23">
        <v>45740</v>
      </c>
      <c r="D826" s="24">
        <v>61142</v>
      </c>
      <c r="E826" s="22" t="s">
        <v>173</v>
      </c>
      <c r="F826" s="22" t="s">
        <v>7</v>
      </c>
      <c r="G826" s="22" t="s">
        <v>5559</v>
      </c>
      <c r="H826" s="22" t="s">
        <v>11</v>
      </c>
      <c r="I826" s="22" t="s">
        <v>5554</v>
      </c>
      <c r="J826" s="22" t="s">
        <v>39</v>
      </c>
      <c r="K826" s="22">
        <v>5.1812210250027e+18</v>
      </c>
      <c r="L826" s="22" t="s">
        <v>2799</v>
      </c>
      <c r="M826" s="25"/>
    </row>
    <row r="827" customHeight="1" spans="1:13">
      <c r="A827" s="21">
        <v>45717</v>
      </c>
      <c r="B827" s="22" t="s">
        <v>5481</v>
      </c>
      <c r="C827" s="23">
        <v>45741</v>
      </c>
      <c r="D827" s="24">
        <v>92417</v>
      </c>
      <c r="E827" s="22" t="s">
        <v>149</v>
      </c>
      <c r="F827" s="22" t="s">
        <v>7</v>
      </c>
      <c r="G827" s="22" t="s">
        <v>2800</v>
      </c>
      <c r="H827" s="22" t="s">
        <v>11</v>
      </c>
      <c r="I827" s="22" t="s">
        <v>5554</v>
      </c>
      <c r="J827" s="22" t="s">
        <v>40</v>
      </c>
      <c r="K827" s="22">
        <v>5.18124121603656e+18</v>
      </c>
      <c r="L827" s="22" t="s">
        <v>2802</v>
      </c>
      <c r="M827" s="25"/>
    </row>
    <row r="828" customHeight="1" spans="1:13">
      <c r="A828" s="21">
        <v>45717</v>
      </c>
      <c r="B828" s="22" t="s">
        <v>5481</v>
      </c>
      <c r="C828" s="23">
        <v>45743</v>
      </c>
      <c r="D828" s="24">
        <v>25000</v>
      </c>
      <c r="E828" s="22" t="s">
        <v>173</v>
      </c>
      <c r="F828" s="22" t="s">
        <v>7</v>
      </c>
      <c r="G828" s="22" t="s">
        <v>2803</v>
      </c>
      <c r="H828" s="22" t="s">
        <v>12</v>
      </c>
      <c r="I828" s="22" t="s">
        <v>5554</v>
      </c>
      <c r="J828" s="22" t="s">
        <v>39</v>
      </c>
      <c r="K828" s="22">
        <v>5.18123102500102e+18</v>
      </c>
      <c r="L828" s="22" t="s">
        <v>1160</v>
      </c>
      <c r="M828" s="25"/>
    </row>
    <row r="829" customHeight="1" spans="1:13">
      <c r="A829" s="21">
        <v>45717</v>
      </c>
      <c r="B829" s="22" t="s">
        <v>5481</v>
      </c>
      <c r="C829" s="23">
        <v>45743</v>
      </c>
      <c r="D829" s="24">
        <v>1346798900</v>
      </c>
      <c r="E829" s="22" t="s">
        <v>1037</v>
      </c>
      <c r="F829" s="22" t="s">
        <v>7</v>
      </c>
      <c r="G829" s="22" t="s">
        <v>2804</v>
      </c>
      <c r="H829" s="22" t="s">
        <v>11</v>
      </c>
      <c r="I829" s="22" t="s">
        <v>5554</v>
      </c>
      <c r="J829" s="22" t="s">
        <v>41</v>
      </c>
      <c r="K829" s="22">
        <v>5.18123102500102e+18</v>
      </c>
      <c r="L829" s="22" t="s">
        <v>1160</v>
      </c>
      <c r="M829" s="25"/>
    </row>
    <row r="830" customHeight="1" spans="1:13">
      <c r="A830" s="21">
        <v>45717</v>
      </c>
      <c r="B830" s="22" t="s">
        <v>5481</v>
      </c>
      <c r="C830" s="23">
        <v>45744</v>
      </c>
      <c r="D830" s="24">
        <v>561362250</v>
      </c>
      <c r="E830" s="22" t="s">
        <v>1037</v>
      </c>
      <c r="F830" s="22" t="s">
        <v>7</v>
      </c>
      <c r="G830" s="22" t="s">
        <v>2808</v>
      </c>
      <c r="H830" s="22" t="s">
        <v>11</v>
      </c>
      <c r="I830" s="22" t="s">
        <v>5554</v>
      </c>
      <c r="J830" s="22" t="s">
        <v>41</v>
      </c>
      <c r="K830" s="22">
        <v>5.18124080201921e+18</v>
      </c>
      <c r="L830" s="22" t="s">
        <v>2810</v>
      </c>
      <c r="M830" s="25"/>
    </row>
    <row r="831" customHeight="1" spans="1:13">
      <c r="A831" s="21">
        <v>45717</v>
      </c>
      <c r="B831" s="22" t="s">
        <v>5481</v>
      </c>
      <c r="C831" s="23">
        <v>45747</v>
      </c>
      <c r="D831" s="24">
        <v>160919.3</v>
      </c>
      <c r="E831" s="22" t="s">
        <v>149</v>
      </c>
      <c r="F831" s="22" t="s">
        <v>7</v>
      </c>
      <c r="G831" s="22" t="s">
        <v>2811</v>
      </c>
      <c r="H831" s="22" t="s">
        <v>11</v>
      </c>
      <c r="I831" s="22" t="s">
        <v>5554</v>
      </c>
      <c r="J831" s="22" t="s">
        <v>40</v>
      </c>
      <c r="K831" s="22">
        <v>5.18125021103766e+18</v>
      </c>
      <c r="L831" s="22" t="s">
        <v>2813</v>
      </c>
      <c r="M831" s="25"/>
    </row>
    <row r="832" customHeight="1" spans="1:13">
      <c r="A832" s="21">
        <v>45748</v>
      </c>
      <c r="B832" s="22" t="s">
        <v>5482</v>
      </c>
      <c r="C832" s="23">
        <v>45750</v>
      </c>
      <c r="D832" s="24">
        <v>450000000</v>
      </c>
      <c r="E832" s="22" t="s">
        <v>1037</v>
      </c>
      <c r="F832" s="22" t="s">
        <v>7</v>
      </c>
      <c r="G832" s="22" t="s">
        <v>2814</v>
      </c>
      <c r="H832" s="22" t="s">
        <v>11</v>
      </c>
      <c r="I832" s="22" t="s">
        <v>5554</v>
      </c>
      <c r="J832" s="22" t="s">
        <v>41</v>
      </c>
      <c r="K832" s="22">
        <v>5.18124062801196e+18</v>
      </c>
      <c r="L832" s="24">
        <v>0</v>
      </c>
      <c r="M832" s="25"/>
    </row>
    <row r="833" customHeight="1" spans="1:13">
      <c r="A833" s="21">
        <v>45717</v>
      </c>
      <c r="B833" s="22" t="s">
        <v>5481</v>
      </c>
      <c r="C833" s="23">
        <v>45744</v>
      </c>
      <c r="D833" s="24">
        <v>450000000</v>
      </c>
      <c r="E833" s="22" t="s">
        <v>1037</v>
      </c>
      <c r="F833" s="22" t="s">
        <v>7</v>
      </c>
      <c r="G833" s="22" t="s">
        <v>2816</v>
      </c>
      <c r="H833" s="22" t="s">
        <v>11</v>
      </c>
      <c r="I833" s="22" t="s">
        <v>5554</v>
      </c>
      <c r="J833" s="22" t="s">
        <v>41</v>
      </c>
      <c r="K833" s="22">
        <v>5.18124080201921e+18</v>
      </c>
      <c r="L833" s="22" t="s">
        <v>2810</v>
      </c>
      <c r="M833" s="25"/>
    </row>
    <row r="834" customHeight="1" spans="1:13">
      <c r="A834" s="21">
        <v>45748</v>
      </c>
      <c r="B834" s="22" t="s">
        <v>5482</v>
      </c>
      <c r="C834" s="23">
        <v>45750</v>
      </c>
      <c r="D834" s="24">
        <v>126590.17</v>
      </c>
      <c r="E834" s="22" t="s">
        <v>149</v>
      </c>
      <c r="F834" s="22" t="s">
        <v>7</v>
      </c>
      <c r="G834" s="22" t="s">
        <v>2819</v>
      </c>
      <c r="H834" s="22" t="s">
        <v>11</v>
      </c>
      <c r="I834" s="22" t="s">
        <v>5554</v>
      </c>
      <c r="J834" s="22" t="s">
        <v>40</v>
      </c>
      <c r="K834" s="22">
        <v>5.18124062801196e+18</v>
      </c>
      <c r="L834" s="24">
        <v>0</v>
      </c>
      <c r="M834" s="25"/>
    </row>
    <row r="835" customHeight="1" spans="1:13">
      <c r="A835" s="21">
        <v>45748</v>
      </c>
      <c r="B835" s="22" t="s">
        <v>5482</v>
      </c>
      <c r="C835" s="23">
        <v>45757</v>
      </c>
      <c r="D835" s="24">
        <v>550000000</v>
      </c>
      <c r="E835" s="22" t="s">
        <v>1037</v>
      </c>
      <c r="F835" s="22" t="s">
        <v>7</v>
      </c>
      <c r="G835" s="22" t="s">
        <v>2823</v>
      </c>
      <c r="H835" s="22" t="s">
        <v>10</v>
      </c>
      <c r="I835" s="22" t="s">
        <v>5554</v>
      </c>
      <c r="J835" s="22" t="s">
        <v>41</v>
      </c>
      <c r="K835" s="22">
        <v>5.18124061900933e+18</v>
      </c>
      <c r="L835" s="22" t="s">
        <v>2825</v>
      </c>
      <c r="M835" s="25"/>
    </row>
    <row r="836" customHeight="1" spans="1:13">
      <c r="A836" s="21">
        <v>45748</v>
      </c>
      <c r="B836" s="22" t="s">
        <v>5482</v>
      </c>
      <c r="C836" s="23">
        <v>45757</v>
      </c>
      <c r="D836" s="24">
        <v>18000</v>
      </c>
      <c r="E836" s="22" t="s">
        <v>173</v>
      </c>
      <c r="F836" s="22" t="s">
        <v>7</v>
      </c>
      <c r="G836" s="22" t="s">
        <v>5560</v>
      </c>
      <c r="H836" s="22" t="s">
        <v>11</v>
      </c>
      <c r="I836" s="22" t="s">
        <v>5554</v>
      </c>
      <c r="J836" s="22" t="s">
        <v>39</v>
      </c>
      <c r="K836" s="22">
        <v>5.18124061900933e+18</v>
      </c>
      <c r="L836" s="22" t="s">
        <v>2825</v>
      </c>
      <c r="M836" s="25"/>
    </row>
    <row r="837" customHeight="1" spans="1:13">
      <c r="A837" s="21">
        <v>45748</v>
      </c>
      <c r="B837" s="22" t="s">
        <v>5482</v>
      </c>
      <c r="C837" s="23">
        <v>45758</v>
      </c>
      <c r="D837" s="24">
        <v>2999999994</v>
      </c>
      <c r="E837" s="22" t="s">
        <v>1037</v>
      </c>
      <c r="F837" s="22" t="s">
        <v>7</v>
      </c>
      <c r="G837" s="22" t="s">
        <v>2830</v>
      </c>
      <c r="H837" s="22" t="s">
        <v>11</v>
      </c>
      <c r="I837" s="22" t="s">
        <v>5554</v>
      </c>
      <c r="J837" s="22" t="s">
        <v>41</v>
      </c>
      <c r="K837" s="22">
        <v>5.18123120100133e+18</v>
      </c>
      <c r="L837" s="22" t="s">
        <v>2832</v>
      </c>
      <c r="M837" s="25"/>
    </row>
    <row r="838" customHeight="1" spans="1:13">
      <c r="A838" s="21">
        <v>45748</v>
      </c>
      <c r="B838" s="22" t="s">
        <v>5482</v>
      </c>
      <c r="C838" s="23">
        <v>45758</v>
      </c>
      <c r="D838" s="24">
        <v>79870</v>
      </c>
      <c r="E838" s="22" t="s">
        <v>149</v>
      </c>
      <c r="F838" s="22" t="s">
        <v>7</v>
      </c>
      <c r="G838" s="22" t="s">
        <v>2833</v>
      </c>
      <c r="H838" s="22" t="s">
        <v>11</v>
      </c>
      <c r="I838" s="22" t="s">
        <v>5554</v>
      </c>
      <c r="J838" s="22" t="s">
        <v>40</v>
      </c>
      <c r="K838" s="22">
        <v>5.18123120100133e+18</v>
      </c>
      <c r="L838" s="22" t="s">
        <v>2832</v>
      </c>
      <c r="M838" s="25"/>
    </row>
    <row r="839" customHeight="1" spans="1:13">
      <c r="A839" s="21">
        <v>45748</v>
      </c>
      <c r="B839" s="22" t="s">
        <v>5483</v>
      </c>
      <c r="C839" s="23">
        <v>45764</v>
      </c>
      <c r="D839" s="24">
        <v>944999999</v>
      </c>
      <c r="E839" s="22" t="s">
        <v>1037</v>
      </c>
      <c r="F839" s="22" t="s">
        <v>7</v>
      </c>
      <c r="G839" s="22" t="s">
        <v>2838</v>
      </c>
      <c r="H839" s="22" t="s">
        <v>10</v>
      </c>
      <c r="I839" s="22" t="s">
        <v>5554</v>
      </c>
      <c r="J839" s="22" t="s">
        <v>41</v>
      </c>
      <c r="K839" s="22">
        <v>5.18124070201297e+18</v>
      </c>
      <c r="L839" s="22" t="s">
        <v>2840</v>
      </c>
      <c r="M839" s="25"/>
    </row>
    <row r="840" customHeight="1" spans="1:13">
      <c r="A840" s="21">
        <v>45748</v>
      </c>
      <c r="B840" s="22" t="s">
        <v>5483</v>
      </c>
      <c r="C840" s="23">
        <v>45765</v>
      </c>
      <c r="D840" s="24">
        <v>1340499993</v>
      </c>
      <c r="E840" s="22" t="s">
        <v>1037</v>
      </c>
      <c r="F840" s="22" t="s">
        <v>7</v>
      </c>
      <c r="G840" s="22" t="s">
        <v>2841</v>
      </c>
      <c r="H840" s="22" t="s">
        <v>10</v>
      </c>
      <c r="I840" s="22" t="s">
        <v>5554</v>
      </c>
      <c r="J840" s="22" t="s">
        <v>41</v>
      </c>
      <c r="K840" s="22">
        <v>5.18124051300337e+18</v>
      </c>
      <c r="L840" s="22" t="s">
        <v>804</v>
      </c>
      <c r="M840" s="25"/>
    </row>
    <row r="841" customHeight="1" spans="1:13">
      <c r="A841" s="21">
        <v>45748</v>
      </c>
      <c r="B841" s="22" t="s">
        <v>5483</v>
      </c>
      <c r="C841" s="23">
        <v>45770</v>
      </c>
      <c r="D841" s="24">
        <v>10087</v>
      </c>
      <c r="E841" s="22" t="s">
        <v>173</v>
      </c>
      <c r="F841" s="22" t="s">
        <v>7</v>
      </c>
      <c r="G841" s="22" t="s">
        <v>2843</v>
      </c>
      <c r="H841" s="22" t="s">
        <v>11</v>
      </c>
      <c r="I841" s="22" t="s">
        <v>5554</v>
      </c>
      <c r="J841" s="22" t="s">
        <v>39</v>
      </c>
      <c r="K841" s="22">
        <v>5.18124082202256e+18</v>
      </c>
      <c r="L841" s="22" t="s">
        <v>2845</v>
      </c>
      <c r="M841" s="25"/>
    </row>
    <row r="842" customHeight="1" spans="1:13">
      <c r="A842" s="21">
        <v>45778</v>
      </c>
      <c r="B842" s="22" t="s">
        <v>5484</v>
      </c>
      <c r="C842" s="23">
        <v>45784</v>
      </c>
      <c r="D842" s="24">
        <v>476729.35</v>
      </c>
      <c r="E842" s="22" t="s">
        <v>149</v>
      </c>
      <c r="F842" s="22" t="s">
        <v>7</v>
      </c>
      <c r="G842" s="22" t="s">
        <v>2846</v>
      </c>
      <c r="H842" s="22" t="s">
        <v>11</v>
      </c>
      <c r="I842" s="22" t="s">
        <v>5554</v>
      </c>
      <c r="J842" s="22" t="s">
        <v>39</v>
      </c>
      <c r="K842" s="22">
        <v>5.18125022103805e+18</v>
      </c>
      <c r="L842" s="22" t="s">
        <v>2848</v>
      </c>
      <c r="M842" s="25"/>
    </row>
    <row r="843" customHeight="1" spans="1:13">
      <c r="A843" s="21">
        <v>45778</v>
      </c>
      <c r="B843" s="22" t="s">
        <v>5484</v>
      </c>
      <c r="C843" s="23">
        <v>45788</v>
      </c>
      <c r="D843" s="24">
        <v>209540.8</v>
      </c>
      <c r="E843" s="22" t="s">
        <v>173</v>
      </c>
      <c r="F843" s="22" t="s">
        <v>7</v>
      </c>
      <c r="G843" s="22" t="s">
        <v>2852</v>
      </c>
      <c r="H843" s="22" t="s">
        <v>11</v>
      </c>
      <c r="I843" s="22" t="s">
        <v>5554</v>
      </c>
      <c r="J843" s="22" t="s">
        <v>39</v>
      </c>
      <c r="K843" s="22">
        <v>5.18124082202256e+18</v>
      </c>
      <c r="L843" s="22" t="s">
        <v>2845</v>
      </c>
      <c r="M843" s="25"/>
    </row>
    <row r="844" customHeight="1" spans="1:13">
      <c r="A844" s="21">
        <v>45778</v>
      </c>
      <c r="B844" s="22" t="s">
        <v>5484</v>
      </c>
      <c r="C844" s="23">
        <v>45792</v>
      </c>
      <c r="D844" s="24">
        <v>146997.7</v>
      </c>
      <c r="E844" s="22" t="s">
        <v>149</v>
      </c>
      <c r="F844" s="22" t="s">
        <v>7</v>
      </c>
      <c r="G844" s="22" t="s">
        <v>2853</v>
      </c>
      <c r="H844" s="22" t="s">
        <v>11</v>
      </c>
      <c r="I844" s="22" t="s">
        <v>5554</v>
      </c>
      <c r="J844" s="22" t="s">
        <v>40</v>
      </c>
      <c r="K844" s="22">
        <v>5.18124111603548e+18</v>
      </c>
      <c r="L844" s="22" t="s">
        <v>1284</v>
      </c>
      <c r="M844" s="25"/>
    </row>
    <row r="845" customHeight="1" spans="1:13">
      <c r="A845" s="21">
        <v>45778</v>
      </c>
      <c r="B845" s="22" t="s">
        <v>5484</v>
      </c>
      <c r="C845" s="23">
        <v>45792</v>
      </c>
      <c r="D845" s="24">
        <v>172250</v>
      </c>
      <c r="E845" s="22" t="s">
        <v>149</v>
      </c>
      <c r="F845" s="22" t="s">
        <v>7</v>
      </c>
      <c r="G845" s="22" t="s">
        <v>2854</v>
      </c>
      <c r="H845" s="22" t="s">
        <v>11</v>
      </c>
      <c r="I845" s="22" t="s">
        <v>5554</v>
      </c>
      <c r="J845" s="22" t="s">
        <v>40</v>
      </c>
      <c r="K845" s="22">
        <v>5.18124111603548e+18</v>
      </c>
      <c r="L845" s="22" t="s">
        <v>1284</v>
      </c>
      <c r="M845" s="25"/>
    </row>
    <row r="846" customHeight="1" spans="1:13">
      <c r="A846" s="21">
        <v>45778</v>
      </c>
      <c r="B846" s="22" t="s">
        <v>5485</v>
      </c>
      <c r="C846" s="23">
        <v>45797</v>
      </c>
      <c r="D846" s="24">
        <v>22500</v>
      </c>
      <c r="E846" s="22" t="s">
        <v>173</v>
      </c>
      <c r="F846" s="22" t="s">
        <v>7</v>
      </c>
      <c r="G846" s="22" t="s">
        <v>2857</v>
      </c>
      <c r="H846" s="22" t="s">
        <v>12</v>
      </c>
      <c r="I846" s="22" t="s">
        <v>5554</v>
      </c>
      <c r="J846" s="22" t="s">
        <v>39</v>
      </c>
      <c r="K846" s="22">
        <v>5.18125041804057e+18</v>
      </c>
      <c r="L846" s="22" t="s">
        <v>2859</v>
      </c>
      <c r="M846" s="25"/>
    </row>
    <row r="847" customHeight="1" spans="1:13">
      <c r="A847" s="21">
        <v>45778</v>
      </c>
      <c r="B847" s="22" t="s">
        <v>5485</v>
      </c>
      <c r="C847" s="23">
        <v>45800</v>
      </c>
      <c r="D847" s="24">
        <v>964360.45</v>
      </c>
      <c r="E847" s="22" t="s">
        <v>173</v>
      </c>
      <c r="F847" s="22" t="s">
        <v>7</v>
      </c>
      <c r="G847" s="22" t="s">
        <v>5561</v>
      </c>
      <c r="H847" s="22" t="s">
        <v>12</v>
      </c>
      <c r="I847" s="22" t="s">
        <v>5554</v>
      </c>
      <c r="J847" s="22" t="s">
        <v>39</v>
      </c>
      <c r="K847" s="22">
        <v>5.18125041804057e+18</v>
      </c>
      <c r="L847" s="22" t="s">
        <v>2859</v>
      </c>
      <c r="M847" s="25"/>
    </row>
    <row r="848" customHeight="1" spans="1:13">
      <c r="A848" s="21">
        <v>45778</v>
      </c>
      <c r="B848" s="22" t="s">
        <v>5485</v>
      </c>
      <c r="C848" s="23">
        <v>45799</v>
      </c>
      <c r="D848" s="24">
        <v>296351</v>
      </c>
      <c r="E848" s="22" t="s">
        <v>149</v>
      </c>
      <c r="F848" s="22" t="s">
        <v>7</v>
      </c>
      <c r="G848" s="22" t="s">
        <v>2861</v>
      </c>
      <c r="H848" s="22" t="s">
        <v>11</v>
      </c>
      <c r="I848" s="22" t="s">
        <v>5554</v>
      </c>
      <c r="J848" s="22" t="s">
        <v>40</v>
      </c>
      <c r="K848" s="22">
        <v>5.18124110203449e+18</v>
      </c>
      <c r="L848" s="22" t="s">
        <v>2863</v>
      </c>
      <c r="M848" s="25"/>
    </row>
    <row r="849" customHeight="1" spans="1:13">
      <c r="A849" s="21">
        <v>45778</v>
      </c>
      <c r="B849" s="22" t="s">
        <v>5485</v>
      </c>
      <c r="C849" s="23">
        <v>45800</v>
      </c>
      <c r="D849" s="24">
        <v>97788.26</v>
      </c>
      <c r="E849" s="22" t="s">
        <v>149</v>
      </c>
      <c r="F849" s="22" t="s">
        <v>7</v>
      </c>
      <c r="G849" s="22" t="s">
        <v>2864</v>
      </c>
      <c r="H849" s="22" t="s">
        <v>11</v>
      </c>
      <c r="I849" s="22" t="s">
        <v>5554</v>
      </c>
      <c r="J849" s="22" t="s">
        <v>40</v>
      </c>
      <c r="K849" s="22">
        <v>5.18125041804057e+18</v>
      </c>
      <c r="L849" s="22" t="s">
        <v>2859</v>
      </c>
      <c r="M849" s="25"/>
    </row>
    <row r="850" customHeight="1" spans="1:13">
      <c r="A850" s="21">
        <v>45778</v>
      </c>
      <c r="B850" s="22" t="s">
        <v>5485</v>
      </c>
      <c r="C850" s="23">
        <v>45800</v>
      </c>
      <c r="D850" s="24">
        <v>83020</v>
      </c>
      <c r="E850" s="22" t="s">
        <v>149</v>
      </c>
      <c r="F850" s="22" t="s">
        <v>7</v>
      </c>
      <c r="G850" s="22" t="s">
        <v>2867</v>
      </c>
      <c r="H850" s="22" t="s">
        <v>11</v>
      </c>
      <c r="I850" s="22" t="s">
        <v>5554</v>
      </c>
      <c r="J850" s="22" t="s">
        <v>40</v>
      </c>
      <c r="K850" s="22">
        <v>5.18125041804057e+18</v>
      </c>
      <c r="L850" s="22" t="s">
        <v>2859</v>
      </c>
      <c r="M850" s="25"/>
    </row>
    <row r="851" customHeight="1" spans="1:13">
      <c r="A851" s="21">
        <v>45778</v>
      </c>
      <c r="B851" s="22" t="s">
        <v>5485</v>
      </c>
      <c r="C851" s="23">
        <v>45803</v>
      </c>
      <c r="D851" s="24">
        <v>0</v>
      </c>
      <c r="E851" s="22" t="s">
        <v>2232</v>
      </c>
      <c r="F851" s="22" t="s">
        <v>7</v>
      </c>
      <c r="G851" s="22" t="s">
        <v>2870</v>
      </c>
      <c r="H851" s="22" t="s">
        <v>11</v>
      </c>
      <c r="I851" s="22" t="s">
        <v>5554</v>
      </c>
      <c r="J851" s="22" t="s">
        <v>39</v>
      </c>
      <c r="K851" s="24">
        <v>0</v>
      </c>
      <c r="L851" s="26" t="e">
        <v>#N/A</v>
      </c>
      <c r="M851" s="25"/>
    </row>
    <row r="852" customHeight="1" spans="1:13">
      <c r="A852" s="21">
        <v>45778</v>
      </c>
      <c r="B852" s="22" t="s">
        <v>5485</v>
      </c>
      <c r="C852" s="23">
        <v>45806</v>
      </c>
      <c r="D852" s="24">
        <v>173257</v>
      </c>
      <c r="E852" s="22" t="s">
        <v>149</v>
      </c>
      <c r="F852" s="22" t="s">
        <v>7</v>
      </c>
      <c r="G852" s="22" t="s">
        <v>2871</v>
      </c>
      <c r="H852" s="22" t="s">
        <v>11</v>
      </c>
      <c r="I852" s="22" t="s">
        <v>5554</v>
      </c>
      <c r="J852" s="22" t="s">
        <v>40</v>
      </c>
      <c r="K852" s="22">
        <v>5.1812504140403e+18</v>
      </c>
      <c r="L852" s="22" t="s">
        <v>2873</v>
      </c>
      <c r="M852" s="25"/>
    </row>
    <row r="853" customHeight="1" spans="1:13">
      <c r="A853" s="21">
        <v>45778</v>
      </c>
      <c r="B853" s="22" t="s">
        <v>5485</v>
      </c>
      <c r="C853" s="23">
        <v>45807</v>
      </c>
      <c r="D853" s="24">
        <v>187373.11</v>
      </c>
      <c r="E853" s="22" t="s">
        <v>149</v>
      </c>
      <c r="F853" s="22" t="s">
        <v>7</v>
      </c>
      <c r="G853" s="22" t="s">
        <v>2874</v>
      </c>
      <c r="H853" s="22" t="s">
        <v>11</v>
      </c>
      <c r="I853" s="22" t="s">
        <v>5554</v>
      </c>
      <c r="J853" s="22" t="s">
        <v>40</v>
      </c>
      <c r="K853" s="22">
        <v>5.18124120403626e+18</v>
      </c>
      <c r="L853" s="22" t="s">
        <v>2876</v>
      </c>
      <c r="M853" s="25"/>
    </row>
    <row r="854" customHeight="1" spans="1:13">
      <c r="A854" s="21">
        <v>45778</v>
      </c>
      <c r="B854" s="22" t="s">
        <v>5485</v>
      </c>
      <c r="C854" s="23">
        <v>45807</v>
      </c>
      <c r="D854" s="24">
        <v>99608.5</v>
      </c>
      <c r="E854" s="22" t="s">
        <v>149</v>
      </c>
      <c r="F854" s="22" t="s">
        <v>7</v>
      </c>
      <c r="G854" s="22" t="s">
        <v>2877</v>
      </c>
      <c r="H854" s="22" t="s">
        <v>11</v>
      </c>
      <c r="I854" s="22" t="s">
        <v>5554</v>
      </c>
      <c r="J854" s="22" t="s">
        <v>40</v>
      </c>
      <c r="K854" s="22">
        <v>5.18124120403626e+18</v>
      </c>
      <c r="L854" s="22" t="s">
        <v>2876</v>
      </c>
      <c r="M854" s="25"/>
    </row>
    <row r="855" customHeight="1" spans="1:13">
      <c r="A855" s="21">
        <v>45809</v>
      </c>
      <c r="B855" s="22" t="s">
        <v>5487</v>
      </c>
      <c r="C855" s="23">
        <v>45812</v>
      </c>
      <c r="D855" s="24">
        <v>0</v>
      </c>
      <c r="E855" s="24">
        <v>0</v>
      </c>
      <c r="F855" s="22" t="s">
        <v>7</v>
      </c>
      <c r="G855" s="22" t="s">
        <v>2881</v>
      </c>
      <c r="H855" s="22" t="s">
        <v>10</v>
      </c>
      <c r="I855" s="22" t="s">
        <v>5554</v>
      </c>
      <c r="J855" s="22" t="s">
        <v>42</v>
      </c>
      <c r="K855" s="22">
        <v>5.18125031203887e+18</v>
      </c>
      <c r="L855" s="22" t="s">
        <v>2884</v>
      </c>
      <c r="M855" s="25"/>
    </row>
    <row r="856" customHeight="1" spans="1:13">
      <c r="A856" s="21">
        <v>45809</v>
      </c>
      <c r="B856" s="22" t="s">
        <v>5487</v>
      </c>
      <c r="C856" s="23">
        <v>45812</v>
      </c>
      <c r="D856" s="24">
        <v>20109.89</v>
      </c>
      <c r="E856" s="22" t="s">
        <v>173</v>
      </c>
      <c r="F856" s="22" t="s">
        <v>7</v>
      </c>
      <c r="G856" s="22" t="s">
        <v>2885</v>
      </c>
      <c r="H856" s="22" t="s">
        <v>11</v>
      </c>
      <c r="I856" s="22" t="s">
        <v>5554</v>
      </c>
      <c r="J856" s="22" t="s">
        <v>39</v>
      </c>
      <c r="K856" s="22">
        <v>5.18125031203887e+18</v>
      </c>
      <c r="L856" s="22" t="s">
        <v>2884</v>
      </c>
      <c r="M856" s="25"/>
    </row>
    <row r="857" customHeight="1" spans="1:13">
      <c r="A857" s="21">
        <v>45809</v>
      </c>
      <c r="B857" s="22" t="s">
        <v>5487</v>
      </c>
      <c r="C857" s="23">
        <v>45812</v>
      </c>
      <c r="D857" s="24">
        <v>0</v>
      </c>
      <c r="E857" s="24">
        <v>0</v>
      </c>
      <c r="F857" s="22" t="s">
        <v>7</v>
      </c>
      <c r="G857" s="22" t="s">
        <v>2887</v>
      </c>
      <c r="H857" s="22" t="s">
        <v>11</v>
      </c>
      <c r="I857" s="22" t="s">
        <v>5554</v>
      </c>
      <c r="J857" s="22" t="s">
        <v>39</v>
      </c>
      <c r="K857" s="22">
        <v>5.18125031203887e+18</v>
      </c>
      <c r="L857" s="22" t="s">
        <v>2884</v>
      </c>
      <c r="M857" s="25"/>
    </row>
    <row r="858" customHeight="1" spans="1:13">
      <c r="A858" s="21">
        <v>45809</v>
      </c>
      <c r="B858" s="22" t="s">
        <v>5487</v>
      </c>
      <c r="C858" s="23">
        <v>45814</v>
      </c>
      <c r="D858" s="24">
        <v>0</v>
      </c>
      <c r="E858" s="24">
        <v>0</v>
      </c>
      <c r="F858" s="22" t="s">
        <v>7</v>
      </c>
      <c r="G858" s="22" t="s">
        <v>2888</v>
      </c>
      <c r="H858" s="22" t="s">
        <v>12</v>
      </c>
      <c r="I858" s="22" t="s">
        <v>5554</v>
      </c>
      <c r="J858" s="22" t="s">
        <v>39</v>
      </c>
      <c r="K858" s="24">
        <v>0</v>
      </c>
      <c r="L858" s="26" t="e">
        <v>#N/A</v>
      </c>
      <c r="M858" s="25"/>
    </row>
    <row r="859" customHeight="1" spans="1:13">
      <c r="A859" s="21">
        <v>45809</v>
      </c>
      <c r="B859" s="22" t="s">
        <v>5489</v>
      </c>
      <c r="C859" s="23">
        <v>45832</v>
      </c>
      <c r="D859" s="24">
        <v>99188.01</v>
      </c>
      <c r="E859" s="22" t="s">
        <v>149</v>
      </c>
      <c r="F859" s="22" t="s">
        <v>7</v>
      </c>
      <c r="G859" s="22" t="s">
        <v>2889</v>
      </c>
      <c r="H859" s="22" t="s">
        <v>11</v>
      </c>
      <c r="I859" s="22" t="s">
        <v>5554</v>
      </c>
      <c r="J859" s="22" t="s">
        <v>40</v>
      </c>
      <c r="K859" s="22">
        <v>5.18125042404087e+18</v>
      </c>
      <c r="L859" s="22" t="s">
        <v>692</v>
      </c>
      <c r="M859" s="25"/>
    </row>
    <row r="860" customHeight="1" spans="1:13">
      <c r="A860" s="21">
        <v>45809</v>
      </c>
      <c r="B860" s="22" t="s">
        <v>5489</v>
      </c>
      <c r="C860" s="23">
        <v>45835</v>
      </c>
      <c r="D860" s="24">
        <v>153750</v>
      </c>
      <c r="E860" s="22" t="s">
        <v>149</v>
      </c>
      <c r="F860" s="22" t="s">
        <v>7</v>
      </c>
      <c r="G860" s="22" t="s">
        <v>2890</v>
      </c>
      <c r="H860" s="22" t="s">
        <v>11</v>
      </c>
      <c r="I860" s="22" t="s">
        <v>5554</v>
      </c>
      <c r="J860" s="22" t="s">
        <v>40</v>
      </c>
      <c r="K860" s="22">
        <v>5.18125041704048e+18</v>
      </c>
      <c r="L860" s="22" t="s">
        <v>2879</v>
      </c>
      <c r="M860" s="25"/>
    </row>
    <row r="861" customHeight="1" spans="1:13">
      <c r="A861" s="21">
        <v>45839</v>
      </c>
      <c r="B861" s="22" t="s">
        <v>5491</v>
      </c>
      <c r="C861" s="23">
        <v>45847</v>
      </c>
      <c r="D861" s="24">
        <v>911600</v>
      </c>
      <c r="E861" s="22" t="s">
        <v>1062</v>
      </c>
      <c r="F861" s="22" t="s">
        <v>7</v>
      </c>
      <c r="G861" s="22" t="s">
        <v>1389</v>
      </c>
      <c r="H861" s="22" t="s">
        <v>11</v>
      </c>
      <c r="I861" s="22" t="s">
        <v>5554</v>
      </c>
      <c r="J861" s="22" t="s">
        <v>40</v>
      </c>
      <c r="K861" s="24">
        <v>0</v>
      </c>
      <c r="L861" s="26" t="e">
        <v>#N/A</v>
      </c>
      <c r="M861" s="25"/>
    </row>
    <row r="862" customHeight="1" spans="1:13">
      <c r="A862" s="21">
        <v>45839</v>
      </c>
      <c r="B862" s="22" t="s">
        <v>5492</v>
      </c>
      <c r="C862" s="23">
        <v>45854</v>
      </c>
      <c r="D862" s="24">
        <v>172200</v>
      </c>
      <c r="E862" s="22" t="s">
        <v>173</v>
      </c>
      <c r="F862" s="22" t="s">
        <v>7</v>
      </c>
      <c r="G862" s="22" t="s">
        <v>2894</v>
      </c>
      <c r="H862" s="22" t="s">
        <v>12</v>
      </c>
      <c r="I862" s="22" t="s">
        <v>5554</v>
      </c>
      <c r="J862" s="22" t="s">
        <v>2893</v>
      </c>
      <c r="K862" s="22">
        <v>5.18123083100068e+18</v>
      </c>
      <c r="L862" s="22" t="s">
        <v>2896</v>
      </c>
      <c r="M862" s="25"/>
    </row>
    <row r="863" customHeight="1" spans="1:13">
      <c r="A863" s="21">
        <v>45839</v>
      </c>
      <c r="B863" s="22" t="s">
        <v>5492</v>
      </c>
      <c r="C863" s="23">
        <v>45854</v>
      </c>
      <c r="D863" s="24">
        <v>3621599971</v>
      </c>
      <c r="E863" s="22" t="s">
        <v>1037</v>
      </c>
      <c r="F863" s="22" t="s">
        <v>7</v>
      </c>
      <c r="G863" s="22" t="s">
        <v>2898</v>
      </c>
      <c r="H863" s="22" t="s">
        <v>11</v>
      </c>
      <c r="I863" s="22" t="s">
        <v>5554</v>
      </c>
      <c r="J863" s="22" t="s">
        <v>49</v>
      </c>
      <c r="K863" s="22">
        <v>5.18123083100068e+18</v>
      </c>
      <c r="L863" s="22" t="s">
        <v>2896</v>
      </c>
      <c r="M863" s="25"/>
    </row>
    <row r="864" customHeight="1" spans="1:13">
      <c r="A864" s="21">
        <v>45839</v>
      </c>
      <c r="B864" s="22" t="s">
        <v>5492</v>
      </c>
      <c r="C864" s="23">
        <v>45854</v>
      </c>
      <c r="D864" s="24">
        <v>0</v>
      </c>
      <c r="E864" s="24">
        <v>0</v>
      </c>
      <c r="F864" s="22" t="s">
        <v>7</v>
      </c>
      <c r="G864" s="22" t="s">
        <v>2900</v>
      </c>
      <c r="H864" s="22" t="s">
        <v>10</v>
      </c>
      <c r="I864" s="22" t="s">
        <v>5554</v>
      </c>
      <c r="J864" s="22" t="s">
        <v>40</v>
      </c>
      <c r="K864" s="22">
        <v>5.18123083100068e+18</v>
      </c>
      <c r="L864" s="22" t="s">
        <v>2896</v>
      </c>
      <c r="M864" s="25"/>
    </row>
    <row r="865" customHeight="1" spans="1:13">
      <c r="A865" s="21">
        <v>45839</v>
      </c>
      <c r="B865" s="22" t="s">
        <v>5492</v>
      </c>
      <c r="C865" s="23">
        <v>45854</v>
      </c>
      <c r="D865" s="24">
        <v>0</v>
      </c>
      <c r="E865" s="24">
        <v>0</v>
      </c>
      <c r="F865" s="22" t="s">
        <v>7</v>
      </c>
      <c r="G865" s="22" t="s">
        <v>2905</v>
      </c>
      <c r="H865" s="22" t="s">
        <v>12</v>
      </c>
      <c r="I865" s="22" t="s">
        <v>5554</v>
      </c>
      <c r="J865" s="22" t="s">
        <v>39</v>
      </c>
      <c r="K865" s="22">
        <v>5.18123083100068e+18</v>
      </c>
      <c r="L865" s="22" t="s">
        <v>2896</v>
      </c>
      <c r="M865" s="25"/>
    </row>
    <row r="866" customHeight="1" spans="1:13">
      <c r="A866" s="21">
        <v>45839</v>
      </c>
      <c r="B866" s="22" t="s">
        <v>5492</v>
      </c>
      <c r="C866" s="23">
        <v>45856</v>
      </c>
      <c r="D866" s="24">
        <v>1651</v>
      </c>
      <c r="E866" s="22" t="s">
        <v>173</v>
      </c>
      <c r="F866" s="22" t="s">
        <v>7</v>
      </c>
      <c r="G866" s="22" t="s">
        <v>5562</v>
      </c>
      <c r="H866" s="22" t="s">
        <v>11</v>
      </c>
      <c r="I866" s="22" t="s">
        <v>5554</v>
      </c>
      <c r="J866" s="22" t="s">
        <v>39</v>
      </c>
      <c r="K866" s="22">
        <v>5.18124050700331e+18</v>
      </c>
      <c r="L866" s="22" t="s">
        <v>2908</v>
      </c>
      <c r="M866" s="25"/>
    </row>
    <row r="867" customHeight="1" spans="1:13">
      <c r="A867" s="21">
        <v>45839</v>
      </c>
      <c r="B867" s="22" t="s">
        <v>5492</v>
      </c>
      <c r="C867" s="23">
        <v>45859</v>
      </c>
      <c r="D867" s="24">
        <v>3330800</v>
      </c>
      <c r="E867" s="22" t="s">
        <v>173</v>
      </c>
      <c r="F867" s="22" t="s">
        <v>7</v>
      </c>
      <c r="G867" s="22" t="s">
        <v>2909</v>
      </c>
      <c r="H867" s="22" t="s">
        <v>11</v>
      </c>
      <c r="I867" s="22" t="s">
        <v>5554</v>
      </c>
      <c r="J867" s="22" t="s">
        <v>48</v>
      </c>
      <c r="K867" s="22">
        <v>5.18125051904164e+18</v>
      </c>
      <c r="L867" s="22" t="s">
        <v>2911</v>
      </c>
      <c r="M867" s="25"/>
    </row>
    <row r="868" customHeight="1" spans="1:13">
      <c r="A868" s="21">
        <v>45839</v>
      </c>
      <c r="B868" s="22" t="s">
        <v>5492</v>
      </c>
      <c r="C868" s="23">
        <v>45857</v>
      </c>
      <c r="D868" s="24">
        <v>81450</v>
      </c>
      <c r="E868" s="22" t="s">
        <v>149</v>
      </c>
      <c r="F868" s="22" t="s">
        <v>7</v>
      </c>
      <c r="G868" s="22" t="s">
        <v>2912</v>
      </c>
      <c r="H868" s="22" t="s">
        <v>11</v>
      </c>
      <c r="I868" s="22" t="s">
        <v>5554</v>
      </c>
      <c r="J868" s="22" t="s">
        <v>40</v>
      </c>
      <c r="K868" s="22">
        <v>5.18125051904168e+18</v>
      </c>
      <c r="L868" s="22" t="s">
        <v>2914</v>
      </c>
      <c r="M868" s="25"/>
    </row>
    <row r="869" customHeight="1" spans="1:13">
      <c r="A869" s="21">
        <v>45839</v>
      </c>
      <c r="B869" s="22" t="s">
        <v>5492</v>
      </c>
      <c r="C869" s="23">
        <v>45861</v>
      </c>
      <c r="D869" s="24">
        <v>163150.88</v>
      </c>
      <c r="E869" s="22" t="s">
        <v>149</v>
      </c>
      <c r="F869" s="22" t="s">
        <v>7</v>
      </c>
      <c r="G869" s="22" t="s">
        <v>2915</v>
      </c>
      <c r="H869" s="22" t="s">
        <v>12</v>
      </c>
      <c r="I869" s="22" t="s">
        <v>5554</v>
      </c>
      <c r="J869" s="22" t="s">
        <v>39</v>
      </c>
      <c r="K869" s="22">
        <v>5.1812309150008e+18</v>
      </c>
      <c r="L869" s="22" t="s">
        <v>1868</v>
      </c>
      <c r="M869" s="25"/>
    </row>
    <row r="870" customHeight="1" spans="1:13">
      <c r="A870" s="21">
        <v>45839</v>
      </c>
      <c r="B870" s="22" t="s">
        <v>5492</v>
      </c>
      <c r="C870" s="23">
        <v>45861</v>
      </c>
      <c r="D870" s="24">
        <v>2745.45</v>
      </c>
      <c r="E870" s="22" t="s">
        <v>173</v>
      </c>
      <c r="F870" s="22" t="s">
        <v>7</v>
      </c>
      <c r="G870" s="22" t="s">
        <v>2917</v>
      </c>
      <c r="H870" s="22" t="s">
        <v>11</v>
      </c>
      <c r="I870" s="22" t="s">
        <v>5554</v>
      </c>
      <c r="J870" s="22" t="s">
        <v>48</v>
      </c>
      <c r="K870" s="22">
        <v>5.1812309150008e+18</v>
      </c>
      <c r="L870" s="22" t="s">
        <v>1868</v>
      </c>
      <c r="M870" s="25"/>
    </row>
    <row r="871" customHeight="1" spans="1:13">
      <c r="A871" s="21">
        <v>45839</v>
      </c>
      <c r="B871" s="22" t="s">
        <v>5492</v>
      </c>
      <c r="C871" s="23">
        <v>45862</v>
      </c>
      <c r="D871" s="24">
        <v>8148.63</v>
      </c>
      <c r="E871" s="22" t="s">
        <v>2233</v>
      </c>
      <c r="F871" s="22" t="s">
        <v>7</v>
      </c>
      <c r="G871" s="22" t="s">
        <v>2920</v>
      </c>
      <c r="H871" s="22" t="s">
        <v>12</v>
      </c>
      <c r="I871" s="22" t="s">
        <v>5554</v>
      </c>
      <c r="J871" s="22" t="s">
        <v>39</v>
      </c>
      <c r="K871" s="24">
        <v>0</v>
      </c>
      <c r="L871" s="26" t="e">
        <v>#N/A</v>
      </c>
      <c r="M871" s="25"/>
    </row>
    <row r="872" customHeight="1" spans="1:13">
      <c r="A872" s="21">
        <v>45839</v>
      </c>
      <c r="B872" s="22" t="s">
        <v>5492</v>
      </c>
      <c r="C872" s="23">
        <v>45863</v>
      </c>
      <c r="D872" s="24">
        <v>813477.5</v>
      </c>
      <c r="E872" s="22" t="s">
        <v>173</v>
      </c>
      <c r="F872" s="22" t="s">
        <v>7</v>
      </c>
      <c r="G872" s="22" t="s">
        <v>2921</v>
      </c>
      <c r="H872" s="22" t="s">
        <v>11</v>
      </c>
      <c r="I872" s="22" t="s">
        <v>5554</v>
      </c>
      <c r="J872" s="22" t="s">
        <v>39</v>
      </c>
      <c r="K872" s="24">
        <v>0</v>
      </c>
      <c r="L872" s="26" t="e">
        <v>#N/A</v>
      </c>
      <c r="M872" s="25"/>
    </row>
    <row r="873" customHeight="1" spans="1:13">
      <c r="A873" s="21">
        <v>45870</v>
      </c>
      <c r="B873" s="22" t="s">
        <v>5493</v>
      </c>
      <c r="C873" s="23">
        <v>45875</v>
      </c>
      <c r="D873" s="24">
        <v>204408.99</v>
      </c>
      <c r="E873" s="22" t="s">
        <v>149</v>
      </c>
      <c r="F873" s="22" t="s">
        <v>7</v>
      </c>
      <c r="G873" s="22" t="s">
        <v>2922</v>
      </c>
      <c r="H873" s="22" t="s">
        <v>11</v>
      </c>
      <c r="I873" s="22" t="s">
        <v>5554</v>
      </c>
      <c r="J873" s="22" t="s">
        <v>39</v>
      </c>
      <c r="K873" s="22">
        <v>5.18124090202448e+18</v>
      </c>
      <c r="L873" s="22" t="s">
        <v>2924</v>
      </c>
      <c r="M873" s="25"/>
    </row>
    <row r="874" customHeight="1" spans="1:13">
      <c r="A874" s="21">
        <v>45870</v>
      </c>
      <c r="B874" s="22" t="s">
        <v>5493</v>
      </c>
      <c r="C874" s="23">
        <v>45875</v>
      </c>
      <c r="D874" s="28">
        <v>15000</v>
      </c>
      <c r="E874" s="22" t="s">
        <v>149</v>
      </c>
      <c r="F874" s="22" t="s">
        <v>7</v>
      </c>
      <c r="G874" s="22" t="s">
        <v>2925</v>
      </c>
      <c r="H874" s="22" t="s">
        <v>11</v>
      </c>
      <c r="I874" s="22" t="s">
        <v>5554</v>
      </c>
      <c r="J874" s="22" t="s">
        <v>40</v>
      </c>
      <c r="K874" s="22">
        <v>5.18124090202448e+18</v>
      </c>
      <c r="L874" s="22" t="s">
        <v>2924</v>
      </c>
      <c r="M874" s="25"/>
    </row>
    <row r="875" customHeight="1" spans="1:13">
      <c r="A875" s="21">
        <v>45870</v>
      </c>
      <c r="B875" s="22" t="s">
        <v>5493</v>
      </c>
      <c r="C875" s="23">
        <v>45881</v>
      </c>
      <c r="D875" s="24">
        <v>5107680.76</v>
      </c>
      <c r="E875" s="22" t="s">
        <v>149</v>
      </c>
      <c r="F875" s="22" t="s">
        <v>7</v>
      </c>
      <c r="G875" s="22" t="s">
        <v>2929</v>
      </c>
      <c r="H875" s="22" t="s">
        <v>11</v>
      </c>
      <c r="I875" s="22" t="s">
        <v>5554</v>
      </c>
      <c r="J875" s="22" t="s">
        <v>40</v>
      </c>
      <c r="K875" s="22" t="s">
        <v>2232</v>
      </c>
      <c r="L875" s="22" t="s">
        <v>2232</v>
      </c>
      <c r="M875" s="25"/>
    </row>
    <row r="876" customHeight="1" spans="1:13">
      <c r="A876" s="21">
        <v>45870</v>
      </c>
      <c r="B876" s="22" t="s">
        <v>5493</v>
      </c>
      <c r="C876" s="23">
        <v>45882</v>
      </c>
      <c r="D876" s="24">
        <v>27</v>
      </c>
      <c r="E876" s="22" t="s">
        <v>149</v>
      </c>
      <c r="F876" s="22" t="s">
        <v>7</v>
      </c>
      <c r="G876" s="22" t="s">
        <v>2931</v>
      </c>
      <c r="H876" s="22" t="s">
        <v>10</v>
      </c>
      <c r="I876" s="22" t="s">
        <v>5554</v>
      </c>
      <c r="J876" s="22" t="s">
        <v>52</v>
      </c>
      <c r="K876" s="22">
        <v>5.18122080700222e+18</v>
      </c>
      <c r="L876" s="22" t="s">
        <v>2934</v>
      </c>
      <c r="M876" s="25"/>
    </row>
    <row r="877" customHeight="1" spans="1:13">
      <c r="A877" s="21">
        <v>45870</v>
      </c>
      <c r="B877" s="22" t="s">
        <v>5493</v>
      </c>
      <c r="C877" s="23">
        <v>45882</v>
      </c>
      <c r="D877" s="24">
        <v>35</v>
      </c>
      <c r="E877" s="22" t="s">
        <v>149</v>
      </c>
      <c r="F877" s="22" t="s">
        <v>7</v>
      </c>
      <c r="G877" s="22" t="s">
        <v>2935</v>
      </c>
      <c r="H877" s="22" t="s">
        <v>10</v>
      </c>
      <c r="I877" s="22" t="s">
        <v>5554</v>
      </c>
      <c r="J877" s="22" t="s">
        <v>52</v>
      </c>
      <c r="K877" s="22">
        <v>5.18122080700222e+18</v>
      </c>
      <c r="L877" s="22" t="s">
        <v>2934</v>
      </c>
      <c r="M877" s="25"/>
    </row>
    <row r="878" customHeight="1" spans="1:13">
      <c r="A878" s="21">
        <v>45870</v>
      </c>
      <c r="B878" s="22" t="s">
        <v>5493</v>
      </c>
      <c r="C878" s="23">
        <v>45882</v>
      </c>
      <c r="D878" s="27">
        <v>1365</v>
      </c>
      <c r="E878" s="22" t="s">
        <v>173</v>
      </c>
      <c r="F878" s="22" t="s">
        <v>7</v>
      </c>
      <c r="G878" s="22" t="s">
        <v>2939</v>
      </c>
      <c r="H878" s="22" t="s">
        <v>11</v>
      </c>
      <c r="I878" s="22" t="s">
        <v>5554</v>
      </c>
      <c r="J878" s="22" t="s">
        <v>39</v>
      </c>
      <c r="K878" s="22">
        <v>5.18122080700222e+18</v>
      </c>
      <c r="L878" s="22" t="s">
        <v>2934</v>
      </c>
      <c r="M878" s="25"/>
    </row>
    <row r="879" customHeight="1" spans="1:13">
      <c r="A879" s="21">
        <v>45870</v>
      </c>
      <c r="B879" s="22" t="s">
        <v>5493</v>
      </c>
      <c r="C879" s="23">
        <v>45884</v>
      </c>
      <c r="D879" s="27">
        <v>82100</v>
      </c>
      <c r="E879" s="22" t="s">
        <v>173</v>
      </c>
      <c r="F879" s="22" t="s">
        <v>7</v>
      </c>
      <c r="G879" s="22" t="s">
        <v>2943</v>
      </c>
      <c r="H879" s="22" t="s">
        <v>11</v>
      </c>
      <c r="I879" s="22" t="s">
        <v>5554</v>
      </c>
      <c r="J879" s="22" t="s">
        <v>39</v>
      </c>
      <c r="K879" s="22">
        <v>5.18123091300077e+18</v>
      </c>
      <c r="L879" s="22" t="s">
        <v>2946</v>
      </c>
      <c r="M879" s="25"/>
    </row>
    <row r="880" customHeight="1" spans="1:13">
      <c r="A880" s="21">
        <v>45870</v>
      </c>
      <c r="B880" s="22" t="s">
        <v>5495</v>
      </c>
      <c r="C880" s="23">
        <v>45888</v>
      </c>
      <c r="D880" s="27">
        <v>196130.97</v>
      </c>
      <c r="E880" s="22" t="s">
        <v>149</v>
      </c>
      <c r="F880" s="22" t="s">
        <v>7</v>
      </c>
      <c r="G880" s="22" t="s">
        <v>2949</v>
      </c>
      <c r="H880" s="22" t="s">
        <v>11</v>
      </c>
      <c r="I880" s="22" t="s">
        <v>5554</v>
      </c>
      <c r="J880" s="22" t="s">
        <v>40</v>
      </c>
      <c r="K880" s="22">
        <v>5.18125051904168e+18</v>
      </c>
      <c r="L880" s="22" t="s">
        <v>2914</v>
      </c>
      <c r="M880" s="25"/>
    </row>
    <row r="881" customHeight="1" spans="1:13">
      <c r="A881" s="21">
        <v>45870</v>
      </c>
      <c r="B881" s="22" t="s">
        <v>5495</v>
      </c>
      <c r="C881" s="23">
        <v>45890</v>
      </c>
      <c r="D881" s="24">
        <v>132983.87</v>
      </c>
      <c r="E881" s="22" t="s">
        <v>149</v>
      </c>
      <c r="F881" s="22" t="s">
        <v>7</v>
      </c>
      <c r="G881" s="22" t="s">
        <v>2950</v>
      </c>
      <c r="H881" s="22" t="s">
        <v>11</v>
      </c>
      <c r="I881" s="22" t="s">
        <v>5554</v>
      </c>
      <c r="J881" s="22" t="s">
        <v>40</v>
      </c>
      <c r="K881" s="22">
        <v>5.18125051004137e+18</v>
      </c>
      <c r="L881" s="22" t="s">
        <v>2952</v>
      </c>
      <c r="M881" s="25"/>
    </row>
    <row r="882" customHeight="1" spans="1:13">
      <c r="A882" s="21">
        <v>45901</v>
      </c>
      <c r="B882" s="22" t="s">
        <v>5497</v>
      </c>
      <c r="C882" s="23">
        <v>45905</v>
      </c>
      <c r="D882" s="24">
        <v>330.1</v>
      </c>
      <c r="E882" s="22" t="s">
        <v>173</v>
      </c>
      <c r="F882" s="22" t="s">
        <v>7</v>
      </c>
      <c r="G882" s="22" t="s">
        <v>2953</v>
      </c>
      <c r="H882" s="22" t="s">
        <v>11</v>
      </c>
      <c r="I882" s="22" t="s">
        <v>5554</v>
      </c>
      <c r="J882" s="22" t="s">
        <v>39</v>
      </c>
      <c r="K882" s="22">
        <v>5.18125061104307e+18</v>
      </c>
      <c r="L882" s="22" t="s">
        <v>2919</v>
      </c>
      <c r="M882" s="25"/>
    </row>
    <row r="883" customHeight="1" spans="1:13">
      <c r="A883" s="21">
        <v>45901</v>
      </c>
      <c r="B883" s="22" t="s">
        <v>5497</v>
      </c>
      <c r="C883" s="23">
        <v>45908</v>
      </c>
      <c r="D883" s="24">
        <v>121490</v>
      </c>
      <c r="E883" s="22" t="s">
        <v>149</v>
      </c>
      <c r="F883" s="22" t="s">
        <v>7</v>
      </c>
      <c r="G883" s="22" t="s">
        <v>2955</v>
      </c>
      <c r="H883" s="22" t="s">
        <v>11</v>
      </c>
      <c r="I883" s="22" t="s">
        <v>5554</v>
      </c>
      <c r="J883" s="22" t="s">
        <v>39</v>
      </c>
      <c r="K883" s="22">
        <v>5.18124111303526e+18</v>
      </c>
      <c r="L883" s="22" t="s">
        <v>2957</v>
      </c>
      <c r="M883" s="25"/>
    </row>
    <row r="884" customHeight="1" spans="1:13">
      <c r="A884" s="21">
        <v>45901</v>
      </c>
      <c r="B884" s="22" t="s">
        <v>5497</v>
      </c>
      <c r="C884" s="23">
        <v>45912</v>
      </c>
      <c r="D884" s="24">
        <v>95481</v>
      </c>
      <c r="E884" s="22" t="s">
        <v>149</v>
      </c>
      <c r="F884" s="22" t="s">
        <v>7</v>
      </c>
      <c r="G884" s="22" t="s">
        <v>2958</v>
      </c>
      <c r="H884" s="22" t="s">
        <v>11</v>
      </c>
      <c r="I884" s="22" t="s">
        <v>5554</v>
      </c>
      <c r="J884" s="22" t="s">
        <v>40</v>
      </c>
      <c r="K884" s="22">
        <v>5.18125061204326e+18</v>
      </c>
      <c r="L884" s="22" t="s">
        <v>2960</v>
      </c>
      <c r="M884" s="25"/>
    </row>
    <row r="885" customHeight="1" spans="1:13">
      <c r="A885" s="21">
        <v>45901</v>
      </c>
      <c r="B885" s="22" t="s">
        <v>5497</v>
      </c>
      <c r="C885" s="23">
        <v>45912</v>
      </c>
      <c r="D885" s="24">
        <v>168783.05</v>
      </c>
      <c r="E885" s="22" t="s">
        <v>149</v>
      </c>
      <c r="F885" s="22" t="s">
        <v>7</v>
      </c>
      <c r="G885" s="22" t="s">
        <v>2962</v>
      </c>
      <c r="H885" s="22" t="s">
        <v>11</v>
      </c>
      <c r="I885" s="22" t="s">
        <v>5554</v>
      </c>
      <c r="J885" s="22" t="s">
        <v>40</v>
      </c>
      <c r="K885" s="22">
        <v>5.18125061204326e+18</v>
      </c>
      <c r="L885" s="22" t="s">
        <v>2960</v>
      </c>
      <c r="M885" s="25"/>
    </row>
    <row r="886" customHeight="1" spans="1:13">
      <c r="A886" s="21">
        <v>45901</v>
      </c>
      <c r="B886" s="22" t="s">
        <v>5499</v>
      </c>
      <c r="C886" s="23">
        <v>45929</v>
      </c>
      <c r="D886" s="27">
        <v>252915</v>
      </c>
      <c r="E886" s="22" t="s">
        <v>173</v>
      </c>
      <c r="F886" s="22" t="s">
        <v>7</v>
      </c>
      <c r="G886" s="22" t="s">
        <v>2964</v>
      </c>
      <c r="H886" s="22" t="s">
        <v>11</v>
      </c>
      <c r="I886" s="22" t="s">
        <v>5554</v>
      </c>
      <c r="J886" s="22" t="s">
        <v>48</v>
      </c>
      <c r="K886" s="22">
        <v>5.18125061904371e+18</v>
      </c>
      <c r="L886" s="22" t="s">
        <v>2966</v>
      </c>
      <c r="M886" s="25"/>
    </row>
    <row r="887" customHeight="1" spans="1:13">
      <c r="A887" s="21">
        <v>45931</v>
      </c>
      <c r="B887" s="22" t="s">
        <v>5500</v>
      </c>
      <c r="C887" s="23">
        <v>45933</v>
      </c>
      <c r="D887" s="27">
        <v>8977851</v>
      </c>
      <c r="E887" s="22" t="s">
        <v>173</v>
      </c>
      <c r="F887" s="22" t="s">
        <v>7</v>
      </c>
      <c r="G887" s="22" t="s">
        <v>2968</v>
      </c>
      <c r="H887" s="22" t="s">
        <v>12</v>
      </c>
      <c r="I887" s="22" t="s">
        <v>5554</v>
      </c>
      <c r="J887" s="22" t="s">
        <v>39</v>
      </c>
      <c r="K887" s="22">
        <v>5.18125052004172e+18</v>
      </c>
      <c r="L887" s="22" t="s">
        <v>2971</v>
      </c>
      <c r="M887" s="25"/>
    </row>
    <row r="888" customHeight="1" spans="1:13">
      <c r="A888" s="21">
        <v>45931</v>
      </c>
      <c r="B888" s="22" t="s">
        <v>5500</v>
      </c>
      <c r="C888" s="23">
        <v>45932</v>
      </c>
      <c r="D888" s="24">
        <v>78338</v>
      </c>
      <c r="E888" s="22" t="s">
        <v>149</v>
      </c>
      <c r="F888" s="22" t="s">
        <v>7</v>
      </c>
      <c r="G888" s="22" t="s">
        <v>2972</v>
      </c>
      <c r="H888" s="22" t="s">
        <v>11</v>
      </c>
      <c r="I888" s="22" t="s">
        <v>5554</v>
      </c>
      <c r="J888" s="22" t="s">
        <v>40</v>
      </c>
      <c r="K888" s="22">
        <v>5.18124110803494e+18</v>
      </c>
      <c r="L888" s="22" t="s">
        <v>2974</v>
      </c>
      <c r="M888" s="25"/>
    </row>
    <row r="889" customHeight="1" spans="1:13">
      <c r="A889" s="21">
        <v>45931</v>
      </c>
      <c r="B889" s="22" t="s">
        <v>5500</v>
      </c>
      <c r="C889" s="23">
        <v>45944</v>
      </c>
      <c r="D889" s="24">
        <v>65.6</v>
      </c>
      <c r="E889" s="22" t="s">
        <v>139</v>
      </c>
      <c r="F889" s="22" t="s">
        <v>7</v>
      </c>
      <c r="G889" s="22" t="s">
        <v>5563</v>
      </c>
      <c r="H889" s="22" t="s">
        <v>10</v>
      </c>
      <c r="I889" s="22" t="s">
        <v>5554</v>
      </c>
      <c r="J889" s="22" t="s">
        <v>40</v>
      </c>
      <c r="K889" s="22">
        <v>5.18123122100152e+18</v>
      </c>
      <c r="L889" s="22" t="s">
        <v>2976</v>
      </c>
      <c r="M889" s="25"/>
    </row>
    <row r="890" customHeight="1" spans="1:13">
      <c r="A890" s="21">
        <v>45931</v>
      </c>
      <c r="B890" s="22" t="s">
        <v>5501</v>
      </c>
      <c r="C890" s="23">
        <v>45953</v>
      </c>
      <c r="D890" s="24">
        <v>3240970945</v>
      </c>
      <c r="E890" s="22" t="s">
        <v>1172</v>
      </c>
      <c r="F890" s="22" t="s">
        <v>7</v>
      </c>
      <c r="G890" s="22" t="s">
        <v>2978</v>
      </c>
      <c r="H890" s="22" t="s">
        <v>10</v>
      </c>
      <c r="I890" s="22" t="s">
        <v>5554</v>
      </c>
      <c r="J890" s="22" t="s">
        <v>42</v>
      </c>
      <c r="K890" s="24">
        <v>0</v>
      </c>
      <c r="L890" s="26" t="e">
        <v>#N/A</v>
      </c>
      <c r="M890" s="25"/>
    </row>
    <row r="891" customHeight="1" spans="1:13">
      <c r="A891" s="21">
        <v>45931</v>
      </c>
      <c r="B891" s="22" t="s">
        <v>5501</v>
      </c>
      <c r="C891" s="23">
        <v>45953</v>
      </c>
      <c r="D891" s="22" t="s">
        <v>2232</v>
      </c>
      <c r="E891" s="22" t="s">
        <v>2232</v>
      </c>
      <c r="F891" s="22" t="s">
        <v>7</v>
      </c>
      <c r="G891" s="22" t="s">
        <v>2980</v>
      </c>
      <c r="H891" s="22" t="s">
        <v>10</v>
      </c>
      <c r="I891" s="22" t="s">
        <v>5554</v>
      </c>
      <c r="J891" s="22" t="s">
        <v>52</v>
      </c>
      <c r="K891" s="24">
        <v>0</v>
      </c>
      <c r="L891" s="26" t="e">
        <v>#N/A</v>
      </c>
      <c r="M891" s="25"/>
    </row>
    <row r="892" customHeight="1" spans="1:13">
      <c r="A892" s="21">
        <v>45962</v>
      </c>
      <c r="B892" s="22" t="s">
        <v>5502</v>
      </c>
      <c r="C892" s="23">
        <v>45965</v>
      </c>
      <c r="D892" s="22" t="s">
        <v>2232</v>
      </c>
      <c r="E892" s="22" t="s">
        <v>2232</v>
      </c>
      <c r="F892" s="22" t="s">
        <v>7</v>
      </c>
      <c r="G892" s="22" t="s">
        <v>2984</v>
      </c>
      <c r="H892" s="22" t="s">
        <v>10</v>
      </c>
      <c r="I892" s="22" t="s">
        <v>5554</v>
      </c>
      <c r="J892" s="22" t="s">
        <v>52</v>
      </c>
      <c r="K892" s="24">
        <v>0</v>
      </c>
      <c r="L892" s="26" t="e">
        <v>#N/A</v>
      </c>
      <c r="M892" s="25"/>
    </row>
    <row r="893" customHeight="1" spans="1:13">
      <c r="A893" s="21">
        <v>45962</v>
      </c>
      <c r="B893" s="22" t="s">
        <v>5502</v>
      </c>
      <c r="C893" s="23">
        <v>45969</v>
      </c>
      <c r="D893" s="24">
        <v>93439618129</v>
      </c>
      <c r="E893" s="22" t="s">
        <v>1037</v>
      </c>
      <c r="F893" s="22" t="s">
        <v>7</v>
      </c>
      <c r="G893" s="22" t="s">
        <v>2986</v>
      </c>
      <c r="H893" s="22" t="s">
        <v>10</v>
      </c>
      <c r="I893" s="22" t="s">
        <v>5554</v>
      </c>
      <c r="J893" s="22" t="s">
        <v>41</v>
      </c>
      <c r="K893" s="22">
        <v>5.18124090202437e+18</v>
      </c>
      <c r="L893" s="22" t="s">
        <v>1754</v>
      </c>
      <c r="M893" s="25"/>
    </row>
    <row r="894" customHeight="1" spans="1:13">
      <c r="A894" s="21">
        <v>45962</v>
      </c>
      <c r="B894" s="22" t="s">
        <v>5502</v>
      </c>
      <c r="C894" s="23">
        <v>45969</v>
      </c>
      <c r="D894" s="22">
        <v>154493463848</v>
      </c>
      <c r="E894" s="22" t="s">
        <v>1037</v>
      </c>
      <c r="F894" s="22" t="s">
        <v>7</v>
      </c>
      <c r="G894" s="22" t="s">
        <v>2988</v>
      </c>
      <c r="H894" s="22" t="s">
        <v>11</v>
      </c>
      <c r="I894" s="22" t="s">
        <v>5554</v>
      </c>
      <c r="J894" s="22" t="s">
        <v>41</v>
      </c>
      <c r="K894" s="22">
        <v>5.18124090202437e+18</v>
      </c>
      <c r="L894" s="22" t="s">
        <v>1754</v>
      </c>
      <c r="M894" s="25"/>
    </row>
    <row r="895" customHeight="1" spans="1:13">
      <c r="A895" s="21">
        <v>45962</v>
      </c>
      <c r="B895" s="22" t="s">
        <v>5502</v>
      </c>
      <c r="C895" s="23">
        <v>45970</v>
      </c>
      <c r="D895" s="22">
        <v>130760402606</v>
      </c>
      <c r="E895" s="22" t="s">
        <v>1037</v>
      </c>
      <c r="F895" s="22" t="s">
        <v>7</v>
      </c>
      <c r="G895" s="22" t="s">
        <v>2991</v>
      </c>
      <c r="H895" s="22" t="s">
        <v>11</v>
      </c>
      <c r="I895" s="22" t="s">
        <v>5554</v>
      </c>
      <c r="J895" s="22" t="s">
        <v>41</v>
      </c>
      <c r="K895" s="22">
        <v>5.18125102005e+18</v>
      </c>
      <c r="L895" s="22" t="s">
        <v>2251</v>
      </c>
      <c r="M895" s="25"/>
    </row>
    <row r="896" customHeight="1" spans="1:13">
      <c r="A896" s="21">
        <v>45962</v>
      </c>
      <c r="B896" s="22" t="s">
        <v>5502</v>
      </c>
      <c r="C896" s="23">
        <v>45970</v>
      </c>
      <c r="D896" s="22">
        <v>129544117325</v>
      </c>
      <c r="E896" s="22" t="s">
        <v>1037</v>
      </c>
      <c r="F896" s="22" t="s">
        <v>7</v>
      </c>
      <c r="G896" s="22" t="s">
        <v>2994</v>
      </c>
      <c r="H896" s="22" t="s">
        <v>10</v>
      </c>
      <c r="I896" s="22" t="s">
        <v>5554</v>
      </c>
      <c r="J896" s="22" t="s">
        <v>41</v>
      </c>
      <c r="K896" s="22">
        <v>5.18125102005e+18</v>
      </c>
      <c r="L896" s="22" t="s">
        <v>2251</v>
      </c>
      <c r="M896" s="25"/>
    </row>
    <row r="897" customHeight="1" spans="1:13">
      <c r="A897" s="21">
        <v>45962</v>
      </c>
      <c r="B897" s="22" t="s">
        <v>5502</v>
      </c>
      <c r="C897" s="23">
        <v>45972</v>
      </c>
      <c r="D897" s="24">
        <v>4160</v>
      </c>
      <c r="E897" s="22" t="s">
        <v>173</v>
      </c>
      <c r="F897" s="22" t="s">
        <v>7</v>
      </c>
      <c r="G897" s="22" t="s">
        <v>2996</v>
      </c>
      <c r="H897" s="22" t="s">
        <v>11</v>
      </c>
      <c r="I897" s="22" t="s">
        <v>5554</v>
      </c>
      <c r="J897" s="22" t="s">
        <v>39</v>
      </c>
      <c r="K897" s="22">
        <v>5.18125062304397e+18</v>
      </c>
      <c r="L897" s="22" t="s">
        <v>2998</v>
      </c>
      <c r="M897" s="25"/>
    </row>
    <row r="898" customHeight="1" spans="1:13">
      <c r="A898" s="21">
        <v>45962</v>
      </c>
      <c r="B898" s="22" t="s">
        <v>5472</v>
      </c>
      <c r="C898" s="23">
        <v>45978</v>
      </c>
      <c r="D898" s="24">
        <v>2972.08</v>
      </c>
      <c r="E898" s="22" t="s">
        <v>173</v>
      </c>
      <c r="F898" s="22" t="s">
        <v>7</v>
      </c>
      <c r="G898" s="22" t="s">
        <v>2999</v>
      </c>
      <c r="H898" s="22" t="s">
        <v>10</v>
      </c>
      <c r="I898" s="22" t="s">
        <v>5554</v>
      </c>
      <c r="J898" s="22" t="s">
        <v>44</v>
      </c>
      <c r="K898" s="22">
        <v>5.1812503110388e+18</v>
      </c>
      <c r="L898" s="22" t="s">
        <v>709</v>
      </c>
      <c r="M898" s="25"/>
    </row>
    <row r="899" customHeight="1" spans="1:13">
      <c r="A899" s="21">
        <v>45962</v>
      </c>
      <c r="B899" s="22" t="s">
        <v>5472</v>
      </c>
      <c r="C899" s="23">
        <v>45978</v>
      </c>
      <c r="D899" s="24">
        <v>10723.96</v>
      </c>
      <c r="E899" s="22" t="s">
        <v>173</v>
      </c>
      <c r="F899" s="22" t="s">
        <v>7</v>
      </c>
      <c r="G899" s="22" t="s">
        <v>2999</v>
      </c>
      <c r="H899" s="22" t="s">
        <v>10</v>
      </c>
      <c r="I899" s="22" t="s">
        <v>5554</v>
      </c>
      <c r="J899" s="22" t="s">
        <v>44</v>
      </c>
      <c r="K899" s="22">
        <v>5.1812503110388e+18</v>
      </c>
      <c r="L899" s="22" t="s">
        <v>709</v>
      </c>
      <c r="M899" s="25"/>
    </row>
    <row r="900" customHeight="1" spans="1:13">
      <c r="A900" s="21">
        <v>45962</v>
      </c>
      <c r="B900" s="22" t="s">
        <v>5472</v>
      </c>
      <c r="C900" s="23">
        <v>45978</v>
      </c>
      <c r="D900" s="22" t="s">
        <v>2232</v>
      </c>
      <c r="E900" s="22" t="s">
        <v>2232</v>
      </c>
      <c r="F900" s="22" t="s">
        <v>7</v>
      </c>
      <c r="G900" s="22" t="s">
        <v>3002</v>
      </c>
      <c r="H900" s="22" t="s">
        <v>10</v>
      </c>
      <c r="I900" s="22" t="s">
        <v>5554</v>
      </c>
      <c r="J900" s="22" t="s">
        <v>42</v>
      </c>
      <c r="K900" s="22">
        <v>5.1812503110388e+18</v>
      </c>
      <c r="L900" s="22" t="s">
        <v>709</v>
      </c>
      <c r="M900" s="25"/>
    </row>
    <row r="901" customHeight="1" spans="1:13">
      <c r="A901" s="21">
        <v>45962</v>
      </c>
      <c r="B901" s="22" t="s">
        <v>5472</v>
      </c>
      <c r="C901" s="23">
        <v>45978</v>
      </c>
      <c r="D901" s="24">
        <v>1015390</v>
      </c>
      <c r="E901" s="22" t="s">
        <v>1567</v>
      </c>
      <c r="F901" s="22" t="s">
        <v>7</v>
      </c>
      <c r="G901" s="22" t="s">
        <v>3004</v>
      </c>
      <c r="H901" s="22" t="s">
        <v>12</v>
      </c>
      <c r="I901" s="22" t="s">
        <v>5554</v>
      </c>
      <c r="J901" s="22" t="s">
        <v>39</v>
      </c>
      <c r="K901" s="22">
        <v>5.1812503110388e+18</v>
      </c>
      <c r="L901" s="22" t="s">
        <v>709</v>
      </c>
      <c r="M901" s="25"/>
    </row>
    <row r="902" customHeight="1" spans="1:13">
      <c r="A902" s="21">
        <v>45962</v>
      </c>
      <c r="B902" s="22" t="s">
        <v>5472</v>
      </c>
      <c r="C902" s="23">
        <v>45979</v>
      </c>
      <c r="D902" s="24">
        <v>51658</v>
      </c>
      <c r="E902" s="22" t="s">
        <v>149</v>
      </c>
      <c r="F902" s="22" t="s">
        <v>7</v>
      </c>
      <c r="G902" s="22" t="s">
        <v>3007</v>
      </c>
      <c r="H902" s="22" t="s">
        <v>11</v>
      </c>
      <c r="I902" s="22" t="s">
        <v>5554</v>
      </c>
      <c r="J902" s="22" t="s">
        <v>40</v>
      </c>
      <c r="K902" s="22">
        <v>5.18125093004908e+18</v>
      </c>
      <c r="L902" s="22" t="s">
        <v>3009</v>
      </c>
      <c r="M902" s="25"/>
    </row>
    <row r="903" customHeight="1" spans="1:13">
      <c r="A903" s="21">
        <v>45962</v>
      </c>
      <c r="B903" s="22" t="s">
        <v>5472</v>
      </c>
      <c r="C903" s="23">
        <v>45980</v>
      </c>
      <c r="D903" s="24">
        <v>10298000</v>
      </c>
      <c r="E903" s="22" t="s">
        <v>173</v>
      </c>
      <c r="F903" s="22" t="s">
        <v>7</v>
      </c>
      <c r="G903" s="22" t="s">
        <v>3010</v>
      </c>
      <c r="H903" s="22" t="s">
        <v>12</v>
      </c>
      <c r="I903" s="22" t="s">
        <v>5554</v>
      </c>
      <c r="J903" s="22" t="s">
        <v>48</v>
      </c>
      <c r="K903" s="22">
        <v>5.18123101200094e+18</v>
      </c>
      <c r="L903" s="22" t="s">
        <v>3012</v>
      </c>
      <c r="M903" s="25"/>
    </row>
    <row r="904" customHeight="1" spans="1:13">
      <c r="A904" s="21">
        <v>45962</v>
      </c>
      <c r="B904" s="22" t="s">
        <v>5472</v>
      </c>
      <c r="C904" s="23">
        <v>45982</v>
      </c>
      <c r="D904" s="24">
        <v>9448206</v>
      </c>
      <c r="E904" s="22" t="s">
        <v>173</v>
      </c>
      <c r="F904" s="22" t="s">
        <v>7</v>
      </c>
      <c r="G904" s="22" t="s">
        <v>3013</v>
      </c>
      <c r="H904" s="22" t="s">
        <v>12</v>
      </c>
      <c r="I904" s="22" t="s">
        <v>5554</v>
      </c>
      <c r="J904" s="22" t="s">
        <v>48</v>
      </c>
      <c r="K904" s="22">
        <v>5.18125052004172e+18</v>
      </c>
      <c r="L904" s="22" t="s">
        <v>2971</v>
      </c>
      <c r="M904" s="25"/>
    </row>
    <row r="905" customHeight="1" spans="1:13">
      <c r="A905" s="21">
        <v>45962</v>
      </c>
      <c r="B905" s="22" t="s">
        <v>5472</v>
      </c>
      <c r="C905" s="23">
        <v>45985</v>
      </c>
      <c r="D905" s="24">
        <v>110172.87</v>
      </c>
      <c r="E905" s="22" t="s">
        <v>173</v>
      </c>
      <c r="F905" s="22" t="s">
        <v>7</v>
      </c>
      <c r="G905" s="22" t="s">
        <v>3014</v>
      </c>
      <c r="H905" s="22" t="s">
        <v>10</v>
      </c>
      <c r="I905" s="22" t="s">
        <v>5554</v>
      </c>
      <c r="J905" s="22" t="s">
        <v>51</v>
      </c>
      <c r="K905" s="22">
        <v>5.18124062101051e+18</v>
      </c>
      <c r="L905" s="22" t="s">
        <v>3016</v>
      </c>
      <c r="M905" s="25"/>
    </row>
    <row r="906" customHeight="1" spans="1:13">
      <c r="A906" s="21">
        <v>45962</v>
      </c>
      <c r="B906" s="22" t="s">
        <v>5472</v>
      </c>
      <c r="C906" s="23">
        <v>45988</v>
      </c>
      <c r="D906" s="22" t="s">
        <v>2232</v>
      </c>
      <c r="E906" s="22" t="s">
        <v>2232</v>
      </c>
      <c r="F906" s="22" t="s">
        <v>7</v>
      </c>
      <c r="G906" s="22" t="s">
        <v>3017</v>
      </c>
      <c r="H906" s="22" t="s">
        <v>11</v>
      </c>
      <c r="I906" s="22" t="s">
        <v>5554</v>
      </c>
      <c r="J906" s="22" t="s">
        <v>48</v>
      </c>
      <c r="K906" s="24">
        <v>0</v>
      </c>
      <c r="L906" s="26" t="e">
        <v>#N/A</v>
      </c>
      <c r="M906" s="25"/>
    </row>
    <row r="907" customHeight="1" spans="1:13">
      <c r="A907" s="21">
        <v>45992</v>
      </c>
      <c r="B907" s="22" t="s">
        <v>5474</v>
      </c>
      <c r="C907" s="23">
        <v>45992</v>
      </c>
      <c r="D907" s="22" t="s">
        <v>2232</v>
      </c>
      <c r="E907" s="22" t="s">
        <v>2232</v>
      </c>
      <c r="F907" s="22" t="s">
        <v>7</v>
      </c>
      <c r="G907" s="22" t="s">
        <v>3018</v>
      </c>
      <c r="H907" s="22" t="s">
        <v>11</v>
      </c>
      <c r="I907" s="22" t="s">
        <v>5554</v>
      </c>
      <c r="J907" s="22" t="s">
        <v>39</v>
      </c>
      <c r="K907" s="24">
        <v>0</v>
      </c>
      <c r="L907" s="26" t="e">
        <v>#N/A</v>
      </c>
      <c r="M907" s="25"/>
    </row>
    <row r="908" customHeight="1" spans="1:13">
      <c r="A908" s="21">
        <v>45992</v>
      </c>
      <c r="B908" s="22" t="s">
        <v>5474</v>
      </c>
      <c r="C908" s="23">
        <v>45999</v>
      </c>
      <c r="D908" s="27">
        <v>286982.71</v>
      </c>
      <c r="E908" s="22" t="s">
        <v>1062</v>
      </c>
      <c r="F908" s="22" t="s">
        <v>7</v>
      </c>
      <c r="G908" s="22" t="s">
        <v>3020</v>
      </c>
      <c r="H908" s="22" t="s">
        <v>12</v>
      </c>
      <c r="I908" s="22" t="s">
        <v>5554</v>
      </c>
      <c r="J908" s="22" t="s">
        <v>39</v>
      </c>
      <c r="K908" s="22">
        <v>5.18124110703485e+18</v>
      </c>
      <c r="L908" s="22" t="s">
        <v>3022</v>
      </c>
      <c r="M908" s="25"/>
    </row>
    <row r="909" customHeight="1" spans="1:13">
      <c r="A909" s="21">
        <v>45992</v>
      </c>
      <c r="B909" s="22" t="s">
        <v>5474</v>
      </c>
      <c r="C909" s="23">
        <v>45999</v>
      </c>
      <c r="D909" s="24">
        <v>971737.81</v>
      </c>
      <c r="E909" s="22" t="s">
        <v>173</v>
      </c>
      <c r="F909" s="22" t="s">
        <v>7</v>
      </c>
      <c r="G909" s="22" t="s">
        <v>3023</v>
      </c>
      <c r="H909" s="22" t="s">
        <v>12</v>
      </c>
      <c r="I909" s="22" t="s">
        <v>5554</v>
      </c>
      <c r="J909" s="22" t="s">
        <v>39</v>
      </c>
      <c r="K909" s="22">
        <v>5.18124110703485e+18</v>
      </c>
      <c r="L909" s="22" t="s">
        <v>3022</v>
      </c>
      <c r="M909" s="25"/>
    </row>
    <row r="910" customHeight="1" spans="1:13">
      <c r="A910" s="21">
        <v>45992</v>
      </c>
      <c r="B910" s="22" t="s">
        <v>5474</v>
      </c>
      <c r="C910" s="23">
        <v>46000</v>
      </c>
      <c r="D910" s="22" t="s">
        <v>2232</v>
      </c>
      <c r="E910" s="22" t="s">
        <v>2232</v>
      </c>
      <c r="F910" s="22" t="s">
        <v>7</v>
      </c>
      <c r="G910" s="22" t="s">
        <v>3025</v>
      </c>
      <c r="H910" s="22" t="s">
        <v>11</v>
      </c>
      <c r="I910" s="22" t="s">
        <v>5554</v>
      </c>
      <c r="J910" s="22" t="s">
        <v>40</v>
      </c>
      <c r="K910" s="22">
        <v>5.18125101304955e+18</v>
      </c>
      <c r="L910" s="22" t="s">
        <v>3027</v>
      </c>
      <c r="M910" s="25"/>
    </row>
    <row r="911" customHeight="1" spans="1:13">
      <c r="A911" s="21">
        <v>45992</v>
      </c>
      <c r="B911" s="22" t="s">
        <v>5474</v>
      </c>
      <c r="C911" s="23">
        <v>46002</v>
      </c>
      <c r="D911" s="24">
        <v>128768</v>
      </c>
      <c r="E911" s="22" t="s">
        <v>149</v>
      </c>
      <c r="F911" s="22" t="s">
        <v>7</v>
      </c>
      <c r="G911" s="22" t="s">
        <v>3028</v>
      </c>
      <c r="H911" s="22" t="s">
        <v>11</v>
      </c>
      <c r="I911" s="22" t="s">
        <v>5554</v>
      </c>
      <c r="J911" s="22" t="s">
        <v>40</v>
      </c>
      <c r="K911" s="22">
        <v>5.1812506280442e+18</v>
      </c>
      <c r="L911" s="22" t="s">
        <v>3030</v>
      </c>
      <c r="M911" s="25"/>
    </row>
    <row r="912" customHeight="1" spans="1:13">
      <c r="A912" s="21">
        <v>45992</v>
      </c>
      <c r="B912" s="22" t="s">
        <v>5474</v>
      </c>
      <c r="C912" s="23">
        <v>46004</v>
      </c>
      <c r="D912" s="24">
        <v>16049.45</v>
      </c>
      <c r="E912" s="22" t="s">
        <v>173</v>
      </c>
      <c r="F912" s="22" t="s">
        <v>7</v>
      </c>
      <c r="G912" s="22" t="s">
        <v>3032</v>
      </c>
      <c r="H912" s="22" t="s">
        <v>10</v>
      </c>
      <c r="I912" s="22" t="s">
        <v>5554</v>
      </c>
      <c r="J912" s="22" t="s">
        <v>39</v>
      </c>
      <c r="K912" s="22">
        <v>5.1812509110479e+18</v>
      </c>
      <c r="L912" s="22" t="s">
        <v>1922</v>
      </c>
      <c r="M912" s="25"/>
    </row>
    <row r="913" customHeight="1" spans="1:13">
      <c r="A913" s="21">
        <v>45992</v>
      </c>
      <c r="B913" s="22" t="s">
        <v>5474</v>
      </c>
      <c r="C913" s="23">
        <v>46006</v>
      </c>
      <c r="D913" s="24">
        <v>186072</v>
      </c>
      <c r="E913" s="22" t="s">
        <v>149</v>
      </c>
      <c r="F913" s="22" t="s">
        <v>7</v>
      </c>
      <c r="G913" s="22" t="s">
        <v>3033</v>
      </c>
      <c r="H913" s="22" t="s">
        <v>11</v>
      </c>
      <c r="I913" s="22" t="s">
        <v>5554</v>
      </c>
      <c r="J913" s="22" t="s">
        <v>40</v>
      </c>
      <c r="K913" s="22">
        <v>5.18125101304955e+18</v>
      </c>
      <c r="L913" s="22" t="s">
        <v>3027</v>
      </c>
      <c r="M913" s="25"/>
    </row>
    <row r="914" customHeight="1" spans="1:13">
      <c r="A914" s="21">
        <v>45992</v>
      </c>
      <c r="B914" s="22" t="s">
        <v>5474</v>
      </c>
      <c r="C914" s="23">
        <v>46006</v>
      </c>
      <c r="D914" s="28">
        <v>163514</v>
      </c>
      <c r="E914" s="22" t="s">
        <v>149</v>
      </c>
      <c r="F914" s="22" t="s">
        <v>7</v>
      </c>
      <c r="G914" s="22" t="s">
        <v>3034</v>
      </c>
      <c r="H914" s="22" t="s">
        <v>11</v>
      </c>
      <c r="I914" s="22" t="s">
        <v>5554</v>
      </c>
      <c r="J914" s="22" t="s">
        <v>40</v>
      </c>
      <c r="K914" s="22">
        <v>5.18125101304955e+18</v>
      </c>
      <c r="L914" s="22" t="s">
        <v>3027</v>
      </c>
      <c r="M914" s="25"/>
    </row>
    <row r="915" customHeight="1" spans="1:13">
      <c r="A915" s="21">
        <v>45992</v>
      </c>
      <c r="B915" s="22" t="s">
        <v>5475</v>
      </c>
      <c r="C915" s="23">
        <v>46009</v>
      </c>
      <c r="D915" s="24">
        <v>256791.11</v>
      </c>
      <c r="E915" s="22" t="s">
        <v>149</v>
      </c>
      <c r="F915" s="22" t="s">
        <v>7</v>
      </c>
      <c r="G915" s="22" t="s">
        <v>3037</v>
      </c>
      <c r="H915" s="22" t="s">
        <v>11</v>
      </c>
      <c r="I915" s="22" t="s">
        <v>5554</v>
      </c>
      <c r="J915" s="22" t="s">
        <v>40</v>
      </c>
      <c r="K915" s="22">
        <v>5.18125090204716e+18</v>
      </c>
      <c r="L915" s="22" t="s">
        <v>1572</v>
      </c>
      <c r="M915" s="25"/>
    </row>
    <row r="916" customHeight="1" spans="1:13">
      <c r="A916" s="21">
        <v>45992</v>
      </c>
      <c r="B916" s="22" t="s">
        <v>5475</v>
      </c>
      <c r="C916" s="23">
        <v>46009</v>
      </c>
      <c r="D916" s="24">
        <v>127427</v>
      </c>
      <c r="E916" s="22" t="s">
        <v>149</v>
      </c>
      <c r="F916" s="22" t="s">
        <v>7</v>
      </c>
      <c r="G916" s="22" t="s">
        <v>3038</v>
      </c>
      <c r="H916" s="22" t="s">
        <v>11</v>
      </c>
      <c r="I916" s="22" t="s">
        <v>5554</v>
      </c>
      <c r="J916" s="22" t="s">
        <v>40</v>
      </c>
      <c r="K916" s="22">
        <v>5.18125090204716e+18</v>
      </c>
      <c r="L916" s="22" t="s">
        <v>1572</v>
      </c>
      <c r="M916" s="25"/>
    </row>
    <row r="917" customHeight="1" spans="1:13">
      <c r="A917" s="21">
        <v>45992</v>
      </c>
      <c r="B917" s="22" t="s">
        <v>5475</v>
      </c>
      <c r="C917" s="23">
        <v>46010</v>
      </c>
      <c r="D917" s="24">
        <v>499.98</v>
      </c>
      <c r="E917" s="22" t="s">
        <v>173</v>
      </c>
      <c r="F917" s="22" t="s">
        <v>7</v>
      </c>
      <c r="G917" s="22" t="s">
        <v>3041</v>
      </c>
      <c r="H917" s="22" t="s">
        <v>10</v>
      </c>
      <c r="I917" s="22" t="s">
        <v>5554</v>
      </c>
      <c r="J917" s="22" t="s">
        <v>2002</v>
      </c>
      <c r="K917" s="22">
        <v>5.18124040300293e+18</v>
      </c>
      <c r="L917" s="22" t="s">
        <v>1553</v>
      </c>
      <c r="M917" s="25"/>
    </row>
    <row r="918" customHeight="1" spans="1:13">
      <c r="A918" s="21">
        <v>45992</v>
      </c>
      <c r="B918" s="22" t="s">
        <v>5475</v>
      </c>
      <c r="C918" s="23">
        <v>46014</v>
      </c>
      <c r="D918" s="24">
        <v>62753</v>
      </c>
      <c r="E918" s="22" t="s">
        <v>149</v>
      </c>
      <c r="F918" s="22" t="s">
        <v>7</v>
      </c>
      <c r="G918" s="22" t="s">
        <v>3046</v>
      </c>
      <c r="H918" s="22" t="s">
        <v>11</v>
      </c>
      <c r="I918" s="22" t="s">
        <v>5554</v>
      </c>
      <c r="J918" s="22" t="s">
        <v>40</v>
      </c>
      <c r="K918" s="22">
        <v>5.18125092404871e+18</v>
      </c>
      <c r="L918" s="22" t="s">
        <v>3048</v>
      </c>
      <c r="M918" s="25"/>
    </row>
    <row r="919" customHeight="1" spans="1:13">
      <c r="A919" s="21">
        <v>45992</v>
      </c>
      <c r="B919" s="22" t="s">
        <v>5475</v>
      </c>
      <c r="C919" s="23">
        <v>46014</v>
      </c>
      <c r="D919" s="24">
        <v>94590</v>
      </c>
      <c r="E919" s="22" t="s">
        <v>149</v>
      </c>
      <c r="F919" s="22" t="s">
        <v>7</v>
      </c>
      <c r="G919" s="22" t="s">
        <v>3049</v>
      </c>
      <c r="H919" s="22" t="s">
        <v>11</v>
      </c>
      <c r="I919" s="22" t="s">
        <v>5554</v>
      </c>
      <c r="J919" s="22" t="s">
        <v>40</v>
      </c>
      <c r="K919" s="22">
        <v>5.18125092404871e+18</v>
      </c>
      <c r="L919" s="22" t="s">
        <v>3048</v>
      </c>
      <c r="M919" s="25"/>
    </row>
    <row r="920" customHeight="1" spans="1:13">
      <c r="A920" s="21">
        <v>45992</v>
      </c>
      <c r="B920" s="22" t="s">
        <v>5475</v>
      </c>
      <c r="C920" s="23">
        <v>46015</v>
      </c>
      <c r="D920" s="24">
        <v>69466</v>
      </c>
      <c r="E920" s="22" t="s">
        <v>149</v>
      </c>
      <c r="F920" s="22" t="s">
        <v>7</v>
      </c>
      <c r="G920" s="22" t="s">
        <v>3052</v>
      </c>
      <c r="H920" s="22" t="s">
        <v>11</v>
      </c>
      <c r="I920" s="22" t="s">
        <v>5554</v>
      </c>
      <c r="J920" s="22" t="s">
        <v>40</v>
      </c>
      <c r="K920" s="22">
        <v>5.18125073004561e+18</v>
      </c>
      <c r="L920" s="22" t="s">
        <v>3054</v>
      </c>
      <c r="M920" s="25"/>
    </row>
    <row r="921" customHeight="1" spans="1:13">
      <c r="A921" s="21">
        <v>45992</v>
      </c>
      <c r="B921" s="22" t="s">
        <v>5475</v>
      </c>
      <c r="C921" s="23">
        <v>46015</v>
      </c>
      <c r="D921" s="24">
        <v>163514</v>
      </c>
      <c r="E921" s="22" t="s">
        <v>149</v>
      </c>
      <c r="F921" s="22" t="s">
        <v>7</v>
      </c>
      <c r="G921" s="22" t="s">
        <v>3055</v>
      </c>
      <c r="H921" s="22" t="s">
        <v>11</v>
      </c>
      <c r="I921" s="22" t="s">
        <v>5554</v>
      </c>
      <c r="J921" s="22" t="s">
        <v>40</v>
      </c>
      <c r="K921" s="22">
        <v>5.18125073004561e+18</v>
      </c>
      <c r="L921" s="22" t="s">
        <v>3054</v>
      </c>
      <c r="M921" s="25"/>
    </row>
    <row r="922" customHeight="1" spans="1:13">
      <c r="A922" s="21">
        <v>45992</v>
      </c>
      <c r="B922" s="22" t="s">
        <v>5475</v>
      </c>
      <c r="C922" s="23">
        <v>46018</v>
      </c>
      <c r="D922" s="24">
        <v>177869.39</v>
      </c>
      <c r="E922" s="22" t="s">
        <v>149</v>
      </c>
      <c r="F922" s="22" t="s">
        <v>7</v>
      </c>
      <c r="G922" s="22" t="s">
        <v>3058</v>
      </c>
      <c r="H922" s="22" t="s">
        <v>11</v>
      </c>
      <c r="I922" s="22" t="s">
        <v>5554</v>
      </c>
      <c r="J922" s="22" t="s">
        <v>40</v>
      </c>
      <c r="K922" s="22">
        <v>5.18125101304958e+18</v>
      </c>
      <c r="L922" s="22" t="s">
        <v>3059</v>
      </c>
      <c r="M922" s="25"/>
    </row>
    <row r="923" customHeight="1" spans="1:13">
      <c r="A923" s="21">
        <v>45992</v>
      </c>
      <c r="B923" s="22" t="s">
        <v>5475</v>
      </c>
      <c r="C923" s="23">
        <v>46020</v>
      </c>
      <c r="D923" s="24">
        <v>27500</v>
      </c>
      <c r="E923" s="22" t="s">
        <v>149</v>
      </c>
      <c r="F923" s="22" t="s">
        <v>7</v>
      </c>
      <c r="G923" s="22" t="s">
        <v>3060</v>
      </c>
      <c r="H923" s="22" t="s">
        <v>11</v>
      </c>
      <c r="I923" s="22" t="s">
        <v>5554</v>
      </c>
      <c r="J923" s="22" t="s">
        <v>40</v>
      </c>
      <c r="K923" s="22">
        <v>5.18125092304863e+18</v>
      </c>
      <c r="L923" s="22" t="s">
        <v>3062</v>
      </c>
      <c r="M923" s="25"/>
    </row>
    <row r="924" customHeight="1" spans="1:13">
      <c r="A924" s="21">
        <v>45992</v>
      </c>
      <c r="B924" s="22" t="s">
        <v>5475</v>
      </c>
      <c r="C924" s="23">
        <v>46020</v>
      </c>
      <c r="D924" s="27">
        <v>127427</v>
      </c>
      <c r="E924" s="22" t="s">
        <v>149</v>
      </c>
      <c r="F924" s="22" t="s">
        <v>7</v>
      </c>
      <c r="G924" s="22" t="s">
        <v>3063</v>
      </c>
      <c r="H924" s="22" t="s">
        <v>11</v>
      </c>
      <c r="I924" s="22" t="s">
        <v>5554</v>
      </c>
      <c r="J924" s="22" t="s">
        <v>40</v>
      </c>
      <c r="K924" s="22">
        <v>5.18125092304863e+18</v>
      </c>
      <c r="L924" s="22" t="s">
        <v>3062</v>
      </c>
      <c r="M924" s="25"/>
    </row>
    <row r="925" customHeight="1" spans="1:13">
      <c r="A925" s="21">
        <v>45992</v>
      </c>
      <c r="B925" s="22" t="s">
        <v>5475</v>
      </c>
      <c r="C925" s="23">
        <v>46021</v>
      </c>
      <c r="D925" s="22" t="s">
        <v>2232</v>
      </c>
      <c r="E925" s="22" t="s">
        <v>2232</v>
      </c>
      <c r="F925" s="22" t="s">
        <v>7</v>
      </c>
      <c r="G925" s="22" t="s">
        <v>3064</v>
      </c>
      <c r="H925" s="22" t="s">
        <v>11</v>
      </c>
      <c r="I925" s="22" t="s">
        <v>5554</v>
      </c>
      <c r="J925" s="22" t="s">
        <v>52</v>
      </c>
      <c r="K925" s="22">
        <v>5.18125100904931e+18</v>
      </c>
      <c r="L925" s="22" t="s">
        <v>1705</v>
      </c>
      <c r="M925" s="25"/>
    </row>
    <row r="926" customHeight="1" spans="1:13">
      <c r="A926" s="21">
        <v>45992</v>
      </c>
      <c r="B926" s="22" t="s">
        <v>5475</v>
      </c>
      <c r="C926" s="23">
        <v>46022</v>
      </c>
      <c r="D926" s="24">
        <v>671</v>
      </c>
      <c r="E926" s="22" t="s">
        <v>173</v>
      </c>
      <c r="F926" s="22" t="s">
        <v>7</v>
      </c>
      <c r="G926" s="22" t="s">
        <v>3065</v>
      </c>
      <c r="H926" s="22" t="s">
        <v>10</v>
      </c>
      <c r="I926" s="22" t="s">
        <v>5554</v>
      </c>
      <c r="J926" s="22" t="s">
        <v>39</v>
      </c>
      <c r="K926" s="22">
        <v>5.18125111805189e+18</v>
      </c>
      <c r="L926" s="22" t="s">
        <v>3067</v>
      </c>
      <c r="M926" s="25"/>
    </row>
    <row r="927" customHeight="1" spans="1:13">
      <c r="A927" s="21">
        <v>45992</v>
      </c>
      <c r="B927" s="22" t="s">
        <v>5475</v>
      </c>
      <c r="C927" s="23">
        <v>46022</v>
      </c>
      <c r="D927" s="24">
        <v>544.34</v>
      </c>
      <c r="E927" s="22" t="s">
        <v>139</v>
      </c>
      <c r="F927" s="22" t="s">
        <v>7</v>
      </c>
      <c r="G927" s="22" t="s">
        <v>3069</v>
      </c>
      <c r="H927" s="22" t="s">
        <v>10</v>
      </c>
      <c r="I927" s="22" t="s">
        <v>5554</v>
      </c>
      <c r="J927" s="22" t="s">
        <v>39</v>
      </c>
      <c r="K927" s="22">
        <v>5.18125111805189e+18</v>
      </c>
      <c r="L927" s="22" t="s">
        <v>3067</v>
      </c>
      <c r="M927" s="25"/>
    </row>
    <row r="928" customHeight="1" spans="1:13">
      <c r="A928" s="21">
        <v>46023</v>
      </c>
      <c r="B928" s="22" t="s">
        <v>5476</v>
      </c>
      <c r="C928" s="23">
        <v>46029</v>
      </c>
      <c r="D928" s="28">
        <v>229674</v>
      </c>
      <c r="E928" s="22" t="s">
        <v>149</v>
      </c>
      <c r="F928" s="22" t="s">
        <v>7</v>
      </c>
      <c r="G928" s="22" t="s">
        <v>3070</v>
      </c>
      <c r="H928" s="22" t="s">
        <v>11</v>
      </c>
      <c r="I928" s="22" t="s">
        <v>5554</v>
      </c>
      <c r="J928" s="22" t="s">
        <v>40</v>
      </c>
      <c r="K928" s="22">
        <v>5.18125080604597e+18</v>
      </c>
      <c r="L928" s="22" t="s">
        <v>3072</v>
      </c>
      <c r="M928" s="25"/>
    </row>
    <row r="929" customHeight="1" spans="1:13">
      <c r="A929" s="21">
        <v>46023</v>
      </c>
      <c r="B929" s="22" t="s">
        <v>5476</v>
      </c>
      <c r="C929" s="23">
        <v>46029</v>
      </c>
      <c r="D929" s="24">
        <v>161113.3</v>
      </c>
      <c r="E929" s="22" t="s">
        <v>149</v>
      </c>
      <c r="F929" s="22" t="s">
        <v>7</v>
      </c>
      <c r="G929" s="22" t="s">
        <v>3073</v>
      </c>
      <c r="H929" s="22" t="s">
        <v>11</v>
      </c>
      <c r="I929" s="22" t="s">
        <v>5554</v>
      </c>
      <c r="J929" s="22" t="s">
        <v>40</v>
      </c>
      <c r="K929" s="22">
        <v>5.18125080604597e+18</v>
      </c>
      <c r="L929" s="22" t="s">
        <v>3072</v>
      </c>
      <c r="M929" s="25"/>
    </row>
    <row r="930" customHeight="1" spans="1:13">
      <c r="A930" s="21">
        <v>46023</v>
      </c>
      <c r="B930" s="22" t="s">
        <v>5476</v>
      </c>
      <c r="C930" s="23">
        <v>46031</v>
      </c>
      <c r="D930" s="28">
        <v>762685</v>
      </c>
      <c r="E930" s="22" t="s">
        <v>173</v>
      </c>
      <c r="F930" s="22" t="s">
        <v>7</v>
      </c>
      <c r="G930" s="22" t="s">
        <v>3076</v>
      </c>
      <c r="H930" s="22" t="s">
        <v>11</v>
      </c>
      <c r="I930" s="22" t="s">
        <v>5554</v>
      </c>
      <c r="J930" s="22" t="s">
        <v>39</v>
      </c>
      <c r="K930" s="22">
        <v>5.1812403060023e+18</v>
      </c>
      <c r="L930" s="24">
        <v>0</v>
      </c>
      <c r="M930" s="25"/>
    </row>
    <row r="931" customHeight="1" spans="1:13">
      <c r="A931" s="21">
        <v>46023</v>
      </c>
      <c r="B931" s="22" t="s">
        <v>5476</v>
      </c>
      <c r="C931" s="23">
        <v>46034</v>
      </c>
      <c r="D931" s="22" t="s">
        <v>2232</v>
      </c>
      <c r="E931" s="22" t="s">
        <v>2232</v>
      </c>
      <c r="F931" s="22" t="s">
        <v>7</v>
      </c>
      <c r="G931" s="22" t="s">
        <v>3078</v>
      </c>
      <c r="H931" s="22" t="s">
        <v>10</v>
      </c>
      <c r="I931" s="22" t="s">
        <v>5554</v>
      </c>
      <c r="J931" s="22" t="s">
        <v>3077</v>
      </c>
      <c r="K931" s="22">
        <v>5.18125112405217e+18</v>
      </c>
      <c r="L931" s="22" t="s">
        <v>3080</v>
      </c>
      <c r="M931" s="25"/>
    </row>
    <row r="932" customHeight="1" spans="1:13">
      <c r="A932" s="21">
        <v>46023</v>
      </c>
      <c r="B932" s="22" t="s">
        <v>5476</v>
      </c>
      <c r="C932" s="23">
        <v>46034</v>
      </c>
      <c r="D932" s="28">
        <v>479000</v>
      </c>
      <c r="E932" s="22" t="s">
        <v>173</v>
      </c>
      <c r="F932" s="22" t="s">
        <v>7</v>
      </c>
      <c r="G932" s="22" t="s">
        <v>3081</v>
      </c>
      <c r="H932" s="22" t="s">
        <v>12</v>
      </c>
      <c r="I932" s="22" t="s">
        <v>5554</v>
      </c>
      <c r="J932" s="22" t="s">
        <v>48</v>
      </c>
      <c r="K932" s="22">
        <v>5.18125112405217e+18</v>
      </c>
      <c r="L932" s="22" t="s">
        <v>3080</v>
      </c>
      <c r="M932" s="25"/>
    </row>
    <row r="933" customHeight="1" spans="1:13">
      <c r="A933" s="21">
        <v>46023</v>
      </c>
      <c r="B933" s="22" t="s">
        <v>5476</v>
      </c>
      <c r="C933" s="23">
        <v>46034</v>
      </c>
      <c r="D933" s="22" t="s">
        <v>2232</v>
      </c>
      <c r="E933" s="22" t="s">
        <v>2232</v>
      </c>
      <c r="F933" s="22" t="s">
        <v>7</v>
      </c>
      <c r="G933" s="22" t="s">
        <v>3082</v>
      </c>
      <c r="H933" s="22" t="s">
        <v>11</v>
      </c>
      <c r="I933" s="22" t="s">
        <v>5554</v>
      </c>
      <c r="J933" s="22" t="s">
        <v>40</v>
      </c>
      <c r="K933" s="22">
        <v>5.18125112405217e+18</v>
      </c>
      <c r="L933" s="22" t="s">
        <v>3080</v>
      </c>
      <c r="M933" s="25"/>
    </row>
    <row r="934" customHeight="1" spans="1:13">
      <c r="A934" s="21">
        <v>46023</v>
      </c>
      <c r="B934" s="22" t="s">
        <v>5476</v>
      </c>
      <c r="C934" s="23">
        <v>46035</v>
      </c>
      <c r="D934" s="22" t="s">
        <v>2232</v>
      </c>
      <c r="E934" s="22" t="s">
        <v>2232</v>
      </c>
      <c r="F934" s="22" t="s">
        <v>7</v>
      </c>
      <c r="G934" s="22" t="s">
        <v>3085</v>
      </c>
      <c r="H934" s="22" t="s">
        <v>10</v>
      </c>
      <c r="I934" s="22" t="s">
        <v>5554</v>
      </c>
      <c r="J934" s="22" t="s">
        <v>46</v>
      </c>
      <c r="K934" s="24">
        <v>0</v>
      </c>
      <c r="L934" s="26" t="e">
        <v>#N/A</v>
      </c>
      <c r="M934" s="25"/>
    </row>
    <row r="935" customHeight="1" spans="1:13">
      <c r="A935" s="21">
        <v>46023</v>
      </c>
      <c r="B935" s="22" t="s">
        <v>5476</v>
      </c>
      <c r="C935" s="23">
        <v>46037</v>
      </c>
      <c r="D935" s="24">
        <v>858794.17</v>
      </c>
      <c r="E935" s="22" t="s">
        <v>173</v>
      </c>
      <c r="F935" s="22" t="s">
        <v>7</v>
      </c>
      <c r="G935" s="22" t="s">
        <v>3086</v>
      </c>
      <c r="H935" s="22" t="s">
        <v>11</v>
      </c>
      <c r="I935" s="22" t="s">
        <v>5554</v>
      </c>
      <c r="J935" s="22" t="s">
        <v>48</v>
      </c>
      <c r="K935" s="22">
        <v>5.1812507230452e+18</v>
      </c>
      <c r="L935" s="22" t="s">
        <v>3088</v>
      </c>
      <c r="M935" s="25"/>
    </row>
    <row r="936" customHeight="1" spans="1:13">
      <c r="A936" s="21">
        <v>46023</v>
      </c>
      <c r="B936" s="22" t="s">
        <v>5476</v>
      </c>
      <c r="C936" s="23">
        <v>46037</v>
      </c>
      <c r="D936" s="24">
        <v>95000</v>
      </c>
      <c r="E936" s="22" t="s">
        <v>149</v>
      </c>
      <c r="F936" s="22" t="s">
        <v>7</v>
      </c>
      <c r="G936" s="22" t="s">
        <v>3089</v>
      </c>
      <c r="H936" s="22" t="s">
        <v>11</v>
      </c>
      <c r="I936" s="22" t="s">
        <v>5554</v>
      </c>
      <c r="J936" s="22" t="s">
        <v>40</v>
      </c>
      <c r="K936" s="22">
        <v>5.1812507230452e+18</v>
      </c>
      <c r="L936" s="22" t="s">
        <v>3088</v>
      </c>
      <c r="M936" s="25"/>
    </row>
    <row r="937" customHeight="1" spans="1:13">
      <c r="A937" s="21">
        <v>46023</v>
      </c>
      <c r="B937" s="22" t="s">
        <v>5477</v>
      </c>
      <c r="C937" s="23">
        <v>46042</v>
      </c>
      <c r="D937" s="24">
        <v>1768729.79</v>
      </c>
      <c r="E937" s="22" t="s">
        <v>173</v>
      </c>
      <c r="F937" s="22" t="s">
        <v>7</v>
      </c>
      <c r="G937" s="22" t="s">
        <v>3093</v>
      </c>
      <c r="H937" s="22" t="s">
        <v>12</v>
      </c>
      <c r="I937" s="22" t="s">
        <v>5554</v>
      </c>
      <c r="J937" s="22" t="s">
        <v>48</v>
      </c>
      <c r="K937" s="22">
        <v>5.18125060304238e+18</v>
      </c>
      <c r="L937" s="22" t="s">
        <v>2291</v>
      </c>
      <c r="M937" s="25"/>
    </row>
    <row r="938" customHeight="1" spans="1:13">
      <c r="A938" s="21">
        <v>46023</v>
      </c>
      <c r="B938" s="22" t="s">
        <v>5477</v>
      </c>
      <c r="C938" s="23">
        <v>46044</v>
      </c>
      <c r="D938" s="24">
        <v>75</v>
      </c>
      <c r="E938" s="22" t="s">
        <v>149</v>
      </c>
      <c r="F938" s="22" t="s">
        <v>7</v>
      </c>
      <c r="G938" s="22" t="s">
        <v>3095</v>
      </c>
      <c r="H938" s="22" t="s">
        <v>10</v>
      </c>
      <c r="I938" s="22" t="s">
        <v>5554</v>
      </c>
      <c r="J938" s="22" t="s">
        <v>52</v>
      </c>
      <c r="K938" s="22">
        <v>5.18124092402863e+18</v>
      </c>
      <c r="L938" s="22" t="s">
        <v>3098</v>
      </c>
      <c r="M938" s="25"/>
    </row>
    <row r="939" customHeight="1" spans="1:13">
      <c r="A939" s="21">
        <v>46054</v>
      </c>
      <c r="B939" s="22" t="s">
        <v>5478</v>
      </c>
      <c r="C939" s="23">
        <v>46055</v>
      </c>
      <c r="D939" s="24">
        <v>99000000</v>
      </c>
      <c r="E939" s="22" t="s">
        <v>3101</v>
      </c>
      <c r="F939" s="22" t="s">
        <v>7</v>
      </c>
      <c r="G939" s="22" t="s">
        <v>3100</v>
      </c>
      <c r="H939" s="22" t="s">
        <v>11</v>
      </c>
      <c r="I939" s="22" t="s">
        <v>5554</v>
      </c>
      <c r="J939" s="22" t="s">
        <v>3099</v>
      </c>
      <c r="K939" s="22">
        <v>5.18125112805238e+18</v>
      </c>
      <c r="L939" s="22" t="s">
        <v>3103</v>
      </c>
      <c r="M939" s="25"/>
    </row>
    <row r="940" customHeight="1" spans="1:13">
      <c r="A940" s="21">
        <v>46054</v>
      </c>
      <c r="B940" s="22" t="s">
        <v>5478</v>
      </c>
      <c r="C940" s="23">
        <v>46064</v>
      </c>
      <c r="D940" s="22" t="s">
        <v>2232</v>
      </c>
      <c r="E940" s="22" t="s">
        <v>2232</v>
      </c>
      <c r="F940" s="22" t="s">
        <v>7</v>
      </c>
      <c r="G940" s="22" t="s">
        <v>3104</v>
      </c>
      <c r="H940" s="22" t="s">
        <v>10</v>
      </c>
      <c r="I940" s="22" t="s">
        <v>5554</v>
      </c>
      <c r="J940" s="22" t="s">
        <v>52</v>
      </c>
      <c r="K940" s="22">
        <v>5.181250807046e+18</v>
      </c>
      <c r="L940" s="22" t="s">
        <v>3106</v>
      </c>
      <c r="M940" s="25"/>
    </row>
    <row r="941" customHeight="1" spans="1:13">
      <c r="A941" s="21">
        <v>46054</v>
      </c>
      <c r="B941" s="22" t="s">
        <v>5478</v>
      </c>
      <c r="C941" s="23">
        <v>46064</v>
      </c>
      <c r="D941" s="27">
        <v>174933.02</v>
      </c>
      <c r="E941" s="22" t="s">
        <v>173</v>
      </c>
      <c r="F941" s="22" t="s">
        <v>7</v>
      </c>
      <c r="G941" s="22" t="s">
        <v>3107</v>
      </c>
      <c r="H941" s="22" t="s">
        <v>11</v>
      </c>
      <c r="I941" s="22" t="s">
        <v>5554</v>
      </c>
      <c r="J941" s="22" t="s">
        <v>48</v>
      </c>
      <c r="K941" s="22">
        <v>5.181250807046e+18</v>
      </c>
      <c r="L941" s="22" t="s">
        <v>3106</v>
      </c>
      <c r="M941" s="25"/>
    </row>
    <row r="942" customHeight="1" spans="1:13">
      <c r="A942" s="21">
        <v>46054</v>
      </c>
      <c r="B942" s="22" t="s">
        <v>5478</v>
      </c>
      <c r="C942" s="23">
        <v>46065</v>
      </c>
      <c r="D942" s="24">
        <v>81358.9</v>
      </c>
      <c r="E942" s="22" t="s">
        <v>173</v>
      </c>
      <c r="F942" s="22" t="s">
        <v>7</v>
      </c>
      <c r="G942" s="22" t="s">
        <v>3110</v>
      </c>
      <c r="H942" s="22" t="s">
        <v>12</v>
      </c>
      <c r="I942" s="22" t="s">
        <v>5554</v>
      </c>
      <c r="J942" s="22" t="s">
        <v>39</v>
      </c>
      <c r="K942" s="24">
        <v>0</v>
      </c>
      <c r="L942" s="26" t="e">
        <v>#N/A</v>
      </c>
      <c r="M942" s="25"/>
    </row>
    <row r="943" customHeight="1" spans="1:13">
      <c r="A943" s="21">
        <v>46054</v>
      </c>
      <c r="B943" s="22" t="s">
        <v>5478</v>
      </c>
      <c r="C943" s="23">
        <v>46065</v>
      </c>
      <c r="D943" s="24">
        <v>3959955</v>
      </c>
      <c r="E943" s="22" t="s">
        <v>173</v>
      </c>
      <c r="F943" s="22" t="s">
        <v>7</v>
      </c>
      <c r="G943" s="22" t="s">
        <v>3112</v>
      </c>
      <c r="H943" s="22" t="s">
        <v>12</v>
      </c>
      <c r="I943" s="22" t="s">
        <v>5554</v>
      </c>
      <c r="J943" s="22" t="s">
        <v>48</v>
      </c>
      <c r="K943" s="24">
        <v>0</v>
      </c>
      <c r="L943" s="26" t="e">
        <v>#N/A</v>
      </c>
      <c r="M943" s="25"/>
    </row>
    <row r="944" customHeight="1" spans="1:13">
      <c r="A944" s="21">
        <v>46054</v>
      </c>
      <c r="B944" s="22" t="s">
        <v>5479</v>
      </c>
      <c r="C944" s="23">
        <v>46069</v>
      </c>
      <c r="D944" s="27">
        <v>907938.53</v>
      </c>
      <c r="E944" s="22" t="s">
        <v>173</v>
      </c>
      <c r="F944" s="22" t="s">
        <v>7</v>
      </c>
      <c r="G944" s="22" t="s">
        <v>5564</v>
      </c>
      <c r="H944" s="22" t="s">
        <v>12</v>
      </c>
      <c r="I944" s="22" t="s">
        <v>5554</v>
      </c>
      <c r="J944" s="22" t="s">
        <v>48</v>
      </c>
      <c r="K944" s="22">
        <v>5.18125081204623e+18</v>
      </c>
      <c r="L944" s="22" t="s">
        <v>3117</v>
      </c>
      <c r="M944" s="25"/>
    </row>
    <row r="945" customHeight="1" spans="1:13">
      <c r="A945" s="21">
        <v>46054</v>
      </c>
      <c r="B945" s="22" t="s">
        <v>5479</v>
      </c>
      <c r="C945" s="23">
        <v>46078</v>
      </c>
      <c r="D945" s="24">
        <v>160000</v>
      </c>
      <c r="E945" s="22" t="s">
        <v>173</v>
      </c>
      <c r="F945" s="22" t="s">
        <v>7</v>
      </c>
      <c r="G945" s="22" t="s">
        <v>3118</v>
      </c>
      <c r="H945" s="22" t="s">
        <v>12</v>
      </c>
      <c r="I945" s="22" t="s">
        <v>5554</v>
      </c>
      <c r="J945" s="22" t="s">
        <v>48</v>
      </c>
      <c r="K945" s="22">
        <v>5.18125032703954e+18</v>
      </c>
      <c r="L945" s="22" t="s">
        <v>1642</v>
      </c>
      <c r="M945" s="25"/>
    </row>
    <row r="946" customHeight="1" spans="1:13">
      <c r="A946" s="21">
        <v>46082</v>
      </c>
      <c r="B946" s="22" t="s">
        <v>5480</v>
      </c>
      <c r="C946" s="23">
        <v>46084</v>
      </c>
      <c r="D946" s="22" t="s">
        <v>2232</v>
      </c>
      <c r="E946" s="22" t="s">
        <v>2232</v>
      </c>
      <c r="F946" s="22" t="s">
        <v>7</v>
      </c>
      <c r="G946" s="22" t="s">
        <v>3120</v>
      </c>
      <c r="H946" s="22" t="s">
        <v>12</v>
      </c>
      <c r="I946" s="22" t="s">
        <v>5554</v>
      </c>
      <c r="J946" s="22" t="s">
        <v>46</v>
      </c>
      <c r="K946" s="24">
        <v>0</v>
      </c>
      <c r="L946" s="26" t="e">
        <v>#N/A</v>
      </c>
      <c r="M946" s="25"/>
    </row>
    <row r="947" customHeight="1" spans="1:13">
      <c r="A947" s="21">
        <v>46082</v>
      </c>
      <c r="B947" s="22" t="s">
        <v>5480</v>
      </c>
      <c r="C947" s="23">
        <v>46085</v>
      </c>
      <c r="D947" s="28">
        <v>50500</v>
      </c>
      <c r="E947" s="22" t="s">
        <v>149</v>
      </c>
      <c r="F947" s="22" t="s">
        <v>7</v>
      </c>
      <c r="G947" s="22" t="s">
        <v>5565</v>
      </c>
      <c r="H947" s="22" t="s">
        <v>10</v>
      </c>
      <c r="I947" s="22" t="s">
        <v>5554</v>
      </c>
      <c r="J947" s="22" t="s">
        <v>40</v>
      </c>
      <c r="K947" s="22">
        <v>5.18125111405163e+18</v>
      </c>
      <c r="L947" s="22" t="s">
        <v>3122</v>
      </c>
      <c r="M947" s="25"/>
    </row>
    <row r="948" customHeight="1" spans="1:13">
      <c r="A948" s="21">
        <v>46082</v>
      </c>
      <c r="B948" s="22" t="s">
        <v>5480</v>
      </c>
      <c r="C948" s="23">
        <v>46086</v>
      </c>
      <c r="D948" s="24">
        <v>844500000</v>
      </c>
      <c r="E948" s="22" t="s">
        <v>1037</v>
      </c>
      <c r="F948" s="22" t="s">
        <v>7</v>
      </c>
      <c r="G948" s="22" t="s">
        <v>3123</v>
      </c>
      <c r="H948" s="22" t="s">
        <v>11</v>
      </c>
      <c r="I948" s="22" t="s">
        <v>5554</v>
      </c>
      <c r="J948" s="22" t="s">
        <v>49</v>
      </c>
      <c r="K948" s="22">
        <v>5.18125102005e+18</v>
      </c>
      <c r="L948" s="22" t="s">
        <v>2251</v>
      </c>
      <c r="M948" s="25"/>
    </row>
    <row r="949" customHeight="1" spans="1:13">
      <c r="A949" s="21">
        <v>46082</v>
      </c>
      <c r="B949" s="22" t="s">
        <v>5480</v>
      </c>
      <c r="C949" s="23">
        <v>46087</v>
      </c>
      <c r="D949" s="24">
        <v>12643795640</v>
      </c>
      <c r="E949" s="22" t="s">
        <v>1037</v>
      </c>
      <c r="F949" s="22" t="s">
        <v>7</v>
      </c>
      <c r="G949" s="22" t="s">
        <v>3126</v>
      </c>
      <c r="H949" s="22" t="s">
        <v>11</v>
      </c>
      <c r="I949" s="22" t="s">
        <v>5554</v>
      </c>
      <c r="J949" s="22" t="s">
        <v>3077</v>
      </c>
      <c r="K949" s="22">
        <v>5.18125110105075e+18</v>
      </c>
      <c r="L949" s="22" t="s">
        <v>3128</v>
      </c>
      <c r="M949" s="25"/>
    </row>
    <row r="950" customHeight="1" spans="1:13">
      <c r="A950" s="21">
        <v>46082</v>
      </c>
      <c r="B950" s="22" t="s">
        <v>5480</v>
      </c>
      <c r="C950" s="23">
        <v>46090</v>
      </c>
      <c r="D950" s="22" t="s">
        <v>2232</v>
      </c>
      <c r="E950" s="22" t="s">
        <v>2232</v>
      </c>
      <c r="F950" s="22" t="s">
        <v>7</v>
      </c>
      <c r="G950" s="22" t="s">
        <v>3136</v>
      </c>
      <c r="H950" s="22" t="s">
        <v>11</v>
      </c>
      <c r="I950" s="22" t="s">
        <v>5554</v>
      </c>
      <c r="J950" s="22" t="s">
        <v>52</v>
      </c>
      <c r="K950" s="22">
        <v>5.18125111705179e+18</v>
      </c>
      <c r="L950" s="22" t="s">
        <v>1945</v>
      </c>
      <c r="M950" s="25"/>
    </row>
    <row r="951" customHeight="1" spans="1:13">
      <c r="A951" s="21">
        <v>46082</v>
      </c>
      <c r="B951" s="22" t="s">
        <v>5480</v>
      </c>
      <c r="C951" s="23">
        <v>46093</v>
      </c>
      <c r="D951" s="22" t="s">
        <v>2232</v>
      </c>
      <c r="E951" s="22" t="s">
        <v>2232</v>
      </c>
      <c r="F951" s="22" t="s">
        <v>7</v>
      </c>
      <c r="G951" s="22" t="s">
        <v>3137</v>
      </c>
      <c r="H951" s="22" t="s">
        <v>11</v>
      </c>
      <c r="I951" s="22" t="s">
        <v>5554</v>
      </c>
      <c r="J951" s="22" t="s">
        <v>52</v>
      </c>
      <c r="K951" s="22">
        <v>5.18125111705179e+18</v>
      </c>
      <c r="L951" s="22" t="s">
        <v>1945</v>
      </c>
      <c r="M951" s="25"/>
    </row>
    <row r="952" customHeight="1" spans="1:13">
      <c r="A952" s="21">
        <v>46082</v>
      </c>
      <c r="B952" s="22" t="s">
        <v>5481</v>
      </c>
      <c r="C952" s="23">
        <v>46097</v>
      </c>
      <c r="D952" s="22" t="s">
        <v>2232</v>
      </c>
      <c r="E952" s="22" t="s">
        <v>2232</v>
      </c>
      <c r="F952" s="22" t="s">
        <v>7</v>
      </c>
      <c r="G952" s="22" t="s">
        <v>3120</v>
      </c>
      <c r="H952" s="22" t="s">
        <v>10</v>
      </c>
      <c r="I952" s="22" t="s">
        <v>5554</v>
      </c>
      <c r="J952" s="22" t="s">
        <v>46</v>
      </c>
      <c r="K952" s="24">
        <v>0</v>
      </c>
      <c r="L952" s="26" t="e">
        <v>#N/A</v>
      </c>
      <c r="M952" s="25"/>
    </row>
    <row r="953" customHeight="1" spans="1:13">
      <c r="A953" s="21">
        <v>46082</v>
      </c>
      <c r="B953" s="22" t="s">
        <v>5481</v>
      </c>
      <c r="C953" s="23">
        <v>46097</v>
      </c>
      <c r="D953" s="24">
        <v>8755</v>
      </c>
      <c r="E953" s="22" t="s">
        <v>173</v>
      </c>
      <c r="F953" s="22" t="s">
        <v>7</v>
      </c>
      <c r="G953" s="22" t="s">
        <v>3138</v>
      </c>
      <c r="H953" s="22" t="s">
        <v>11</v>
      </c>
      <c r="I953" s="22" t="s">
        <v>5554</v>
      </c>
      <c r="J953" s="22" t="s">
        <v>39</v>
      </c>
      <c r="K953" s="24">
        <v>0</v>
      </c>
      <c r="L953" s="26" t="e">
        <v>#N/A</v>
      </c>
      <c r="M953" s="25"/>
    </row>
    <row r="954" customHeight="1" spans="1:13">
      <c r="A954" s="21">
        <v>46082</v>
      </c>
      <c r="B954" s="22" t="s">
        <v>5481</v>
      </c>
      <c r="C954" s="23">
        <v>46107</v>
      </c>
      <c r="D954" s="28">
        <v>4998915</v>
      </c>
      <c r="E954" s="22" t="s">
        <v>173</v>
      </c>
      <c r="F954" s="22" t="s">
        <v>7</v>
      </c>
      <c r="G954" s="22" t="s">
        <v>3141</v>
      </c>
      <c r="H954" s="22" t="s">
        <v>12</v>
      </c>
      <c r="I954" s="22" t="s">
        <v>5554</v>
      </c>
      <c r="J954" s="22" t="s">
        <v>48</v>
      </c>
      <c r="K954" s="22">
        <v>5.18125091204796e+18</v>
      </c>
      <c r="L954" s="22" t="s">
        <v>3144</v>
      </c>
      <c r="M954" s="25"/>
    </row>
    <row r="955" customHeight="1" spans="1:13">
      <c r="A955" s="21">
        <v>46082</v>
      </c>
      <c r="B955" s="22" t="s">
        <v>5481</v>
      </c>
      <c r="C955" s="23">
        <v>46107</v>
      </c>
      <c r="D955" s="28">
        <v>1688358</v>
      </c>
      <c r="E955" s="22" t="s">
        <v>173</v>
      </c>
      <c r="F955" s="22" t="s">
        <v>7</v>
      </c>
      <c r="G955" s="22" t="s">
        <v>3145</v>
      </c>
      <c r="H955" s="22" t="s">
        <v>11</v>
      </c>
      <c r="I955" s="22" t="s">
        <v>5554</v>
      </c>
      <c r="J955" s="22" t="s">
        <v>48</v>
      </c>
      <c r="K955" s="22">
        <v>5.18125091204796e+18</v>
      </c>
      <c r="L955" s="22" t="s">
        <v>3144</v>
      </c>
      <c r="M955" s="25"/>
    </row>
    <row r="956" customHeight="1" spans="1:13">
      <c r="A956" s="21">
        <v>46082</v>
      </c>
      <c r="B956" s="22" t="s">
        <v>5481</v>
      </c>
      <c r="C956" s="23">
        <v>46111</v>
      </c>
      <c r="D956" s="28">
        <v>3026000</v>
      </c>
      <c r="E956" s="22" t="s">
        <v>173</v>
      </c>
      <c r="F956" s="22" t="s">
        <v>7</v>
      </c>
      <c r="G956" s="22" t="s">
        <v>3146</v>
      </c>
      <c r="H956" s="22" t="s">
        <v>12</v>
      </c>
      <c r="I956" s="22" t="s">
        <v>5554</v>
      </c>
      <c r="J956" s="22" t="s">
        <v>48</v>
      </c>
      <c r="K956" s="22">
        <v>5.18125102004995e+18</v>
      </c>
      <c r="L956" s="22" t="s">
        <v>3148</v>
      </c>
      <c r="M956" s="25"/>
    </row>
    <row r="957" customHeight="1" spans="1:13">
      <c r="A957" s="21">
        <v>46113</v>
      </c>
      <c r="B957" s="22" t="s">
        <v>5482</v>
      </c>
      <c r="C957" s="23">
        <v>46113</v>
      </c>
      <c r="D957" s="28">
        <v>3866447001</v>
      </c>
      <c r="E957" s="22" t="s">
        <v>1037</v>
      </c>
      <c r="F957" s="22" t="s">
        <v>7</v>
      </c>
      <c r="G957" s="22" t="s">
        <v>3151</v>
      </c>
      <c r="H957" s="22" t="s">
        <v>11</v>
      </c>
      <c r="I957" s="22" t="s">
        <v>5554</v>
      </c>
      <c r="J957" s="22" t="s">
        <v>3077</v>
      </c>
      <c r="K957" s="22">
        <v>5.18124070301332e+18</v>
      </c>
      <c r="L957" s="22" t="s">
        <v>3153</v>
      </c>
      <c r="M957" s="25"/>
    </row>
    <row r="958" customHeight="1" spans="1:13">
      <c r="A958" s="21">
        <v>46113</v>
      </c>
      <c r="B958" s="22" t="s">
        <v>5482</v>
      </c>
      <c r="C958" s="23">
        <v>46115</v>
      </c>
      <c r="D958" s="24">
        <v>301826.88</v>
      </c>
      <c r="E958" s="22" t="s">
        <v>1186</v>
      </c>
      <c r="F958" s="22" t="s">
        <v>7</v>
      </c>
      <c r="G958" s="22" t="s">
        <v>2999</v>
      </c>
      <c r="H958" s="22" t="s">
        <v>12</v>
      </c>
      <c r="I958" s="22" t="s">
        <v>5554</v>
      </c>
      <c r="J958" s="22" t="s">
        <v>44</v>
      </c>
      <c r="K958" s="22">
        <v>5.18125052104176e+18</v>
      </c>
      <c r="L958" s="22" t="s">
        <v>3155</v>
      </c>
      <c r="M958" s="25"/>
    </row>
    <row r="959" customHeight="1" spans="1:13">
      <c r="A959" s="21">
        <v>46113</v>
      </c>
      <c r="B959" s="22" t="s">
        <v>5482</v>
      </c>
      <c r="C959" s="23">
        <v>46122</v>
      </c>
      <c r="D959" s="27">
        <v>19015957</v>
      </c>
      <c r="E959" s="22" t="s">
        <v>173</v>
      </c>
      <c r="F959" s="22" t="s">
        <v>7</v>
      </c>
      <c r="G959" s="22" t="s">
        <v>3157</v>
      </c>
      <c r="H959" s="22" t="s">
        <v>12</v>
      </c>
      <c r="I959" s="22" t="s">
        <v>5554</v>
      </c>
      <c r="J959" s="22" t="s">
        <v>48</v>
      </c>
      <c r="K959" s="22">
        <v>5.18124010500166e+18</v>
      </c>
      <c r="L959" s="22" t="s">
        <v>3160</v>
      </c>
      <c r="M959" s="25"/>
    </row>
    <row r="960" customHeight="1" spans="1:13">
      <c r="A960" s="21">
        <v>46113</v>
      </c>
      <c r="B960" s="22" t="s">
        <v>5482</v>
      </c>
      <c r="C960" s="23">
        <v>46125</v>
      </c>
      <c r="D960" s="27">
        <v>647454.1</v>
      </c>
      <c r="E960" s="22" t="s">
        <v>173</v>
      </c>
      <c r="F960" s="22" t="s">
        <v>7</v>
      </c>
      <c r="G960" s="22" t="s">
        <v>3161</v>
      </c>
      <c r="H960" s="22" t="s">
        <v>12</v>
      </c>
      <c r="I960" s="22" t="s">
        <v>5554</v>
      </c>
      <c r="J960" s="22" t="s">
        <v>48</v>
      </c>
      <c r="K960" s="22">
        <v>5.18125110705113e+18</v>
      </c>
      <c r="L960" s="22" t="s">
        <v>1967</v>
      </c>
      <c r="M960" s="25"/>
    </row>
    <row r="961" customHeight="1" spans="1:13">
      <c r="A961" s="21">
        <v>46113</v>
      </c>
      <c r="B961" s="22" t="s">
        <v>5482</v>
      </c>
      <c r="C961" s="23">
        <v>46122</v>
      </c>
      <c r="D961" s="27">
        <v>24113.75</v>
      </c>
      <c r="E961" s="22" t="s">
        <v>173</v>
      </c>
      <c r="F961" s="22" t="s">
        <v>7</v>
      </c>
      <c r="G961" s="22" t="s">
        <v>3164</v>
      </c>
      <c r="H961" s="22" t="s">
        <v>10</v>
      </c>
      <c r="I961" s="22" t="s">
        <v>5554</v>
      </c>
      <c r="J961" s="22" t="s">
        <v>51</v>
      </c>
      <c r="K961" s="22">
        <v>5.18124010500166e+18</v>
      </c>
      <c r="L961" s="22" t="s">
        <v>3160</v>
      </c>
      <c r="M961" s="25"/>
    </row>
    <row r="962" customHeight="1" spans="1:13">
      <c r="A962" s="21">
        <v>46113</v>
      </c>
      <c r="B962" s="22" t="s">
        <v>5482</v>
      </c>
      <c r="C962" s="23">
        <v>46122</v>
      </c>
      <c r="D962" s="27">
        <v>41082</v>
      </c>
      <c r="E962" s="22" t="s">
        <v>173</v>
      </c>
      <c r="F962" s="22" t="s">
        <v>7</v>
      </c>
      <c r="G962" s="22" t="s">
        <v>5566</v>
      </c>
      <c r="H962" s="22" t="s">
        <v>10</v>
      </c>
      <c r="I962" s="22" t="s">
        <v>5554</v>
      </c>
      <c r="J962" s="22" t="s">
        <v>51</v>
      </c>
      <c r="K962" s="22">
        <v>5.18124010500166e+18</v>
      </c>
      <c r="L962" s="22" t="s">
        <v>3160</v>
      </c>
      <c r="M962" s="25"/>
    </row>
    <row r="963" customHeight="1" spans="1:13">
      <c r="A963" s="21">
        <v>46113</v>
      </c>
      <c r="B963" s="22" t="s">
        <v>5483</v>
      </c>
      <c r="C963" s="23">
        <v>46128</v>
      </c>
      <c r="D963" s="27">
        <v>29345</v>
      </c>
      <c r="E963" s="22" t="s">
        <v>173</v>
      </c>
      <c r="F963" s="22" t="s">
        <v>7</v>
      </c>
      <c r="G963" s="22" t="s">
        <v>3208</v>
      </c>
      <c r="H963" s="22" t="s">
        <v>12</v>
      </c>
      <c r="I963" s="22" t="s">
        <v>5554</v>
      </c>
      <c r="J963" s="22" t="s">
        <v>48</v>
      </c>
      <c r="K963" s="22">
        <v>5.18121040200007e+18</v>
      </c>
      <c r="L963" s="22" t="s">
        <v>3210</v>
      </c>
      <c r="M963" s="25"/>
    </row>
    <row r="964" customHeight="1" spans="1:13">
      <c r="A964" s="21">
        <v>46113</v>
      </c>
      <c r="B964" s="22" t="s">
        <v>5483</v>
      </c>
      <c r="C964" s="23">
        <v>46132</v>
      </c>
      <c r="D964" s="27">
        <v>123618</v>
      </c>
      <c r="E964" s="22" t="s">
        <v>173</v>
      </c>
      <c r="F964" s="22" t="s">
        <v>7</v>
      </c>
      <c r="G964" s="22" t="s">
        <v>3212</v>
      </c>
      <c r="H964" s="22" t="s">
        <v>12</v>
      </c>
      <c r="I964" s="22" t="s">
        <v>5554</v>
      </c>
      <c r="J964" s="22" t="s">
        <v>48</v>
      </c>
      <c r="K964" s="22">
        <v>5.18125102805047e+18</v>
      </c>
      <c r="L964" s="22" t="s">
        <v>3214</v>
      </c>
      <c r="M964" s="25"/>
    </row>
    <row r="965" customHeight="1" spans="1:13">
      <c r="A965" s="21">
        <v>46113</v>
      </c>
      <c r="B965" s="22" t="s">
        <v>5483</v>
      </c>
      <c r="C965" s="23">
        <v>46132</v>
      </c>
      <c r="D965" s="27">
        <v>1071151.4</v>
      </c>
      <c r="E965" s="22" t="s">
        <v>173</v>
      </c>
      <c r="F965" s="22" t="s">
        <v>7</v>
      </c>
      <c r="G965" s="22" t="s">
        <v>3215</v>
      </c>
      <c r="H965" s="22" t="s">
        <v>11</v>
      </c>
      <c r="I965" s="22" t="s">
        <v>5554</v>
      </c>
      <c r="J965" s="22" t="s">
        <v>48</v>
      </c>
      <c r="K965" s="22">
        <v>5.18125102805047e+18</v>
      </c>
      <c r="L965" s="22" t="s">
        <v>3214</v>
      </c>
      <c r="M965" s="25"/>
    </row>
    <row r="966" customHeight="1" spans="1:13">
      <c r="A966" s="21">
        <v>46113</v>
      </c>
      <c r="B966" s="22" t="s">
        <v>5483</v>
      </c>
      <c r="C966" s="23">
        <v>46132</v>
      </c>
      <c r="D966" s="27">
        <v>1030221.75</v>
      </c>
      <c r="E966" s="22" t="s">
        <v>173</v>
      </c>
      <c r="F966" s="22" t="s">
        <v>7</v>
      </c>
      <c r="G966" s="22" t="s">
        <v>3217</v>
      </c>
      <c r="H966" s="22" t="s">
        <v>12</v>
      </c>
      <c r="I966" s="22" t="s">
        <v>5554</v>
      </c>
      <c r="J966" s="22" t="s">
        <v>48</v>
      </c>
      <c r="K966" s="22">
        <v>5.18125102805047e+18</v>
      </c>
      <c r="L966" s="22" t="s">
        <v>3214</v>
      </c>
      <c r="M966" s="25"/>
    </row>
    <row r="967" customHeight="1" spans="1:13">
      <c r="A967" s="21">
        <v>46113</v>
      </c>
      <c r="B967" s="22" t="s">
        <v>5483</v>
      </c>
      <c r="C967" s="23">
        <v>46135</v>
      </c>
      <c r="D967" s="27">
        <v>290926.15</v>
      </c>
      <c r="E967" s="22" t="s">
        <v>1062</v>
      </c>
      <c r="F967" s="22" t="s">
        <v>7</v>
      </c>
      <c r="G967" s="22" t="s">
        <v>2360</v>
      </c>
      <c r="H967" s="22" t="s">
        <v>12</v>
      </c>
      <c r="I967" s="22" t="s">
        <v>5554</v>
      </c>
      <c r="J967" s="22" t="s">
        <v>44</v>
      </c>
      <c r="K967" s="22">
        <v>5.18125052104176e+18</v>
      </c>
      <c r="L967" s="22" t="s">
        <v>3155</v>
      </c>
      <c r="M967" s="25"/>
    </row>
    <row r="968" customHeight="1" spans="1:13">
      <c r="A968" s="21">
        <v>46113</v>
      </c>
      <c r="B968" s="22" t="s">
        <v>5483</v>
      </c>
      <c r="C968" s="23">
        <v>46139</v>
      </c>
      <c r="D968" s="27">
        <v>1310898731</v>
      </c>
      <c r="E968" s="22" t="s">
        <v>1349</v>
      </c>
      <c r="F968" s="22" t="s">
        <v>7</v>
      </c>
      <c r="G968" s="22" t="s">
        <v>2360</v>
      </c>
      <c r="H968" s="22" t="s">
        <v>12</v>
      </c>
      <c r="I968" s="22" t="s">
        <v>5554</v>
      </c>
      <c r="J968" s="22" t="s">
        <v>44</v>
      </c>
      <c r="K968" s="22">
        <v>5.18125011703734e+18</v>
      </c>
      <c r="L968" s="22" t="s">
        <v>3246</v>
      </c>
      <c r="M968" s="25"/>
    </row>
    <row r="969" customHeight="1" spans="1:13">
      <c r="A969" s="21">
        <v>46113</v>
      </c>
      <c r="B969" s="22" t="s">
        <v>5483</v>
      </c>
      <c r="C969" s="23">
        <v>46142</v>
      </c>
      <c r="D969" s="27">
        <v>57540238</v>
      </c>
      <c r="E969" s="22" t="s">
        <v>1172</v>
      </c>
      <c r="F969" s="22" t="s">
        <v>7</v>
      </c>
      <c r="G969" s="22" t="s">
        <v>3248</v>
      </c>
      <c r="H969" s="22" t="s">
        <v>10</v>
      </c>
      <c r="I969" s="22" t="s">
        <v>5554</v>
      </c>
      <c r="J969" s="22" t="s">
        <v>44</v>
      </c>
      <c r="K969" s="22">
        <v>5.1812503110388e+18</v>
      </c>
      <c r="L969" s="22" t="s">
        <v>709</v>
      </c>
      <c r="M969" s="25"/>
    </row>
    <row r="970" customHeight="1" spans="1:13">
      <c r="A970" s="21">
        <v>46143</v>
      </c>
      <c r="B970" s="22" t="s">
        <v>5484</v>
      </c>
      <c r="C970" s="23">
        <v>46148</v>
      </c>
      <c r="D970" s="27">
        <v>300370</v>
      </c>
      <c r="E970" s="22" t="s">
        <v>173</v>
      </c>
      <c r="F970" s="22" t="s">
        <v>7</v>
      </c>
      <c r="G970" s="22" t="s">
        <v>3257</v>
      </c>
      <c r="H970" s="22" t="s">
        <v>12</v>
      </c>
      <c r="I970" s="22" t="s">
        <v>5554</v>
      </c>
      <c r="J970" s="22" t="s">
        <v>48</v>
      </c>
      <c r="K970" s="22">
        <v>5.18125112705233e+18</v>
      </c>
      <c r="L970" s="22" t="s">
        <v>2602</v>
      </c>
      <c r="M970" s="25"/>
    </row>
    <row r="971" customHeight="1" spans="1:13">
      <c r="A971" s="21">
        <v>46143</v>
      </c>
      <c r="B971" s="22" t="s">
        <v>5484</v>
      </c>
      <c r="C971" s="23">
        <v>46149</v>
      </c>
      <c r="D971" s="22" t="s">
        <v>2232</v>
      </c>
      <c r="E971" s="22" t="s">
        <v>2232</v>
      </c>
      <c r="F971" s="22" t="s">
        <v>7</v>
      </c>
      <c r="G971" s="22" t="s">
        <v>3261</v>
      </c>
      <c r="H971" s="22" t="s">
        <v>10</v>
      </c>
      <c r="I971" s="22" t="s">
        <v>5554</v>
      </c>
      <c r="J971" s="22" t="s">
        <v>52</v>
      </c>
      <c r="K971" s="22">
        <v>5.1812404010029e+18</v>
      </c>
      <c r="L971" s="22" t="s">
        <v>3263</v>
      </c>
      <c r="M971" s="25"/>
    </row>
    <row r="972" customHeight="1" spans="1:13">
      <c r="A972" s="21">
        <v>46143</v>
      </c>
      <c r="B972" s="22" t="s">
        <v>5484</v>
      </c>
      <c r="C972" s="23">
        <v>46149</v>
      </c>
      <c r="D972" s="27">
        <v>19577041.04</v>
      </c>
      <c r="E972" s="22" t="s">
        <v>173</v>
      </c>
      <c r="F972" s="22" t="s">
        <v>7</v>
      </c>
      <c r="G972" s="22" t="s">
        <v>3264</v>
      </c>
      <c r="H972" s="22" t="s">
        <v>12</v>
      </c>
      <c r="I972" s="22" t="s">
        <v>5554</v>
      </c>
      <c r="J972" s="22" t="s">
        <v>48</v>
      </c>
      <c r="K972" s="22">
        <v>5.1812404010029e+18</v>
      </c>
      <c r="L972" s="22" t="s">
        <v>3263</v>
      </c>
      <c r="M972" s="25"/>
    </row>
    <row r="973" customHeight="1" spans="1:13">
      <c r="A973" s="21">
        <v>46143</v>
      </c>
      <c r="B973" s="22" t="s">
        <v>5484</v>
      </c>
      <c r="C973" s="23">
        <v>46151</v>
      </c>
      <c r="D973" s="24">
        <v>160470.38</v>
      </c>
      <c r="E973" s="22" t="s">
        <v>173</v>
      </c>
      <c r="F973" s="22" t="s">
        <v>7</v>
      </c>
      <c r="G973" s="22" t="s">
        <v>3266</v>
      </c>
      <c r="H973" s="22" t="s">
        <v>11</v>
      </c>
      <c r="I973" s="22" t="s">
        <v>5554</v>
      </c>
      <c r="J973" s="22" t="s">
        <v>48</v>
      </c>
      <c r="K973" s="22">
        <v>5.1812508020458e+18</v>
      </c>
      <c r="L973" s="22" t="s">
        <v>3269</v>
      </c>
      <c r="M973" s="25"/>
    </row>
    <row r="974" customHeight="1" spans="1:13">
      <c r="A974" s="21">
        <v>46143</v>
      </c>
      <c r="B974" s="22" t="s">
        <v>5484</v>
      </c>
      <c r="C974" s="23">
        <v>46154</v>
      </c>
      <c r="D974" s="22" t="s">
        <v>2232</v>
      </c>
      <c r="E974" s="22" t="s">
        <v>2232</v>
      </c>
      <c r="F974" s="22" t="s">
        <v>7</v>
      </c>
      <c r="G974" s="22" t="s">
        <v>3270</v>
      </c>
      <c r="H974" s="22" t="s">
        <v>10</v>
      </c>
      <c r="I974" s="22" t="s">
        <v>5554</v>
      </c>
      <c r="J974" s="22" t="s">
        <v>52</v>
      </c>
      <c r="K974" s="22">
        <v>5.1812404010029e+18</v>
      </c>
      <c r="L974" s="22" t="s">
        <v>3263</v>
      </c>
      <c r="M974" s="25"/>
    </row>
    <row r="975" customHeight="1" spans="1:13">
      <c r="A975" s="21">
        <v>46143</v>
      </c>
      <c r="B975" s="22" t="s">
        <v>5484</v>
      </c>
      <c r="C975" s="23">
        <v>46153</v>
      </c>
      <c r="D975" s="24">
        <v>3380000</v>
      </c>
      <c r="E975" s="22" t="s">
        <v>173</v>
      </c>
      <c r="F975" s="22" t="s">
        <v>7</v>
      </c>
      <c r="G975" s="22" t="s">
        <v>3272</v>
      </c>
      <c r="H975" s="22" t="s">
        <v>12</v>
      </c>
      <c r="I975" s="22" t="s">
        <v>5554</v>
      </c>
      <c r="J975" s="22" t="s">
        <v>39</v>
      </c>
      <c r="K975" s="22">
        <v>5.18124101403202e+18</v>
      </c>
      <c r="L975" s="22" t="s">
        <v>3274</v>
      </c>
      <c r="M975" s="25"/>
    </row>
    <row r="976" customHeight="1" spans="1:13">
      <c r="A976" s="21">
        <v>46143</v>
      </c>
      <c r="B976" s="22" t="s">
        <v>5484</v>
      </c>
      <c r="C976" s="23">
        <v>46155</v>
      </c>
      <c r="D976" s="22" t="s">
        <v>2232</v>
      </c>
      <c r="E976" s="22" t="s">
        <v>2232</v>
      </c>
      <c r="F976" s="22" t="s">
        <v>7</v>
      </c>
      <c r="G976" s="22" t="s">
        <v>3275</v>
      </c>
      <c r="H976" s="22" t="s">
        <v>10</v>
      </c>
      <c r="I976" s="22" t="s">
        <v>5554</v>
      </c>
      <c r="J976" s="22" t="s">
        <v>52</v>
      </c>
      <c r="K976" s="22">
        <v>5.1812404010029e+18</v>
      </c>
      <c r="L976" s="22" t="s">
        <v>3263</v>
      </c>
      <c r="M976" s="25"/>
    </row>
    <row r="977" customHeight="1" spans="1:13">
      <c r="A977" s="21">
        <v>46143</v>
      </c>
      <c r="B977" s="22" t="s">
        <v>5484</v>
      </c>
      <c r="C977" s="23">
        <v>46156</v>
      </c>
      <c r="D977" s="27">
        <v>5206100406.07</v>
      </c>
      <c r="E977" s="22" t="s">
        <v>1349</v>
      </c>
      <c r="F977" s="22" t="s">
        <v>7</v>
      </c>
      <c r="G977" s="22" t="s">
        <v>3276</v>
      </c>
      <c r="H977" s="22" t="s">
        <v>10</v>
      </c>
      <c r="I977" s="22" t="s">
        <v>5554</v>
      </c>
      <c r="J977" s="22" t="s">
        <v>2035</v>
      </c>
      <c r="K977" s="22">
        <v>5.18124061200431e+18</v>
      </c>
      <c r="L977" s="22" t="s">
        <v>3279</v>
      </c>
      <c r="M977" s="25"/>
    </row>
    <row r="978" customHeight="1" spans="1:13">
      <c r="A978" s="21">
        <v>46143</v>
      </c>
      <c r="B978" s="22" t="s">
        <v>5484</v>
      </c>
      <c r="C978" s="23">
        <v>46157</v>
      </c>
      <c r="D978" s="28">
        <v>202748</v>
      </c>
      <c r="E978" s="22" t="s">
        <v>173</v>
      </c>
      <c r="F978" s="22" t="s">
        <v>7</v>
      </c>
      <c r="G978" s="22" t="s">
        <v>3295</v>
      </c>
      <c r="H978" s="22" t="s">
        <v>11</v>
      </c>
      <c r="I978" s="22" t="s">
        <v>5554</v>
      </c>
      <c r="J978" s="22" t="s">
        <v>48</v>
      </c>
      <c r="K978" s="22">
        <v>5.18125090604739e+18</v>
      </c>
      <c r="L978" s="22" t="s">
        <v>3297</v>
      </c>
      <c r="M978" s="25"/>
    </row>
    <row r="979" customHeight="1" spans="1:13">
      <c r="A979" s="21">
        <v>46143</v>
      </c>
      <c r="B979" s="22" t="s">
        <v>5484</v>
      </c>
      <c r="C979" s="23">
        <v>46157</v>
      </c>
      <c r="D979" s="27">
        <v>2035580</v>
      </c>
      <c r="E979" s="22" t="s">
        <v>173</v>
      </c>
      <c r="F979" s="22" t="s">
        <v>7</v>
      </c>
      <c r="G979" s="22" t="s">
        <v>3298</v>
      </c>
      <c r="H979" s="22" t="s">
        <v>12</v>
      </c>
      <c r="I979" s="22" t="s">
        <v>5554</v>
      </c>
      <c r="J979" s="22" t="s">
        <v>48</v>
      </c>
      <c r="K979" s="22">
        <v>5.18125090604739e+18</v>
      </c>
      <c r="L979" s="22" t="s">
        <v>3297</v>
      </c>
      <c r="M979" s="25"/>
    </row>
    <row r="980" customHeight="1" spans="1:13">
      <c r="A980" s="21">
        <v>46143</v>
      </c>
      <c r="B980" s="22" t="s">
        <v>5485</v>
      </c>
      <c r="C980" s="23">
        <v>46158</v>
      </c>
      <c r="D980" s="22" t="s">
        <v>2232</v>
      </c>
      <c r="E980" s="22" t="s">
        <v>2232</v>
      </c>
      <c r="F980" s="22" t="s">
        <v>7</v>
      </c>
      <c r="G980" s="22" t="s">
        <v>3307</v>
      </c>
      <c r="H980" s="22" t="s">
        <v>10</v>
      </c>
      <c r="I980" s="22" t="s">
        <v>5554</v>
      </c>
      <c r="J980" s="22" t="s">
        <v>3306</v>
      </c>
      <c r="K980" s="22">
        <v>5.18125122505418e+18</v>
      </c>
      <c r="L980" s="22" t="s">
        <v>2277</v>
      </c>
      <c r="M980" s="25"/>
    </row>
    <row r="981" customHeight="1" spans="1:13">
      <c r="A981" s="21">
        <v>46143</v>
      </c>
      <c r="B981" s="22" t="s">
        <v>5485</v>
      </c>
      <c r="C981" s="23">
        <v>46160</v>
      </c>
      <c r="D981" s="22" t="s">
        <v>2232</v>
      </c>
      <c r="E981" s="22" t="s">
        <v>2232</v>
      </c>
      <c r="F981" s="22" t="s">
        <v>7</v>
      </c>
      <c r="G981" s="22" t="s">
        <v>3309</v>
      </c>
      <c r="H981" s="22" t="s">
        <v>10</v>
      </c>
      <c r="I981" s="22" t="s">
        <v>5554</v>
      </c>
      <c r="J981" s="22" t="s">
        <v>52</v>
      </c>
      <c r="K981" s="22">
        <v>5.18125072804534e+18</v>
      </c>
      <c r="L981" s="22" t="s">
        <v>3312</v>
      </c>
      <c r="M981" s="25"/>
    </row>
    <row r="982" customHeight="1" spans="1:13">
      <c r="A982" s="21">
        <v>46143</v>
      </c>
      <c r="B982" s="22" t="s">
        <v>5485</v>
      </c>
      <c r="C982" s="23">
        <v>46161</v>
      </c>
      <c r="D982" s="22" t="s">
        <v>2232</v>
      </c>
      <c r="E982" s="22" t="s">
        <v>2232</v>
      </c>
      <c r="F982" s="22" t="s">
        <v>7</v>
      </c>
      <c r="G982" s="22" t="s">
        <v>3313</v>
      </c>
      <c r="H982" s="22" t="s">
        <v>10</v>
      </c>
      <c r="I982" s="22" t="s">
        <v>5554</v>
      </c>
      <c r="J982" s="22" t="s">
        <v>52</v>
      </c>
      <c r="K982" s="22">
        <v>5.18125072804534e+18</v>
      </c>
      <c r="L982" s="22" t="s">
        <v>3312</v>
      </c>
      <c r="M982" s="25"/>
    </row>
    <row r="983" customHeight="1" spans="1:13">
      <c r="A983" s="21">
        <v>46143</v>
      </c>
      <c r="B983" s="22" t="s">
        <v>5485</v>
      </c>
      <c r="C983" s="23">
        <v>46163</v>
      </c>
      <c r="D983" s="22" t="s">
        <v>2232</v>
      </c>
      <c r="E983" s="22" t="s">
        <v>2232</v>
      </c>
      <c r="F983" s="22" t="s">
        <v>7</v>
      </c>
      <c r="G983" s="22" t="s">
        <v>2617</v>
      </c>
      <c r="H983" s="22" t="s">
        <v>12</v>
      </c>
      <c r="I983" s="22" t="s">
        <v>5554</v>
      </c>
      <c r="J983" s="22" t="s">
        <v>53</v>
      </c>
      <c r="K983" s="22">
        <v>5.18125052704204e+18</v>
      </c>
      <c r="L983" s="22" t="s">
        <v>3315</v>
      </c>
      <c r="M983" s="25"/>
    </row>
    <row r="984" customHeight="1" spans="1:13">
      <c r="A984" s="21">
        <v>46143</v>
      </c>
      <c r="B984" s="22" t="s">
        <v>5485</v>
      </c>
      <c r="C984" s="23">
        <v>46164</v>
      </c>
      <c r="D984" s="24">
        <v>5960</v>
      </c>
      <c r="E984" s="22" t="s">
        <v>173</v>
      </c>
      <c r="F984" s="22" t="s">
        <v>7</v>
      </c>
      <c r="G984" s="22" t="s">
        <v>3316</v>
      </c>
      <c r="H984" s="22" t="s">
        <v>11</v>
      </c>
      <c r="I984" s="22" t="s">
        <v>5554</v>
      </c>
      <c r="J984" s="22" t="s">
        <v>39</v>
      </c>
      <c r="K984" s="22">
        <v>5.181241008031e+18</v>
      </c>
      <c r="L984" s="22" t="s">
        <v>3319</v>
      </c>
      <c r="M984" s="25"/>
    </row>
    <row r="985" customHeight="1" spans="1:13">
      <c r="A985" s="21">
        <v>46143</v>
      </c>
      <c r="B985" s="22" t="s">
        <v>5485</v>
      </c>
      <c r="C985" s="23">
        <v>46166</v>
      </c>
      <c r="D985" s="27">
        <v>494050.84</v>
      </c>
      <c r="E985" s="22" t="s">
        <v>173</v>
      </c>
      <c r="F985" s="22" t="s">
        <v>7</v>
      </c>
      <c r="G985" s="22" t="s">
        <v>3320</v>
      </c>
      <c r="H985" s="22" t="s">
        <v>10</v>
      </c>
      <c r="I985" s="22" t="s">
        <v>5554</v>
      </c>
      <c r="J985" s="22" t="s">
        <v>44</v>
      </c>
      <c r="K985" s="22">
        <v>5.1812503110388e+18</v>
      </c>
      <c r="L985" s="22" t="s">
        <v>709</v>
      </c>
      <c r="M985" s="25"/>
    </row>
    <row r="986" customHeight="1" spans="1:13">
      <c r="A986" s="21">
        <v>46143</v>
      </c>
      <c r="B986" s="22" t="s">
        <v>5485</v>
      </c>
      <c r="C986" s="23">
        <v>46168</v>
      </c>
      <c r="D986" s="28">
        <v>13166823</v>
      </c>
      <c r="E986" s="22" t="s">
        <v>173</v>
      </c>
      <c r="F986" s="22" t="s">
        <v>7</v>
      </c>
      <c r="G986" s="22" t="s">
        <v>3322</v>
      </c>
      <c r="H986" s="22" t="s">
        <v>12</v>
      </c>
      <c r="I986" s="22" t="s">
        <v>5554</v>
      </c>
      <c r="J986" s="22" t="s">
        <v>39</v>
      </c>
      <c r="K986" s="22">
        <v>5.18123062800036e+18</v>
      </c>
      <c r="L986" s="22" t="s">
        <v>3324</v>
      </c>
      <c r="M986" s="25"/>
    </row>
    <row r="987" customHeight="1" spans="1:13">
      <c r="A987" s="21">
        <v>46143</v>
      </c>
      <c r="B987" s="22" t="s">
        <v>5485</v>
      </c>
      <c r="C987" s="23">
        <v>46169</v>
      </c>
      <c r="D987" s="24">
        <v>7317854</v>
      </c>
      <c r="E987" s="22" t="s">
        <v>173</v>
      </c>
      <c r="F987" s="22" t="s">
        <v>7</v>
      </c>
      <c r="G987" s="22" t="s">
        <v>3325</v>
      </c>
      <c r="H987" s="22" t="s">
        <v>12</v>
      </c>
      <c r="I987" s="22" t="s">
        <v>5554</v>
      </c>
      <c r="J987" s="22" t="s">
        <v>39</v>
      </c>
      <c r="K987" s="22">
        <v>5.18123101200094e+18</v>
      </c>
      <c r="L987" s="22" t="s">
        <v>3012</v>
      </c>
      <c r="M987" s="25"/>
    </row>
    <row r="988" customHeight="1" spans="1:13">
      <c r="A988" s="21">
        <v>46143</v>
      </c>
      <c r="B988" s="22" t="s">
        <v>5485</v>
      </c>
      <c r="C988" s="23">
        <v>46169</v>
      </c>
      <c r="D988" s="24">
        <v>463890.3</v>
      </c>
      <c r="E988" s="22" t="s">
        <v>173</v>
      </c>
      <c r="F988" s="22" t="s">
        <v>7</v>
      </c>
      <c r="G988" s="22" t="s">
        <v>3326</v>
      </c>
      <c r="H988" s="22" t="s">
        <v>12</v>
      </c>
      <c r="I988" s="22" t="s">
        <v>5554</v>
      </c>
      <c r="J988" s="22" t="s">
        <v>48</v>
      </c>
      <c r="K988" s="22">
        <v>5.18123101200094e+18</v>
      </c>
      <c r="L988" s="22" t="s">
        <v>3012</v>
      </c>
      <c r="M988" s="25"/>
    </row>
    <row r="989" customHeight="1" spans="1:13">
      <c r="A989" s="21">
        <v>46143</v>
      </c>
      <c r="B989" s="22" t="s">
        <v>5485</v>
      </c>
      <c r="C989" s="23">
        <v>46169</v>
      </c>
      <c r="D989" s="28">
        <v>146682</v>
      </c>
      <c r="E989" s="22" t="s">
        <v>173</v>
      </c>
      <c r="F989" s="22" t="s">
        <v>7</v>
      </c>
      <c r="G989" s="22" t="s">
        <v>3329</v>
      </c>
      <c r="H989" s="22" t="s">
        <v>11</v>
      </c>
      <c r="I989" s="22" t="s">
        <v>5554</v>
      </c>
      <c r="J989" s="22" t="s">
        <v>48</v>
      </c>
      <c r="K989" s="22">
        <v>5.18123101200094e+18</v>
      </c>
      <c r="L989" s="22" t="s">
        <v>3012</v>
      </c>
      <c r="M989" s="25"/>
    </row>
    <row r="990" customHeight="1" spans="1:13">
      <c r="A990" s="21">
        <v>46143</v>
      </c>
      <c r="B990" s="22" t="s">
        <v>5485</v>
      </c>
      <c r="C990" s="23">
        <v>46169</v>
      </c>
      <c r="D990" s="22" t="s">
        <v>2232</v>
      </c>
      <c r="E990" s="22" t="s">
        <v>2232</v>
      </c>
      <c r="F990" s="22" t="s">
        <v>7</v>
      </c>
      <c r="G990" s="22" t="s">
        <v>3332</v>
      </c>
      <c r="H990" s="22" t="s">
        <v>10</v>
      </c>
      <c r="I990" s="22" t="s">
        <v>5554</v>
      </c>
      <c r="J990" s="22" t="s">
        <v>52</v>
      </c>
      <c r="K990" s="22">
        <v>5.18123101200094e+18</v>
      </c>
      <c r="L990" s="22" t="s">
        <v>3012</v>
      </c>
      <c r="M990" s="25"/>
    </row>
    <row r="991" customHeight="1" spans="1:13">
      <c r="A991" s="21">
        <v>46143</v>
      </c>
      <c r="B991" s="22" t="s">
        <v>5485</v>
      </c>
      <c r="C991" s="23">
        <v>46170</v>
      </c>
      <c r="D991" s="22" t="s">
        <v>2232</v>
      </c>
      <c r="E991" s="22" t="s">
        <v>2232</v>
      </c>
      <c r="F991" s="22" t="s">
        <v>7</v>
      </c>
      <c r="G991" s="22" t="s">
        <v>3336</v>
      </c>
      <c r="H991" s="22" t="s">
        <v>10</v>
      </c>
      <c r="I991" s="22" t="s">
        <v>5554</v>
      </c>
      <c r="J991" s="22" t="s">
        <v>52</v>
      </c>
      <c r="K991" s="22">
        <v>5.18122111500282e+18</v>
      </c>
      <c r="L991" s="22" t="s">
        <v>3339</v>
      </c>
      <c r="M991" s="25"/>
    </row>
    <row r="992" customHeight="1" spans="1:13">
      <c r="A992" s="21">
        <v>46143</v>
      </c>
      <c r="B992" s="22" t="s">
        <v>5485</v>
      </c>
      <c r="C992" s="23">
        <v>46171</v>
      </c>
      <c r="D992" s="22" t="s">
        <v>2232</v>
      </c>
      <c r="E992" s="22" t="s">
        <v>2232</v>
      </c>
      <c r="F992" s="22" t="s">
        <v>7</v>
      </c>
      <c r="G992" s="22" t="s">
        <v>3340</v>
      </c>
      <c r="H992" s="22" t="s">
        <v>10</v>
      </c>
      <c r="I992" s="22" t="s">
        <v>5554</v>
      </c>
      <c r="J992" s="22" t="s">
        <v>42</v>
      </c>
      <c r="K992" s="22">
        <v>5.18125022503824e+18</v>
      </c>
      <c r="L992" s="22" t="s">
        <v>3343</v>
      </c>
      <c r="M992" s="25"/>
    </row>
    <row r="993" customHeight="1" spans="1:13">
      <c r="A993" s="21">
        <v>46143</v>
      </c>
      <c r="B993" s="22" t="s">
        <v>5484</v>
      </c>
      <c r="C993" s="23">
        <v>46148</v>
      </c>
      <c r="D993" s="24">
        <v>555.204</v>
      </c>
      <c r="E993" s="24">
        <v>0</v>
      </c>
      <c r="F993" s="22" t="s">
        <v>7</v>
      </c>
      <c r="G993" s="22" t="s">
        <v>3344</v>
      </c>
      <c r="H993" s="22" t="s">
        <v>11</v>
      </c>
      <c r="I993" s="22" t="s">
        <v>5554</v>
      </c>
      <c r="J993" s="22" t="s">
        <v>39</v>
      </c>
      <c r="K993" s="22">
        <v>5.18125112705233e+18</v>
      </c>
      <c r="L993" s="22" t="s">
        <v>2602</v>
      </c>
      <c r="M993" s="25"/>
    </row>
    <row r="994" customHeight="1" spans="1:13">
      <c r="A994" s="21">
        <v>46174</v>
      </c>
      <c r="B994" s="22" t="s">
        <v>5487</v>
      </c>
      <c r="C994" s="23">
        <v>46174</v>
      </c>
      <c r="D994" s="27">
        <v>149900</v>
      </c>
      <c r="E994" s="22" t="s">
        <v>173</v>
      </c>
      <c r="F994" s="22" t="s">
        <v>7</v>
      </c>
      <c r="G994" s="22" t="s">
        <v>3349</v>
      </c>
      <c r="H994" s="22" t="s">
        <v>11</v>
      </c>
      <c r="I994" s="22" t="s">
        <v>5554</v>
      </c>
      <c r="J994" s="22" t="s">
        <v>48</v>
      </c>
      <c r="K994" s="22">
        <v>5.18126041006015e+18</v>
      </c>
      <c r="L994" s="22" t="s">
        <v>2425</v>
      </c>
      <c r="M994" s="25"/>
    </row>
    <row r="995" customHeight="1" spans="1:13">
      <c r="A995" s="21">
        <v>46174</v>
      </c>
      <c r="B995" s="22" t="s">
        <v>5487</v>
      </c>
      <c r="C995" s="23">
        <v>46175</v>
      </c>
      <c r="D995" s="22" t="s">
        <v>2232</v>
      </c>
      <c r="E995" s="22" t="s">
        <v>2232</v>
      </c>
      <c r="F995" s="22" t="s">
        <v>7</v>
      </c>
      <c r="G995" s="22" t="s">
        <v>3350</v>
      </c>
      <c r="H995" s="22" t="s">
        <v>12</v>
      </c>
      <c r="I995" s="22" t="s">
        <v>5554</v>
      </c>
      <c r="J995" s="22" t="s">
        <v>39</v>
      </c>
      <c r="K995" s="22">
        <v>5.18125121605378e+18</v>
      </c>
      <c r="L995" s="22" t="s">
        <v>3352</v>
      </c>
      <c r="M995" s="25"/>
    </row>
    <row r="996" customHeight="1" spans="1:13">
      <c r="A996" s="21">
        <v>46174</v>
      </c>
      <c r="B996" s="22" t="s">
        <v>5487</v>
      </c>
      <c r="C996" s="23">
        <v>46177</v>
      </c>
      <c r="D996" s="27">
        <v>499900000</v>
      </c>
      <c r="E996" s="22" t="s">
        <v>1037</v>
      </c>
      <c r="F996" s="22" t="s">
        <v>7</v>
      </c>
      <c r="G996" s="22" t="s">
        <v>3365</v>
      </c>
      <c r="H996" s="22" t="s">
        <v>11</v>
      </c>
      <c r="I996" s="22" t="s">
        <v>5554</v>
      </c>
      <c r="J996" s="22" t="s">
        <v>3077</v>
      </c>
      <c r="K996" s="22">
        <v>5.1812511100513e+18</v>
      </c>
      <c r="L996" s="22" t="s">
        <v>2614</v>
      </c>
      <c r="M996" s="25"/>
    </row>
    <row r="997" customHeight="1" spans="1:13">
      <c r="A997" s="21">
        <v>46174</v>
      </c>
      <c r="B997" s="22" t="s">
        <v>5487</v>
      </c>
      <c r="C997" s="23">
        <v>46178</v>
      </c>
      <c r="D997" s="27">
        <v>98558.92</v>
      </c>
      <c r="E997" s="22" t="s">
        <v>1567</v>
      </c>
      <c r="F997" s="22" t="s">
        <v>7</v>
      </c>
      <c r="G997" s="22" t="s">
        <v>3367</v>
      </c>
      <c r="H997" s="22" t="s">
        <v>12</v>
      </c>
      <c r="I997" s="22" t="s">
        <v>5554</v>
      </c>
      <c r="J997" s="22" t="s">
        <v>39</v>
      </c>
      <c r="K997" s="22">
        <v>5.18126020305602e+18</v>
      </c>
      <c r="L997" s="22" t="s">
        <v>3370</v>
      </c>
      <c r="M997" s="25"/>
    </row>
    <row r="998" customHeight="1" spans="1:13">
      <c r="A998" s="21">
        <v>46174</v>
      </c>
      <c r="B998" s="22" t="s">
        <v>5487</v>
      </c>
      <c r="C998" s="23">
        <v>46181</v>
      </c>
      <c r="D998" s="28">
        <v>3194576</v>
      </c>
      <c r="E998" s="22" t="s">
        <v>173</v>
      </c>
      <c r="F998" s="22" t="s">
        <v>7</v>
      </c>
      <c r="G998" s="22" t="s">
        <v>3371</v>
      </c>
      <c r="H998" s="22" t="s">
        <v>12</v>
      </c>
      <c r="I998" s="22" t="s">
        <v>5554</v>
      </c>
      <c r="J998" s="22" t="s">
        <v>48</v>
      </c>
      <c r="K998" s="22">
        <v>5.18125122305406e+18</v>
      </c>
      <c r="L998" s="22" t="s">
        <v>3373</v>
      </c>
      <c r="M998" s="25"/>
    </row>
    <row r="999" customHeight="1" spans="1:13">
      <c r="A999" s="21">
        <v>46174</v>
      </c>
      <c r="B999" s="22" t="s">
        <v>5487</v>
      </c>
      <c r="C999" s="23">
        <v>46181</v>
      </c>
      <c r="D999" s="27">
        <v>607857.82</v>
      </c>
      <c r="E999" s="22" t="s">
        <v>173</v>
      </c>
      <c r="F999" s="22" t="s">
        <v>7</v>
      </c>
      <c r="G999" s="22" t="s">
        <v>3374</v>
      </c>
      <c r="H999" s="22" t="s">
        <v>12</v>
      </c>
      <c r="I999" s="22" t="s">
        <v>5554</v>
      </c>
      <c r="J999" s="22" t="s">
        <v>39</v>
      </c>
      <c r="K999" s="22">
        <v>5.18125122305406e+18</v>
      </c>
      <c r="L999" s="22" t="s">
        <v>3373</v>
      </c>
      <c r="M999" s="25"/>
    </row>
    <row r="1000" customHeight="1" spans="1:13">
      <c r="A1000" s="21">
        <v>46174</v>
      </c>
      <c r="B1000" s="22" t="s">
        <v>5487</v>
      </c>
      <c r="C1000" s="23">
        <v>46182</v>
      </c>
      <c r="D1000" s="24">
        <v>396.4</v>
      </c>
      <c r="E1000" s="22" t="s">
        <v>173</v>
      </c>
      <c r="F1000" s="22" t="s">
        <v>7</v>
      </c>
      <c r="G1000" s="22" t="s">
        <v>3378</v>
      </c>
      <c r="H1000" s="22" t="s">
        <v>10</v>
      </c>
      <c r="I1000" s="22" t="s">
        <v>5554</v>
      </c>
      <c r="J1000" s="22" t="s">
        <v>53</v>
      </c>
      <c r="K1000" s="22">
        <v>5.18126042506181e+18</v>
      </c>
      <c r="L1000" s="22" t="s">
        <v>3379</v>
      </c>
      <c r="M1000" s="25"/>
    </row>
    <row r="1001" customHeight="1" spans="1:13">
      <c r="A1001" s="21">
        <v>46174</v>
      </c>
      <c r="B1001" s="22" t="s">
        <v>5487</v>
      </c>
      <c r="C1001" s="23">
        <v>46185</v>
      </c>
      <c r="D1001" s="22" t="s">
        <v>2232</v>
      </c>
      <c r="E1001" s="22" t="s">
        <v>2232</v>
      </c>
      <c r="F1001" s="22" t="s">
        <v>7</v>
      </c>
      <c r="G1001" s="22" t="s">
        <v>3384</v>
      </c>
      <c r="H1001" s="22" t="s">
        <v>10</v>
      </c>
      <c r="I1001" s="22" t="s">
        <v>5554</v>
      </c>
      <c r="J1001" s="22" t="s">
        <v>3306</v>
      </c>
      <c r="K1001" s="22">
        <v>5.18124121103645e+18</v>
      </c>
      <c r="L1001" s="22" t="s">
        <v>5567</v>
      </c>
      <c r="M1001" s="25"/>
    </row>
    <row r="1002" customHeight="1" spans="1:13">
      <c r="A1002" s="21">
        <v>46174</v>
      </c>
      <c r="B1002" s="22" t="s">
        <v>5487</v>
      </c>
      <c r="C1002" s="23">
        <v>46185</v>
      </c>
      <c r="D1002" s="24">
        <v>151614.5</v>
      </c>
      <c r="E1002" s="22" t="s">
        <v>149</v>
      </c>
      <c r="F1002" s="22" t="s">
        <v>7</v>
      </c>
      <c r="G1002" s="22" t="s">
        <v>3387</v>
      </c>
      <c r="H1002" s="22" t="s">
        <v>11</v>
      </c>
      <c r="I1002" s="22" t="s">
        <v>5554</v>
      </c>
      <c r="J1002" s="22" t="s">
        <v>40</v>
      </c>
      <c r="K1002" s="22">
        <v>5.18124121103645e+18</v>
      </c>
      <c r="L1002" s="22" t="s">
        <v>5567</v>
      </c>
      <c r="M1002" s="25"/>
    </row>
    <row r="1003" customHeight="1" spans="1:13">
      <c r="A1003" s="21">
        <v>46174</v>
      </c>
      <c r="B1003" s="22" t="s">
        <v>5489</v>
      </c>
      <c r="C1003" s="23">
        <v>46190</v>
      </c>
      <c r="D1003" s="24">
        <v>155</v>
      </c>
      <c r="E1003" s="22" t="s">
        <v>149</v>
      </c>
      <c r="F1003" s="22" t="s">
        <v>7</v>
      </c>
      <c r="G1003" s="22" t="s">
        <v>3390</v>
      </c>
      <c r="H1003" s="22" t="s">
        <v>10</v>
      </c>
      <c r="I1003" s="22" t="s">
        <v>5554</v>
      </c>
      <c r="J1003" s="22" t="s">
        <v>40</v>
      </c>
      <c r="K1003" s="22">
        <v>5.18124102303337e+18</v>
      </c>
      <c r="L1003" s="22" t="s">
        <v>3392</v>
      </c>
      <c r="M1003" s="25"/>
    </row>
    <row r="1004" customHeight="1" spans="1:13">
      <c r="A1004" s="21">
        <v>46174</v>
      </c>
      <c r="B1004" s="22" t="s">
        <v>5489</v>
      </c>
      <c r="C1004" s="23">
        <v>46190</v>
      </c>
      <c r="D1004" s="22" t="s">
        <v>2232</v>
      </c>
      <c r="E1004" s="22" t="s">
        <v>2232</v>
      </c>
      <c r="F1004" s="22" t="s">
        <v>7</v>
      </c>
      <c r="G1004" s="22" t="s">
        <v>3393</v>
      </c>
      <c r="H1004" s="22" t="s">
        <v>10</v>
      </c>
      <c r="I1004" s="22" t="s">
        <v>5554</v>
      </c>
      <c r="J1004" s="22" t="s">
        <v>52</v>
      </c>
      <c r="K1004" s="22">
        <v>5.18124102303337e+18</v>
      </c>
      <c r="L1004" s="22" t="s">
        <v>3392</v>
      </c>
      <c r="M1004" s="25"/>
    </row>
    <row r="1005" customHeight="1" spans="1:13">
      <c r="A1005" s="21">
        <v>46174</v>
      </c>
      <c r="B1005" s="22" t="s">
        <v>5489</v>
      </c>
      <c r="C1005" s="23">
        <v>46191</v>
      </c>
      <c r="D1005" s="27">
        <v>99185.51</v>
      </c>
      <c r="E1005" s="22" t="s">
        <v>1567</v>
      </c>
      <c r="F1005" s="22" t="s">
        <v>7</v>
      </c>
      <c r="G1005" s="22" t="s">
        <v>3395</v>
      </c>
      <c r="H1005" s="22" t="s">
        <v>11</v>
      </c>
      <c r="I1005" s="22" t="s">
        <v>5554</v>
      </c>
      <c r="J1005" s="22" t="s">
        <v>39</v>
      </c>
      <c r="K1005" s="22">
        <v>5.18125111705179e+18</v>
      </c>
      <c r="L1005" s="22" t="s">
        <v>3397</v>
      </c>
      <c r="M1005" s="25"/>
    </row>
    <row r="1006" customHeight="1" spans="1:13">
      <c r="A1006" s="21">
        <v>46174</v>
      </c>
      <c r="B1006" s="22" t="s">
        <v>5489</v>
      </c>
      <c r="C1006" s="23">
        <v>46195</v>
      </c>
      <c r="D1006" s="24">
        <v>456.8</v>
      </c>
      <c r="E1006" s="22" t="s">
        <v>139</v>
      </c>
      <c r="F1006" s="22" t="s">
        <v>7</v>
      </c>
      <c r="G1006" s="22" t="s">
        <v>3398</v>
      </c>
      <c r="H1006" s="22" t="s">
        <v>10</v>
      </c>
      <c r="I1006" s="22" t="s">
        <v>5554</v>
      </c>
      <c r="J1006" s="22" t="s">
        <v>52</v>
      </c>
      <c r="K1006" s="22">
        <v>5.18122111500282e+18</v>
      </c>
      <c r="L1006" s="22" t="s">
        <v>3339</v>
      </c>
      <c r="M1006" s="25"/>
    </row>
    <row r="1007" customHeight="1" spans="1:13">
      <c r="A1007" s="21">
        <v>46174</v>
      </c>
      <c r="B1007" s="22" t="s">
        <v>5489</v>
      </c>
      <c r="C1007" s="23">
        <v>46202</v>
      </c>
      <c r="D1007" s="24">
        <v>40000</v>
      </c>
      <c r="E1007" s="22" t="s">
        <v>149</v>
      </c>
      <c r="F1007" s="22" t="s">
        <v>7</v>
      </c>
      <c r="G1007" s="22" t="s">
        <v>3400</v>
      </c>
      <c r="H1007" s="22" t="s">
        <v>10</v>
      </c>
      <c r="I1007" s="22" t="s">
        <v>5554</v>
      </c>
      <c r="J1007" s="22" t="s">
        <v>40</v>
      </c>
      <c r="K1007" s="22">
        <v>5.18126031905824e+18</v>
      </c>
      <c r="L1007" s="22" t="s">
        <v>3402</v>
      </c>
      <c r="M1007" s="25"/>
    </row>
    <row r="1008" customHeight="1" spans="1:13">
      <c r="A1008" s="21">
        <v>46174</v>
      </c>
      <c r="B1008" s="22" t="s">
        <v>5489</v>
      </c>
      <c r="C1008" s="23">
        <v>46202</v>
      </c>
      <c r="D1008" s="24">
        <v>1357705.79</v>
      </c>
      <c r="E1008" s="22" t="s">
        <v>1186</v>
      </c>
      <c r="F1008" s="22" t="s">
        <v>7</v>
      </c>
      <c r="G1008" s="22" t="s">
        <v>3403</v>
      </c>
      <c r="H1008" s="22" t="s">
        <v>12</v>
      </c>
      <c r="I1008" s="22" t="s">
        <v>5554</v>
      </c>
      <c r="J1008" s="22" t="s">
        <v>44</v>
      </c>
      <c r="K1008" s="22">
        <v>5.18126031905824e+18</v>
      </c>
      <c r="L1008" s="22" t="s">
        <v>3402</v>
      </c>
      <c r="M1008" s="25"/>
    </row>
    <row r="1009" customHeight="1" spans="1:13">
      <c r="A1009" s="21">
        <v>46174</v>
      </c>
      <c r="B1009" s="22" t="s">
        <v>5489</v>
      </c>
      <c r="C1009" s="23">
        <v>46202</v>
      </c>
      <c r="D1009" s="24">
        <v>1499997099</v>
      </c>
      <c r="E1009" s="22" t="s">
        <v>1037</v>
      </c>
      <c r="F1009" s="22" t="s">
        <v>7</v>
      </c>
      <c r="G1009" s="22" t="s">
        <v>3406</v>
      </c>
      <c r="H1009" s="22" t="s">
        <v>11</v>
      </c>
      <c r="I1009" s="22" t="s">
        <v>5554</v>
      </c>
      <c r="J1009" s="22" t="s">
        <v>3405</v>
      </c>
      <c r="K1009" s="22">
        <v>5.18126031905824e+18</v>
      </c>
      <c r="L1009" s="22" t="s">
        <v>3402</v>
      </c>
      <c r="M1009" s="25"/>
    </row>
    <row r="1010" customHeight="1" spans="1:13">
      <c r="A1010" s="21">
        <v>46174</v>
      </c>
      <c r="B1010" s="22" t="s">
        <v>5489</v>
      </c>
      <c r="C1010" s="23">
        <v>46202</v>
      </c>
      <c r="D1010" s="22" t="s">
        <v>2232</v>
      </c>
      <c r="E1010" s="22" t="s">
        <v>2232</v>
      </c>
      <c r="F1010" s="22" t="s">
        <v>7</v>
      </c>
      <c r="G1010" s="22" t="s">
        <v>3409</v>
      </c>
      <c r="H1010" s="22" t="s">
        <v>10</v>
      </c>
      <c r="I1010" s="22" t="s">
        <v>5554</v>
      </c>
      <c r="J1010" s="22" t="s">
        <v>52</v>
      </c>
      <c r="K1010" s="22">
        <v>5.18126031905824e+18</v>
      </c>
      <c r="L1010" s="22" t="s">
        <v>3402</v>
      </c>
      <c r="M1010" s="25"/>
    </row>
    <row r="1011" customHeight="1" spans="1:13">
      <c r="A1011" s="21">
        <v>46204</v>
      </c>
      <c r="B1011" s="22" t="s">
        <v>5491</v>
      </c>
      <c r="C1011" s="23">
        <v>46204</v>
      </c>
      <c r="D1011" s="22" t="s">
        <v>2232</v>
      </c>
      <c r="E1011" s="22" t="s">
        <v>2232</v>
      </c>
      <c r="F1011" s="22" t="s">
        <v>7</v>
      </c>
      <c r="G1011" s="22" t="s">
        <v>3413</v>
      </c>
      <c r="H1011" s="22" t="s">
        <v>10</v>
      </c>
      <c r="I1011" s="22" t="s">
        <v>5554</v>
      </c>
      <c r="J1011" s="22" t="s">
        <v>52</v>
      </c>
      <c r="K1011" s="22">
        <v>5.18123092200085e+18</v>
      </c>
      <c r="L1011" s="22" t="s">
        <v>3412</v>
      </c>
      <c r="M1011" s="25"/>
    </row>
    <row r="1012" customHeight="1" spans="1:13">
      <c r="A1012" s="21">
        <v>46204</v>
      </c>
      <c r="B1012" s="22" t="s">
        <v>5491</v>
      </c>
      <c r="C1012" s="23">
        <v>46205</v>
      </c>
      <c r="D1012" s="27">
        <v>1885837.8</v>
      </c>
      <c r="E1012" s="24">
        <v>0</v>
      </c>
      <c r="F1012" s="22" t="s">
        <v>7</v>
      </c>
      <c r="G1012" s="22" t="s">
        <v>3415</v>
      </c>
      <c r="H1012" s="22" t="s">
        <v>12</v>
      </c>
      <c r="I1012" s="22" t="s">
        <v>5554</v>
      </c>
      <c r="J1012" s="22" t="s">
        <v>48</v>
      </c>
      <c r="K1012" s="24">
        <v>0</v>
      </c>
      <c r="L1012" s="26" t="e">
        <v>#N/A</v>
      </c>
      <c r="M1012" s="25"/>
    </row>
    <row r="1013" customHeight="1" spans="1:13">
      <c r="A1013" s="21">
        <v>46204</v>
      </c>
      <c r="B1013" s="22" t="s">
        <v>5491</v>
      </c>
      <c r="C1013" s="23">
        <v>46205</v>
      </c>
      <c r="D1013" s="24">
        <v>244964</v>
      </c>
      <c r="E1013" s="22" t="s">
        <v>173</v>
      </c>
      <c r="F1013" s="22" t="s">
        <v>7</v>
      </c>
      <c r="G1013" s="22" t="s">
        <v>3422</v>
      </c>
      <c r="H1013" s="22" t="s">
        <v>11</v>
      </c>
      <c r="I1013" s="22" t="s">
        <v>5554</v>
      </c>
      <c r="J1013" s="22" t="s">
        <v>39</v>
      </c>
      <c r="K1013" s="24">
        <v>0</v>
      </c>
      <c r="L1013" s="26" t="e">
        <v>#N/A</v>
      </c>
      <c r="M1013" s="25"/>
    </row>
    <row r="1014" customHeight="1" spans="1:13">
      <c r="A1014" s="21">
        <v>45627</v>
      </c>
      <c r="B1014" s="22" t="s">
        <v>5474</v>
      </c>
      <c r="C1014" s="23">
        <v>45628</v>
      </c>
      <c r="D1014" s="24">
        <v>438500</v>
      </c>
      <c r="E1014" s="22" t="s">
        <v>1186</v>
      </c>
      <c r="F1014" s="22" t="s">
        <v>7</v>
      </c>
      <c r="G1014" s="22" t="s">
        <v>3432</v>
      </c>
      <c r="H1014" s="22" t="s">
        <v>12</v>
      </c>
      <c r="I1014" s="22" t="s">
        <v>5568</v>
      </c>
      <c r="J1014" s="22" t="s">
        <v>3431</v>
      </c>
      <c r="K1014" s="21">
        <v>45627</v>
      </c>
      <c r="L1014" s="22">
        <v>5.18124072201683e+18</v>
      </c>
      <c r="M1014" s="25"/>
    </row>
    <row r="1015" customHeight="1" spans="1:13">
      <c r="A1015" s="21">
        <v>45658</v>
      </c>
      <c r="B1015" s="22" t="s">
        <v>5476</v>
      </c>
      <c r="C1015" s="23">
        <v>45664</v>
      </c>
      <c r="D1015" s="24">
        <v>629875.54</v>
      </c>
      <c r="E1015" s="22" t="s">
        <v>1186</v>
      </c>
      <c r="F1015" s="22" t="s">
        <v>7</v>
      </c>
      <c r="G1015" s="22" t="s">
        <v>3436</v>
      </c>
      <c r="H1015" s="22" t="s">
        <v>12</v>
      </c>
      <c r="I1015" s="22" t="s">
        <v>5568</v>
      </c>
      <c r="J1015" s="22" t="s">
        <v>3431</v>
      </c>
      <c r="K1015" s="21">
        <v>45658</v>
      </c>
      <c r="L1015" s="22" t="s">
        <v>3435</v>
      </c>
      <c r="M1015" s="25"/>
    </row>
    <row r="1016" customHeight="1" spans="1:13">
      <c r="A1016" s="21">
        <v>45658</v>
      </c>
      <c r="B1016" s="22" t="s">
        <v>5477</v>
      </c>
      <c r="C1016" s="23">
        <v>45680</v>
      </c>
      <c r="D1016" s="22" t="s">
        <v>2232</v>
      </c>
      <c r="E1016" s="22" t="s">
        <v>2232</v>
      </c>
      <c r="F1016" s="22" t="s">
        <v>7</v>
      </c>
      <c r="G1016" s="22" t="s">
        <v>3440</v>
      </c>
      <c r="H1016" s="22" t="s">
        <v>12</v>
      </c>
      <c r="I1016" s="22" t="s">
        <v>5568</v>
      </c>
      <c r="J1016" s="22" t="s">
        <v>3431</v>
      </c>
      <c r="K1016" s="21">
        <v>45658</v>
      </c>
      <c r="L1016" s="22" t="s">
        <v>3435</v>
      </c>
      <c r="M1016" s="25"/>
    </row>
    <row r="1017" customHeight="1" spans="1:13">
      <c r="A1017" s="21">
        <v>45689</v>
      </c>
      <c r="B1017" s="22" t="s">
        <v>5479</v>
      </c>
      <c r="C1017" s="23">
        <v>45713</v>
      </c>
      <c r="D1017" s="24">
        <v>694412</v>
      </c>
      <c r="E1017" s="22" t="s">
        <v>1186</v>
      </c>
      <c r="F1017" s="22" t="s">
        <v>7</v>
      </c>
      <c r="G1017" s="22" t="s">
        <v>3441</v>
      </c>
      <c r="H1017" s="22" t="s">
        <v>12</v>
      </c>
      <c r="I1017" s="22" t="s">
        <v>5568</v>
      </c>
      <c r="J1017" s="22" t="s">
        <v>3431</v>
      </c>
      <c r="K1017" s="21">
        <v>45689</v>
      </c>
      <c r="L1017" s="22" t="s">
        <v>3435</v>
      </c>
      <c r="M1017" s="25"/>
    </row>
    <row r="1018" customHeight="1" spans="1:13">
      <c r="A1018" s="21">
        <v>45717</v>
      </c>
      <c r="B1018" s="22" t="s">
        <v>5480</v>
      </c>
      <c r="C1018" s="23">
        <v>45730</v>
      </c>
      <c r="D1018" s="24">
        <v>364257.83</v>
      </c>
      <c r="E1018" s="22" t="s">
        <v>1186</v>
      </c>
      <c r="F1018" s="22" t="s">
        <v>7</v>
      </c>
      <c r="G1018" s="22" t="s">
        <v>3442</v>
      </c>
      <c r="H1018" s="22" t="s">
        <v>12</v>
      </c>
      <c r="I1018" s="22" t="s">
        <v>5568</v>
      </c>
      <c r="J1018" s="22" t="s">
        <v>3431</v>
      </c>
      <c r="K1018" s="21">
        <v>45717</v>
      </c>
      <c r="L1018" s="22" t="s">
        <v>3435</v>
      </c>
      <c r="M1018" s="25"/>
    </row>
    <row r="1019" customHeight="1" spans="1:13">
      <c r="A1019" s="21">
        <v>45748</v>
      </c>
      <c r="B1019" s="22" t="s">
        <v>5482</v>
      </c>
      <c r="C1019" s="23">
        <v>45761</v>
      </c>
      <c r="D1019" s="24">
        <v>63557920</v>
      </c>
      <c r="E1019" s="22" t="s">
        <v>1186</v>
      </c>
      <c r="F1019" s="22" t="s">
        <v>7</v>
      </c>
      <c r="G1019" s="22" t="s">
        <v>3444</v>
      </c>
      <c r="H1019" s="22" t="s">
        <v>12</v>
      </c>
      <c r="I1019" s="22" t="s">
        <v>5568</v>
      </c>
      <c r="J1019" s="22" t="s">
        <v>3431</v>
      </c>
      <c r="K1019" s="21">
        <v>45748</v>
      </c>
      <c r="L1019" s="22" t="s">
        <v>3443</v>
      </c>
      <c r="M1019" s="25"/>
    </row>
    <row r="1020" customHeight="1" spans="1:13">
      <c r="A1020" s="21">
        <v>45748</v>
      </c>
      <c r="B1020" s="22" t="s">
        <v>5483</v>
      </c>
      <c r="C1020" s="23">
        <v>45770</v>
      </c>
      <c r="D1020" s="24">
        <v>13500</v>
      </c>
      <c r="E1020" s="22" t="s">
        <v>173</v>
      </c>
      <c r="F1020" s="22" t="s">
        <v>7</v>
      </c>
      <c r="G1020" s="22" t="s">
        <v>3448</v>
      </c>
      <c r="H1020" s="22" t="s">
        <v>12</v>
      </c>
      <c r="I1020" s="22" t="s">
        <v>5568</v>
      </c>
      <c r="J1020" s="22" t="s">
        <v>3447</v>
      </c>
      <c r="K1020" s="21">
        <v>45748</v>
      </c>
      <c r="L1020" s="22" t="s">
        <v>3443</v>
      </c>
      <c r="M1020" s="25"/>
    </row>
    <row r="1021" customHeight="1" spans="1:13">
      <c r="A1021" s="21">
        <v>45748</v>
      </c>
      <c r="B1021" s="22" t="s">
        <v>5483</v>
      </c>
      <c r="C1021" s="23">
        <v>45775</v>
      </c>
      <c r="D1021" s="24">
        <v>995113.25</v>
      </c>
      <c r="E1021" s="22" t="s">
        <v>1186</v>
      </c>
      <c r="F1021" s="22" t="s">
        <v>7</v>
      </c>
      <c r="G1021" s="22" t="s">
        <v>3452</v>
      </c>
      <c r="H1021" s="22" t="s">
        <v>12</v>
      </c>
      <c r="I1021" s="22" t="s">
        <v>5568</v>
      </c>
      <c r="J1021" s="22" t="s">
        <v>3451</v>
      </c>
      <c r="K1021" s="21">
        <v>45748</v>
      </c>
      <c r="L1021" s="22" t="s">
        <v>3443</v>
      </c>
      <c r="M1021" s="25"/>
    </row>
    <row r="1022" customHeight="1" spans="1:13">
      <c r="A1022" s="21">
        <v>45778</v>
      </c>
      <c r="B1022" s="22" t="s">
        <v>5485</v>
      </c>
      <c r="C1022" s="23">
        <v>45793</v>
      </c>
      <c r="D1022" s="24">
        <v>580893.53</v>
      </c>
      <c r="E1022" s="22" t="s">
        <v>1186</v>
      </c>
      <c r="F1022" s="22" t="s">
        <v>7</v>
      </c>
      <c r="G1022" s="22" t="s">
        <v>3453</v>
      </c>
      <c r="H1022" s="22" t="s">
        <v>12</v>
      </c>
      <c r="I1022" s="22" t="s">
        <v>5568</v>
      </c>
      <c r="J1022" s="22" t="s">
        <v>3431</v>
      </c>
      <c r="K1022" s="21">
        <v>45778</v>
      </c>
      <c r="L1022" s="22" t="s">
        <v>3435</v>
      </c>
      <c r="M1022" s="25"/>
    </row>
    <row r="1023" customHeight="1" spans="1:13">
      <c r="A1023" s="21">
        <v>45809</v>
      </c>
      <c r="B1023" s="22" t="s">
        <v>5487</v>
      </c>
      <c r="C1023" s="23">
        <v>45819</v>
      </c>
      <c r="D1023" s="24">
        <v>2775158.07</v>
      </c>
      <c r="E1023" s="22" t="s">
        <v>1062</v>
      </c>
      <c r="F1023" s="22" t="s">
        <v>7</v>
      </c>
      <c r="G1023" s="22" t="s">
        <v>3454</v>
      </c>
      <c r="H1023" s="22" t="s">
        <v>12</v>
      </c>
      <c r="I1023" s="22" t="s">
        <v>5568</v>
      </c>
      <c r="J1023" s="22" t="s">
        <v>3447</v>
      </c>
      <c r="K1023" s="21">
        <v>45809</v>
      </c>
      <c r="L1023" s="22" t="s">
        <v>3443</v>
      </c>
      <c r="M1023" s="25"/>
    </row>
    <row r="1024" customHeight="1" spans="1:13">
      <c r="A1024" s="21">
        <v>45809</v>
      </c>
      <c r="B1024" s="22" t="s">
        <v>5489</v>
      </c>
      <c r="C1024" s="23">
        <v>45831</v>
      </c>
      <c r="D1024" s="24">
        <v>867968.72</v>
      </c>
      <c r="E1024" s="22" t="s">
        <v>1186</v>
      </c>
      <c r="F1024" s="22" t="s">
        <v>7</v>
      </c>
      <c r="G1024" s="22" t="s">
        <v>3455</v>
      </c>
      <c r="H1024" s="22" t="s">
        <v>12</v>
      </c>
      <c r="I1024" s="22" t="s">
        <v>5568</v>
      </c>
      <c r="J1024" s="22" t="s">
        <v>3431</v>
      </c>
      <c r="K1024" s="21">
        <v>45809</v>
      </c>
      <c r="L1024" s="22" t="s">
        <v>3443</v>
      </c>
      <c r="M1024" s="25"/>
    </row>
    <row r="1025" customHeight="1" spans="1:13">
      <c r="A1025" s="21">
        <v>45839</v>
      </c>
      <c r="B1025" s="22" t="s">
        <v>5491</v>
      </c>
      <c r="C1025" s="23">
        <v>45845</v>
      </c>
      <c r="D1025" s="24">
        <v>232174.99</v>
      </c>
      <c r="E1025" s="22" t="s">
        <v>1186</v>
      </c>
      <c r="F1025" s="22" t="s">
        <v>7</v>
      </c>
      <c r="G1025" s="22" t="s">
        <v>3456</v>
      </c>
      <c r="H1025" s="22" t="s">
        <v>12</v>
      </c>
      <c r="I1025" s="22" t="s">
        <v>5568</v>
      </c>
      <c r="J1025" s="22" t="s">
        <v>3431</v>
      </c>
      <c r="K1025" s="21">
        <v>45839</v>
      </c>
      <c r="L1025" s="22" t="s">
        <v>3443</v>
      </c>
      <c r="M1025" s="25"/>
    </row>
    <row r="1026" customHeight="1" spans="1:13">
      <c r="A1026" s="21">
        <v>45839</v>
      </c>
      <c r="B1026" s="22" t="s">
        <v>5492</v>
      </c>
      <c r="C1026" s="23">
        <v>45862</v>
      </c>
      <c r="D1026" s="24">
        <v>604882.57</v>
      </c>
      <c r="E1026" s="22" t="s">
        <v>1186</v>
      </c>
      <c r="F1026" s="22" t="s">
        <v>7</v>
      </c>
      <c r="G1026" s="22" t="s">
        <v>3457</v>
      </c>
      <c r="H1026" s="22" t="s">
        <v>12</v>
      </c>
      <c r="I1026" s="22" t="s">
        <v>5568</v>
      </c>
      <c r="J1026" s="22" t="s">
        <v>3431</v>
      </c>
      <c r="K1026" s="21">
        <v>45839</v>
      </c>
      <c r="L1026" s="22" t="s">
        <v>3443</v>
      </c>
      <c r="M1026" s="25"/>
    </row>
    <row r="1027" customHeight="1" spans="1:13">
      <c r="A1027" s="21">
        <v>45870</v>
      </c>
      <c r="B1027" s="22" t="s">
        <v>5493</v>
      </c>
      <c r="C1027" s="23">
        <v>45874</v>
      </c>
      <c r="D1027" s="24">
        <v>305859.32</v>
      </c>
      <c r="E1027" s="22" t="s">
        <v>1186</v>
      </c>
      <c r="F1027" s="22" t="s">
        <v>7</v>
      </c>
      <c r="G1027" s="22" t="s">
        <v>3458</v>
      </c>
      <c r="H1027" s="22" t="s">
        <v>12</v>
      </c>
      <c r="I1027" s="22" t="s">
        <v>5568</v>
      </c>
      <c r="J1027" s="22" t="s">
        <v>3431</v>
      </c>
      <c r="K1027" s="21">
        <v>45870</v>
      </c>
      <c r="L1027" s="22" t="s">
        <v>3435</v>
      </c>
      <c r="M1027" s="25"/>
    </row>
    <row r="1028" customHeight="1" spans="1:13">
      <c r="A1028" s="21">
        <v>45901</v>
      </c>
      <c r="B1028" s="22" t="s">
        <v>5497</v>
      </c>
      <c r="C1028" s="23">
        <v>45909</v>
      </c>
      <c r="D1028" s="24">
        <v>383496.3</v>
      </c>
      <c r="E1028" s="22" t="s">
        <v>1186</v>
      </c>
      <c r="F1028" s="22" t="s">
        <v>7</v>
      </c>
      <c r="G1028" s="22" t="s">
        <v>3454</v>
      </c>
      <c r="H1028" s="22" t="s">
        <v>12</v>
      </c>
      <c r="I1028" s="22" t="s">
        <v>5568</v>
      </c>
      <c r="J1028" s="22" t="s">
        <v>3447</v>
      </c>
      <c r="K1028" s="21">
        <v>45901</v>
      </c>
      <c r="L1028" s="22" t="s">
        <v>3443</v>
      </c>
      <c r="M1028" s="25"/>
    </row>
    <row r="1029" customHeight="1" spans="1:13">
      <c r="A1029" s="21">
        <v>45901</v>
      </c>
      <c r="B1029" s="22" t="s">
        <v>5497</v>
      </c>
      <c r="C1029" s="23">
        <v>45915</v>
      </c>
      <c r="D1029" s="24">
        <v>538741.44</v>
      </c>
      <c r="E1029" s="22" t="s">
        <v>1186</v>
      </c>
      <c r="F1029" s="22" t="s">
        <v>7</v>
      </c>
      <c r="G1029" s="22" t="s">
        <v>3460</v>
      </c>
      <c r="H1029" s="22" t="s">
        <v>12</v>
      </c>
      <c r="I1029" s="22" t="s">
        <v>5568</v>
      </c>
      <c r="J1029" s="22" t="s">
        <v>3431</v>
      </c>
      <c r="K1029" s="21">
        <v>45901</v>
      </c>
      <c r="L1029" s="22" t="s">
        <v>3443</v>
      </c>
      <c r="M1029" s="25"/>
    </row>
    <row r="1030" customHeight="1" spans="1:13">
      <c r="A1030" s="21">
        <v>45931</v>
      </c>
      <c r="B1030" s="22" t="s">
        <v>5500</v>
      </c>
      <c r="C1030" s="23">
        <v>45945</v>
      </c>
      <c r="D1030" s="24">
        <v>380155.46</v>
      </c>
      <c r="E1030" s="22" t="s">
        <v>1186</v>
      </c>
      <c r="F1030" s="22" t="s">
        <v>7</v>
      </c>
      <c r="G1030" s="22" t="s">
        <v>3461</v>
      </c>
      <c r="H1030" s="22" t="s">
        <v>12</v>
      </c>
      <c r="I1030" s="22" t="s">
        <v>5568</v>
      </c>
      <c r="J1030" s="22" t="s">
        <v>3431</v>
      </c>
      <c r="K1030" s="21">
        <v>45931</v>
      </c>
      <c r="L1030" s="22" t="s">
        <v>3435</v>
      </c>
      <c r="M1030" s="25"/>
    </row>
    <row r="1031" customHeight="1" spans="1:13">
      <c r="A1031" s="21">
        <v>45962</v>
      </c>
      <c r="B1031" s="22" t="s">
        <v>5502</v>
      </c>
      <c r="C1031" s="23">
        <v>45973</v>
      </c>
      <c r="D1031" s="24">
        <v>311066.63</v>
      </c>
      <c r="E1031" s="22" t="s">
        <v>1186</v>
      </c>
      <c r="F1031" s="22" t="s">
        <v>7</v>
      </c>
      <c r="G1031" s="22" t="s">
        <v>3462</v>
      </c>
      <c r="H1031" s="22" t="s">
        <v>12</v>
      </c>
      <c r="I1031" s="22" t="s">
        <v>5568</v>
      </c>
      <c r="J1031" s="22" t="s">
        <v>3431</v>
      </c>
      <c r="K1031" s="21">
        <v>45962</v>
      </c>
      <c r="L1031" s="22" t="s">
        <v>3435</v>
      </c>
      <c r="M1031" s="25"/>
    </row>
    <row r="1032" customHeight="1" spans="1:13">
      <c r="A1032" s="21">
        <v>45992</v>
      </c>
      <c r="B1032" s="22" t="s">
        <v>5475</v>
      </c>
      <c r="C1032" s="23">
        <v>46007</v>
      </c>
      <c r="D1032" s="24">
        <v>419731.62</v>
      </c>
      <c r="E1032" s="22" t="s">
        <v>1186</v>
      </c>
      <c r="F1032" s="22" t="s">
        <v>7</v>
      </c>
      <c r="G1032" s="22" t="s">
        <v>3464</v>
      </c>
      <c r="H1032" s="22" t="s">
        <v>12</v>
      </c>
      <c r="I1032" s="22" t="s">
        <v>5568</v>
      </c>
      <c r="J1032" s="22" t="s">
        <v>3431</v>
      </c>
      <c r="K1032" s="21">
        <v>45992</v>
      </c>
      <c r="L1032" s="22" t="s">
        <v>3435</v>
      </c>
      <c r="M1032" s="25"/>
    </row>
    <row r="1033" customHeight="1" spans="1:13">
      <c r="A1033" s="21">
        <v>46023</v>
      </c>
      <c r="B1033" s="22" t="s">
        <v>5476</v>
      </c>
      <c r="C1033" s="23">
        <v>46031</v>
      </c>
      <c r="D1033" s="24">
        <v>322955.7</v>
      </c>
      <c r="E1033" s="22" t="s">
        <v>1186</v>
      </c>
      <c r="F1033" s="22" t="s">
        <v>7</v>
      </c>
      <c r="G1033" s="22" t="s">
        <v>3436</v>
      </c>
      <c r="H1033" s="22" t="s">
        <v>12</v>
      </c>
      <c r="I1033" s="22" t="s">
        <v>5568</v>
      </c>
      <c r="J1033" s="22" t="s">
        <v>3431</v>
      </c>
      <c r="K1033" s="21">
        <v>46023</v>
      </c>
      <c r="L1033" s="22" t="s">
        <v>3435</v>
      </c>
      <c r="M1033" s="25"/>
    </row>
    <row r="1034" customHeight="1" spans="1:13">
      <c r="A1034" s="21">
        <v>46082</v>
      </c>
      <c r="B1034" s="22" t="s">
        <v>5480</v>
      </c>
      <c r="C1034" s="23">
        <v>46092</v>
      </c>
      <c r="D1034" s="24">
        <v>576296.22</v>
      </c>
      <c r="E1034" s="22" t="s">
        <v>1186</v>
      </c>
      <c r="F1034" s="22" t="s">
        <v>7</v>
      </c>
      <c r="G1034" s="22" t="s">
        <v>3442</v>
      </c>
      <c r="H1034" s="22" t="s">
        <v>12</v>
      </c>
      <c r="I1034" s="22" t="s">
        <v>5568</v>
      </c>
      <c r="J1034" s="22" t="s">
        <v>3431</v>
      </c>
      <c r="K1034" s="21">
        <v>46082</v>
      </c>
      <c r="L1034" s="22" t="s">
        <v>3435</v>
      </c>
      <c r="M1034" s="25"/>
    </row>
    <row r="1035" customHeight="1" spans="1:13">
      <c r="A1035" s="21">
        <v>46082</v>
      </c>
      <c r="B1035" s="22" t="s">
        <v>5481</v>
      </c>
      <c r="C1035" s="23">
        <v>46098</v>
      </c>
      <c r="D1035" s="24">
        <v>134626.3</v>
      </c>
      <c r="E1035" s="22" t="s">
        <v>1186</v>
      </c>
      <c r="F1035" s="22" t="s">
        <v>7</v>
      </c>
      <c r="G1035" s="22" t="s">
        <v>3465</v>
      </c>
      <c r="H1035" s="22" t="s">
        <v>12</v>
      </c>
      <c r="I1035" s="22" t="s">
        <v>5568</v>
      </c>
      <c r="J1035" s="22" t="s">
        <v>3447</v>
      </c>
      <c r="K1035" s="21">
        <v>46082</v>
      </c>
      <c r="L1035" s="22" t="s">
        <v>3435</v>
      </c>
      <c r="M1035" s="25"/>
    </row>
    <row r="1036" customHeight="1" spans="1:13">
      <c r="A1036" s="21">
        <v>46113</v>
      </c>
      <c r="B1036" s="22" t="s">
        <v>5483</v>
      </c>
      <c r="C1036" s="23">
        <v>46142</v>
      </c>
      <c r="D1036" s="27">
        <v>1819389.79</v>
      </c>
      <c r="E1036" s="22" t="s">
        <v>1186</v>
      </c>
      <c r="F1036" s="22" t="s">
        <v>7</v>
      </c>
      <c r="G1036" s="22" t="s">
        <v>3470</v>
      </c>
      <c r="H1036" s="22" t="s">
        <v>12</v>
      </c>
      <c r="I1036" s="22" t="s">
        <v>5568</v>
      </c>
      <c r="J1036" s="22" t="s">
        <v>3469</v>
      </c>
      <c r="K1036" s="21">
        <v>46113</v>
      </c>
      <c r="L1036" s="22">
        <v>5.18125081904646e+18</v>
      </c>
      <c r="M1036" s="25"/>
    </row>
    <row r="1037" customHeight="1" spans="1:13">
      <c r="A1037" s="21">
        <v>46143</v>
      </c>
      <c r="B1037" s="22" t="s">
        <v>5484</v>
      </c>
      <c r="C1037" s="23">
        <v>46151</v>
      </c>
      <c r="D1037" s="24">
        <v>7735427.58</v>
      </c>
      <c r="E1037" s="22" t="s">
        <v>1186</v>
      </c>
      <c r="F1037" s="22" t="s">
        <v>7</v>
      </c>
      <c r="G1037" s="22" t="s">
        <v>3482</v>
      </c>
      <c r="H1037" s="22" t="s">
        <v>12</v>
      </c>
      <c r="I1037" s="22" t="s">
        <v>5568</v>
      </c>
      <c r="J1037" s="22" t="s">
        <v>3469</v>
      </c>
      <c r="K1037" s="21">
        <v>46143</v>
      </c>
      <c r="L1037" s="24">
        <v>0</v>
      </c>
      <c r="M1037" s="25"/>
    </row>
    <row r="1038" customHeight="1" spans="1:13">
      <c r="A1038" s="21">
        <v>46143</v>
      </c>
      <c r="B1038" s="22" t="s">
        <v>5484</v>
      </c>
      <c r="C1038" s="23">
        <v>46155</v>
      </c>
      <c r="D1038" s="24">
        <v>334828.02</v>
      </c>
      <c r="E1038" s="22" t="s">
        <v>1186</v>
      </c>
      <c r="F1038" s="22" t="s">
        <v>7</v>
      </c>
      <c r="G1038" s="22" t="s">
        <v>3453</v>
      </c>
      <c r="H1038" s="22" t="s">
        <v>12</v>
      </c>
      <c r="I1038" s="22" t="s">
        <v>5568</v>
      </c>
      <c r="J1038" s="22" t="s">
        <v>3431</v>
      </c>
      <c r="K1038" s="21">
        <v>46143</v>
      </c>
      <c r="L1038" s="24">
        <v>0</v>
      </c>
      <c r="M1038" s="25"/>
    </row>
    <row r="1039" customHeight="1" spans="1:13">
      <c r="A1039" s="21">
        <v>46174</v>
      </c>
      <c r="B1039" s="22" t="s">
        <v>5487</v>
      </c>
      <c r="C1039" s="23">
        <v>46178</v>
      </c>
      <c r="D1039" s="24">
        <v>7283108</v>
      </c>
      <c r="E1039" s="22" t="s">
        <v>1186</v>
      </c>
      <c r="F1039" s="22" t="s">
        <v>7</v>
      </c>
      <c r="G1039" s="22" t="s">
        <v>3485</v>
      </c>
      <c r="H1039" s="22" t="s">
        <v>12</v>
      </c>
      <c r="I1039" s="22" t="s">
        <v>5568</v>
      </c>
      <c r="J1039" s="22" t="s">
        <v>3451</v>
      </c>
      <c r="K1039" s="21">
        <v>46174</v>
      </c>
      <c r="L1039" s="22" t="s">
        <v>3483</v>
      </c>
      <c r="M1039" s="25"/>
    </row>
    <row r="1040" customHeight="1" spans="1:13">
      <c r="A1040" s="21">
        <v>46174</v>
      </c>
      <c r="B1040" s="22" t="s">
        <v>5487</v>
      </c>
      <c r="C1040" s="23">
        <v>46188</v>
      </c>
      <c r="D1040" s="24">
        <v>15097205.88</v>
      </c>
      <c r="E1040" s="22" t="s">
        <v>1186</v>
      </c>
      <c r="F1040" s="22" t="s">
        <v>7</v>
      </c>
      <c r="G1040" s="22" t="s">
        <v>3487</v>
      </c>
      <c r="H1040" s="22" t="s">
        <v>12</v>
      </c>
      <c r="I1040" s="22" t="s">
        <v>5568</v>
      </c>
      <c r="J1040" s="22" t="s">
        <v>3469</v>
      </c>
      <c r="K1040" s="21">
        <v>46174</v>
      </c>
      <c r="L1040" s="22" t="s">
        <v>3483</v>
      </c>
      <c r="M1040" s="25"/>
    </row>
    <row r="1041" customHeight="1" spans="1:13">
      <c r="A1041" s="21">
        <v>45597</v>
      </c>
      <c r="B1041" s="22" t="s">
        <v>5502</v>
      </c>
      <c r="C1041" s="23">
        <v>45602</v>
      </c>
      <c r="D1041" s="24">
        <v>0</v>
      </c>
      <c r="E1041" s="24">
        <v>0</v>
      </c>
      <c r="F1041" s="22" t="s">
        <v>7</v>
      </c>
      <c r="G1041" s="22" t="s">
        <v>3500</v>
      </c>
      <c r="H1041" s="22" t="s">
        <v>10</v>
      </c>
      <c r="I1041" s="22" t="s">
        <v>5569</v>
      </c>
      <c r="J1041" s="22" t="s">
        <v>40</v>
      </c>
      <c r="K1041" s="22">
        <v>5.18124012200185e+18</v>
      </c>
      <c r="L1041" s="22" t="s">
        <v>5570</v>
      </c>
      <c r="M1041" s="25"/>
    </row>
    <row r="1042" customHeight="1" spans="1:13">
      <c r="A1042" s="21">
        <v>45597</v>
      </c>
      <c r="B1042" s="22" t="s">
        <v>5502</v>
      </c>
      <c r="C1042" s="23">
        <v>45607</v>
      </c>
      <c r="D1042" s="24">
        <v>0</v>
      </c>
      <c r="E1042" s="24">
        <v>0</v>
      </c>
      <c r="F1042" s="22" t="s">
        <v>7</v>
      </c>
      <c r="G1042" s="22" t="s">
        <v>3508</v>
      </c>
      <c r="H1042" s="22" t="s">
        <v>10</v>
      </c>
      <c r="I1042" s="22" t="s">
        <v>5569</v>
      </c>
      <c r="J1042" s="24">
        <v>0</v>
      </c>
      <c r="K1042" s="24">
        <v>0</v>
      </c>
      <c r="L1042" s="26" t="e">
        <v>#N/A</v>
      </c>
      <c r="M1042" s="25"/>
    </row>
    <row r="1043" customHeight="1" spans="1:13">
      <c r="A1043" s="21">
        <v>45597</v>
      </c>
      <c r="B1043" s="22" t="s">
        <v>5472</v>
      </c>
      <c r="C1043" s="23">
        <v>45615</v>
      </c>
      <c r="D1043" s="24">
        <v>0</v>
      </c>
      <c r="E1043" s="24">
        <v>0</v>
      </c>
      <c r="F1043" s="22" t="s">
        <v>7</v>
      </c>
      <c r="G1043" s="22" t="s">
        <v>3509</v>
      </c>
      <c r="H1043" s="22" t="s">
        <v>10</v>
      </c>
      <c r="I1043" s="22" t="s">
        <v>5569</v>
      </c>
      <c r="J1043" s="22" t="s">
        <v>40</v>
      </c>
      <c r="K1043" s="22">
        <v>5.18124041100304e+18</v>
      </c>
      <c r="L1043" s="22" t="s">
        <v>5571</v>
      </c>
      <c r="M1043" s="25"/>
    </row>
    <row r="1044" customHeight="1" spans="1:13">
      <c r="A1044" s="21">
        <v>45658</v>
      </c>
      <c r="B1044" s="22" t="s">
        <v>5476</v>
      </c>
      <c r="C1044" s="23">
        <v>45665</v>
      </c>
      <c r="D1044" s="24">
        <v>13.3</v>
      </c>
      <c r="E1044" s="22" t="s">
        <v>139</v>
      </c>
      <c r="F1044" s="22" t="s">
        <v>7</v>
      </c>
      <c r="G1044" s="22" t="s">
        <v>3515</v>
      </c>
      <c r="H1044" s="22" t="s">
        <v>10</v>
      </c>
      <c r="I1044" s="22" t="s">
        <v>5569</v>
      </c>
      <c r="J1044" s="22" t="s">
        <v>40</v>
      </c>
      <c r="K1044" s="22">
        <v>5.18124042300319e+18</v>
      </c>
      <c r="L1044" s="22" t="s">
        <v>5572</v>
      </c>
      <c r="M1044" s="25"/>
    </row>
    <row r="1045" customHeight="1" spans="1:13">
      <c r="A1045" s="21">
        <v>45658</v>
      </c>
      <c r="B1045" s="22" t="s">
        <v>5477</v>
      </c>
      <c r="C1045" s="23">
        <v>45677</v>
      </c>
      <c r="D1045" s="22" t="s">
        <v>2232</v>
      </c>
      <c r="E1045" s="22" t="s">
        <v>2232</v>
      </c>
      <c r="F1045" s="22" t="s">
        <v>7</v>
      </c>
      <c r="G1045" s="22" t="s">
        <v>3521</v>
      </c>
      <c r="H1045" s="22" t="s">
        <v>10</v>
      </c>
      <c r="I1045" s="22" t="s">
        <v>5569</v>
      </c>
      <c r="J1045" s="22" t="s">
        <v>40</v>
      </c>
      <c r="K1045" s="22">
        <v>5.18124032500279e+18</v>
      </c>
      <c r="L1045" s="22" t="s">
        <v>5573</v>
      </c>
      <c r="M1045" s="25"/>
    </row>
    <row r="1046" customHeight="1" spans="1:13">
      <c r="A1046" s="21">
        <v>45658</v>
      </c>
      <c r="B1046" s="22" t="s">
        <v>5477</v>
      </c>
      <c r="C1046" s="23">
        <v>45678</v>
      </c>
      <c r="D1046" s="22" t="s">
        <v>2232</v>
      </c>
      <c r="E1046" s="22" t="s">
        <v>2232</v>
      </c>
      <c r="F1046" s="22" t="s">
        <v>7</v>
      </c>
      <c r="G1046" s="22" t="s">
        <v>3528</v>
      </c>
      <c r="H1046" s="22" t="s">
        <v>10</v>
      </c>
      <c r="I1046" s="22" t="s">
        <v>5569</v>
      </c>
      <c r="J1046" s="22" t="s">
        <v>40</v>
      </c>
      <c r="K1046" s="22">
        <v>5.18124031400252e+18</v>
      </c>
      <c r="L1046" s="22" t="s">
        <v>5574</v>
      </c>
      <c r="M1046" s="25"/>
    </row>
    <row r="1047" customHeight="1" spans="1:13">
      <c r="A1047" s="21">
        <v>45658</v>
      </c>
      <c r="B1047" s="22" t="s">
        <v>5477</v>
      </c>
      <c r="C1047" s="23">
        <v>45678</v>
      </c>
      <c r="D1047" s="22" t="s">
        <v>2232</v>
      </c>
      <c r="E1047" s="22" t="s">
        <v>2232</v>
      </c>
      <c r="F1047" s="22" t="s">
        <v>7</v>
      </c>
      <c r="G1047" s="22" t="s">
        <v>3533</v>
      </c>
      <c r="H1047" s="22" t="s">
        <v>10</v>
      </c>
      <c r="I1047" s="22" t="s">
        <v>5569</v>
      </c>
      <c r="J1047" s="22" t="s">
        <v>40</v>
      </c>
      <c r="K1047" s="22">
        <v>5.18124031400252e+18</v>
      </c>
      <c r="L1047" s="22" t="s">
        <v>5574</v>
      </c>
      <c r="M1047" s="25"/>
    </row>
    <row r="1048" customHeight="1" spans="1:13">
      <c r="A1048" s="21">
        <v>45658</v>
      </c>
      <c r="B1048" s="22" t="s">
        <v>5477</v>
      </c>
      <c r="C1048" s="23">
        <v>45678</v>
      </c>
      <c r="D1048" s="22" t="s">
        <v>2232</v>
      </c>
      <c r="E1048" s="22" t="s">
        <v>2232</v>
      </c>
      <c r="F1048" s="22" t="s">
        <v>7</v>
      </c>
      <c r="G1048" s="22" t="s">
        <v>3573</v>
      </c>
      <c r="H1048" s="22" t="s">
        <v>10</v>
      </c>
      <c r="I1048" s="22" t="s">
        <v>5569</v>
      </c>
      <c r="J1048" s="22" t="s">
        <v>40</v>
      </c>
      <c r="K1048" s="22">
        <v>5.18124031400252e+18</v>
      </c>
      <c r="L1048" s="22" t="s">
        <v>5574</v>
      </c>
      <c r="M1048" s="25"/>
    </row>
    <row r="1049" customHeight="1" spans="1:13">
      <c r="A1049" s="21">
        <v>45658</v>
      </c>
      <c r="B1049" s="22" t="s">
        <v>5477</v>
      </c>
      <c r="C1049" s="23">
        <v>45674</v>
      </c>
      <c r="D1049" s="22" t="s">
        <v>2232</v>
      </c>
      <c r="E1049" s="22" t="s">
        <v>2232</v>
      </c>
      <c r="F1049" s="22" t="s">
        <v>7</v>
      </c>
      <c r="G1049" s="22" t="s">
        <v>3576</v>
      </c>
      <c r="H1049" s="22" t="s">
        <v>11</v>
      </c>
      <c r="I1049" s="22" t="s">
        <v>5569</v>
      </c>
      <c r="J1049" s="22" t="s">
        <v>3577</v>
      </c>
      <c r="K1049" s="22">
        <v>5.18124120203618e+18</v>
      </c>
      <c r="L1049" s="22" t="s">
        <v>5575</v>
      </c>
      <c r="M1049" s="25"/>
    </row>
    <row r="1050" customHeight="1" spans="1:13">
      <c r="A1050" s="21">
        <v>45717</v>
      </c>
      <c r="B1050" s="22" t="s">
        <v>5480</v>
      </c>
      <c r="C1050" s="23">
        <v>45720</v>
      </c>
      <c r="D1050" s="22">
        <v>300000</v>
      </c>
      <c r="E1050" s="22" t="s">
        <v>1172</v>
      </c>
      <c r="F1050" s="22" t="s">
        <v>7</v>
      </c>
      <c r="G1050" s="22" t="s">
        <v>3587</v>
      </c>
      <c r="H1050" s="22" t="s">
        <v>10</v>
      </c>
      <c r="I1050" s="22" t="s">
        <v>5569</v>
      </c>
      <c r="J1050" s="22" t="s">
        <v>42</v>
      </c>
      <c r="K1050" s="22">
        <v>5.18122011400058e+18</v>
      </c>
      <c r="L1050" s="22" t="s">
        <v>5576</v>
      </c>
      <c r="M1050" s="25"/>
    </row>
    <row r="1051" customHeight="1" spans="1:13">
      <c r="A1051" s="21">
        <v>45717</v>
      </c>
      <c r="B1051" s="22" t="s">
        <v>5480</v>
      </c>
      <c r="C1051" s="23">
        <v>45720</v>
      </c>
      <c r="D1051" s="22" t="s">
        <v>2232</v>
      </c>
      <c r="E1051" s="22" t="s">
        <v>2232</v>
      </c>
      <c r="F1051" s="22" t="s">
        <v>7</v>
      </c>
      <c r="G1051" s="22" t="s">
        <v>3593</v>
      </c>
      <c r="H1051" s="22" t="s">
        <v>10</v>
      </c>
      <c r="I1051" s="22" t="s">
        <v>5569</v>
      </c>
      <c r="J1051" s="22" t="s">
        <v>40</v>
      </c>
      <c r="K1051" s="22">
        <v>5.18122011400058e+18</v>
      </c>
      <c r="L1051" s="22" t="s">
        <v>5576</v>
      </c>
      <c r="M1051" s="25"/>
    </row>
    <row r="1052" customHeight="1" spans="1:13">
      <c r="A1052" s="21">
        <v>45748</v>
      </c>
      <c r="B1052" s="22" t="s">
        <v>5482</v>
      </c>
      <c r="C1052" s="23">
        <v>45749</v>
      </c>
      <c r="D1052" s="24">
        <v>0</v>
      </c>
      <c r="E1052" s="24">
        <v>0</v>
      </c>
      <c r="F1052" s="22" t="s">
        <v>7</v>
      </c>
      <c r="G1052" s="22" t="s">
        <v>3597</v>
      </c>
      <c r="H1052" s="22" t="s">
        <v>10</v>
      </c>
      <c r="I1052" s="22" t="s">
        <v>5569</v>
      </c>
      <c r="J1052" s="22" t="s">
        <v>40</v>
      </c>
      <c r="K1052" s="22">
        <v>5.18122101700264e+18</v>
      </c>
      <c r="L1052" s="22" t="s">
        <v>5577</v>
      </c>
      <c r="M1052" s="25"/>
    </row>
    <row r="1053" customHeight="1" spans="1:13">
      <c r="A1053" s="21">
        <v>45748</v>
      </c>
      <c r="B1053" s="22" t="s">
        <v>5482</v>
      </c>
      <c r="C1053" s="23">
        <v>45754</v>
      </c>
      <c r="D1053" s="24">
        <v>0</v>
      </c>
      <c r="E1053" s="24">
        <v>0</v>
      </c>
      <c r="F1053" s="22" t="s">
        <v>7</v>
      </c>
      <c r="G1053" s="22" t="s">
        <v>3603</v>
      </c>
      <c r="H1053" s="22" t="s">
        <v>10</v>
      </c>
      <c r="I1053" s="22" t="s">
        <v>5569</v>
      </c>
      <c r="J1053" s="22" t="s">
        <v>40</v>
      </c>
      <c r="K1053" s="22">
        <v>5.18122112200286e+18</v>
      </c>
      <c r="L1053" s="22" t="s">
        <v>5578</v>
      </c>
      <c r="M1053" s="25"/>
    </row>
    <row r="1054" customHeight="1" spans="1:13">
      <c r="A1054" s="21">
        <v>45748</v>
      </c>
      <c r="B1054" s="22" t="s">
        <v>5482</v>
      </c>
      <c r="C1054" s="23">
        <v>45757</v>
      </c>
      <c r="D1054" s="24">
        <v>0</v>
      </c>
      <c r="E1054" s="24">
        <v>0</v>
      </c>
      <c r="F1054" s="22" t="s">
        <v>7</v>
      </c>
      <c r="G1054" s="22" t="s">
        <v>3609</v>
      </c>
      <c r="H1054" s="22" t="s">
        <v>10</v>
      </c>
      <c r="I1054" s="22" t="s">
        <v>5569</v>
      </c>
      <c r="J1054" s="22" t="s">
        <v>42</v>
      </c>
      <c r="K1054" s="22">
        <v>5.18122022500088e+18</v>
      </c>
      <c r="L1054" s="22" t="s">
        <v>3656</v>
      </c>
      <c r="M1054" s="25"/>
    </row>
    <row r="1055" customHeight="1" spans="1:13">
      <c r="A1055" s="21">
        <v>45748</v>
      </c>
      <c r="B1055" s="22" t="s">
        <v>5482</v>
      </c>
      <c r="C1055" s="23">
        <v>45762</v>
      </c>
      <c r="D1055" s="24">
        <v>0</v>
      </c>
      <c r="E1055" s="24">
        <v>0</v>
      </c>
      <c r="F1055" s="22" t="s">
        <v>7</v>
      </c>
      <c r="G1055" s="22" t="s">
        <v>3614</v>
      </c>
      <c r="H1055" s="22" t="s">
        <v>11</v>
      </c>
      <c r="I1055" s="22" t="s">
        <v>5569</v>
      </c>
      <c r="J1055" s="22" t="s">
        <v>40</v>
      </c>
      <c r="K1055" s="22">
        <v>5.18124122903695e+18</v>
      </c>
      <c r="L1055" s="22" t="s">
        <v>2780</v>
      </c>
      <c r="M1055" s="25"/>
    </row>
    <row r="1056" customHeight="1" spans="1:13">
      <c r="A1056" s="21">
        <v>45748</v>
      </c>
      <c r="B1056" s="22" t="s">
        <v>5483</v>
      </c>
      <c r="C1056" s="23">
        <v>45770</v>
      </c>
      <c r="D1056" s="24">
        <v>0</v>
      </c>
      <c r="E1056" s="24">
        <v>0</v>
      </c>
      <c r="F1056" s="22" t="s">
        <v>7</v>
      </c>
      <c r="G1056" s="22" t="s">
        <v>3618</v>
      </c>
      <c r="H1056" s="22" t="s">
        <v>10</v>
      </c>
      <c r="I1056" s="22" t="s">
        <v>5569</v>
      </c>
      <c r="J1056" s="22" t="s">
        <v>42</v>
      </c>
      <c r="K1056" s="22">
        <v>5.18124022000209e+18</v>
      </c>
      <c r="L1056" s="22" t="s">
        <v>5579</v>
      </c>
      <c r="M1056" s="25"/>
    </row>
    <row r="1057" customHeight="1" spans="1:13">
      <c r="A1057" s="21">
        <v>45778</v>
      </c>
      <c r="B1057" s="22" t="s">
        <v>5484</v>
      </c>
      <c r="C1057" s="23">
        <v>45784</v>
      </c>
      <c r="D1057" s="24">
        <v>0</v>
      </c>
      <c r="E1057" s="24">
        <v>0</v>
      </c>
      <c r="F1057" s="22" t="s">
        <v>7</v>
      </c>
      <c r="G1057" s="22" t="s">
        <v>3623</v>
      </c>
      <c r="H1057" s="22" t="s">
        <v>10</v>
      </c>
      <c r="I1057" s="22" t="s">
        <v>5569</v>
      </c>
      <c r="J1057" s="22" t="s">
        <v>42</v>
      </c>
      <c r="K1057" s="22">
        <v>5.18122022500088e+18</v>
      </c>
      <c r="L1057" s="22" t="s">
        <v>3656</v>
      </c>
      <c r="M1057" s="25"/>
    </row>
    <row r="1058" customHeight="1" spans="1:13">
      <c r="A1058" s="21">
        <v>45809</v>
      </c>
      <c r="B1058" s="22" t="s">
        <v>5487</v>
      </c>
      <c r="C1058" s="23">
        <v>45810</v>
      </c>
      <c r="D1058" s="24">
        <v>0</v>
      </c>
      <c r="E1058" s="24">
        <v>0</v>
      </c>
      <c r="F1058" s="22" t="s">
        <v>7</v>
      </c>
      <c r="G1058" s="22" t="s">
        <v>5580</v>
      </c>
      <c r="H1058" s="22" t="s">
        <v>11</v>
      </c>
      <c r="I1058" s="22" t="s">
        <v>5569</v>
      </c>
      <c r="J1058" s="22" t="s">
        <v>40</v>
      </c>
      <c r="K1058" s="22">
        <v>5.18125020503755e+18</v>
      </c>
      <c r="L1058" s="22" t="s">
        <v>5581</v>
      </c>
      <c r="M1058" s="25"/>
    </row>
    <row r="1059" customHeight="1" spans="1:13">
      <c r="A1059" s="21">
        <v>45809</v>
      </c>
      <c r="B1059" s="22" t="s">
        <v>5487</v>
      </c>
      <c r="C1059" s="23">
        <v>45817</v>
      </c>
      <c r="D1059" s="24">
        <v>0</v>
      </c>
      <c r="E1059" s="24">
        <v>0</v>
      </c>
      <c r="F1059" s="22" t="s">
        <v>7</v>
      </c>
      <c r="G1059" s="22" t="s">
        <v>3630</v>
      </c>
      <c r="H1059" s="22" t="s">
        <v>10</v>
      </c>
      <c r="I1059" s="22" t="s">
        <v>5569</v>
      </c>
      <c r="J1059" s="22" t="s">
        <v>42</v>
      </c>
      <c r="K1059" s="22">
        <v>5.18124120103616e+18</v>
      </c>
      <c r="L1059" s="22" t="s">
        <v>4322</v>
      </c>
      <c r="M1059" s="25"/>
    </row>
    <row r="1060" customHeight="1" spans="1:13">
      <c r="A1060" s="21">
        <v>45809</v>
      </c>
      <c r="B1060" s="22" t="s">
        <v>5487</v>
      </c>
      <c r="C1060" s="23">
        <v>45818</v>
      </c>
      <c r="D1060" s="24">
        <v>0</v>
      </c>
      <c r="E1060" s="24">
        <v>0</v>
      </c>
      <c r="F1060" s="22" t="s">
        <v>7</v>
      </c>
      <c r="G1060" s="22" t="s">
        <v>5582</v>
      </c>
      <c r="H1060" s="22" t="s">
        <v>11</v>
      </c>
      <c r="I1060" s="22" t="s">
        <v>5569</v>
      </c>
      <c r="J1060" s="22" t="s">
        <v>40</v>
      </c>
      <c r="K1060" s="22">
        <v>5.18125022603828e+18</v>
      </c>
      <c r="L1060" s="22" t="s">
        <v>4534</v>
      </c>
      <c r="M1060" s="25"/>
    </row>
    <row r="1061" customHeight="1" spans="1:13">
      <c r="A1061" s="21">
        <v>45809</v>
      </c>
      <c r="B1061" s="22" t="s">
        <v>5487</v>
      </c>
      <c r="C1061" s="23">
        <v>45821</v>
      </c>
      <c r="D1061" s="24">
        <v>0</v>
      </c>
      <c r="E1061" s="24">
        <v>0</v>
      </c>
      <c r="F1061" s="22" t="s">
        <v>7</v>
      </c>
      <c r="G1061" s="22" t="s">
        <v>3641</v>
      </c>
      <c r="H1061" s="22" t="s">
        <v>10</v>
      </c>
      <c r="I1061" s="22" t="s">
        <v>5569</v>
      </c>
      <c r="J1061" s="22" t="s">
        <v>42</v>
      </c>
      <c r="K1061" s="22">
        <v>5.18124092602915e+18</v>
      </c>
      <c r="L1061" s="22" t="s">
        <v>5583</v>
      </c>
      <c r="M1061" s="25"/>
    </row>
    <row r="1062" customHeight="1" spans="1:13">
      <c r="A1062" s="21">
        <v>45809</v>
      </c>
      <c r="B1062" s="22" t="s">
        <v>5489</v>
      </c>
      <c r="C1062" s="23">
        <v>45825</v>
      </c>
      <c r="D1062" s="24">
        <v>0</v>
      </c>
      <c r="E1062" s="24">
        <v>0</v>
      </c>
      <c r="F1062" s="22" t="s">
        <v>7</v>
      </c>
      <c r="G1062" s="22" t="s">
        <v>3645</v>
      </c>
      <c r="H1062" s="22" t="s">
        <v>10</v>
      </c>
      <c r="I1062" s="22" t="s">
        <v>5569</v>
      </c>
      <c r="J1062" s="22" t="s">
        <v>40</v>
      </c>
      <c r="K1062" s="22">
        <v>5.18124052100344e+18</v>
      </c>
      <c r="L1062" s="22" t="s">
        <v>5584</v>
      </c>
      <c r="M1062" s="25"/>
    </row>
    <row r="1063" customHeight="1" spans="1:13">
      <c r="A1063" s="21">
        <v>45809</v>
      </c>
      <c r="B1063" s="22" t="s">
        <v>5489</v>
      </c>
      <c r="C1063" s="23">
        <v>45831</v>
      </c>
      <c r="D1063" s="24">
        <v>0</v>
      </c>
      <c r="E1063" s="24">
        <v>0</v>
      </c>
      <c r="F1063" s="22" t="s">
        <v>7</v>
      </c>
      <c r="G1063" s="22" t="s">
        <v>3649</v>
      </c>
      <c r="H1063" s="22" t="s">
        <v>10</v>
      </c>
      <c r="I1063" s="22" t="s">
        <v>5569</v>
      </c>
      <c r="J1063" s="22" t="s">
        <v>42</v>
      </c>
      <c r="K1063" s="22">
        <v>5.18124061700855e+18</v>
      </c>
      <c r="L1063" s="22" t="s">
        <v>5585</v>
      </c>
      <c r="M1063" s="25"/>
    </row>
    <row r="1064" customHeight="1" spans="1:13">
      <c r="A1064" s="21">
        <v>45809</v>
      </c>
      <c r="B1064" s="22" t="s">
        <v>5489</v>
      </c>
      <c r="C1064" s="23">
        <v>45831</v>
      </c>
      <c r="D1064" s="24">
        <v>0</v>
      </c>
      <c r="E1064" s="24">
        <v>0</v>
      </c>
      <c r="F1064" s="22" t="s">
        <v>7</v>
      </c>
      <c r="G1064" s="22" t="s">
        <v>3653</v>
      </c>
      <c r="H1064" s="22" t="s">
        <v>10</v>
      </c>
      <c r="I1064" s="22" t="s">
        <v>5569</v>
      </c>
      <c r="J1064" s="22" t="s">
        <v>42</v>
      </c>
      <c r="K1064" s="22">
        <v>5.18124061700855e+18</v>
      </c>
      <c r="L1064" s="22" t="s">
        <v>5585</v>
      </c>
      <c r="M1064" s="25"/>
    </row>
    <row r="1065" customHeight="1" spans="1:13">
      <c r="A1065" s="21">
        <v>45839</v>
      </c>
      <c r="B1065" s="22" t="s">
        <v>5491</v>
      </c>
      <c r="C1065" s="23">
        <v>45839</v>
      </c>
      <c r="D1065" s="24">
        <v>0</v>
      </c>
      <c r="E1065" s="24">
        <v>0</v>
      </c>
      <c r="F1065" s="22" t="s">
        <v>7</v>
      </c>
      <c r="G1065" s="22" t="s">
        <v>3657</v>
      </c>
      <c r="H1065" s="22" t="s">
        <v>10</v>
      </c>
      <c r="I1065" s="22" t="s">
        <v>5569</v>
      </c>
      <c r="J1065" s="22" t="s">
        <v>42</v>
      </c>
      <c r="K1065" s="22">
        <v>5.18124112603598e+18</v>
      </c>
      <c r="L1065" s="22" t="s">
        <v>5586</v>
      </c>
      <c r="M1065" s="25"/>
    </row>
    <row r="1066" customHeight="1" spans="1:13">
      <c r="A1066" s="21">
        <v>45839</v>
      </c>
      <c r="B1066" s="22" t="s">
        <v>5491</v>
      </c>
      <c r="C1066" s="23">
        <v>45839</v>
      </c>
      <c r="D1066" s="24">
        <v>0</v>
      </c>
      <c r="E1066" s="24">
        <v>0</v>
      </c>
      <c r="F1066" s="22" t="s">
        <v>7</v>
      </c>
      <c r="G1066" s="22" t="s">
        <v>3662</v>
      </c>
      <c r="H1066" s="22" t="s">
        <v>10</v>
      </c>
      <c r="I1066" s="22" t="s">
        <v>5569</v>
      </c>
      <c r="J1066" s="22" t="s">
        <v>40</v>
      </c>
      <c r="K1066" s="22">
        <v>5.18124112603598e+18</v>
      </c>
      <c r="L1066" s="22" t="s">
        <v>5586</v>
      </c>
      <c r="M1066" s="25"/>
    </row>
    <row r="1067" customHeight="1" spans="1:13">
      <c r="A1067" s="21">
        <v>45839</v>
      </c>
      <c r="B1067" s="22" t="s">
        <v>5491</v>
      </c>
      <c r="C1067" s="23">
        <v>45839</v>
      </c>
      <c r="D1067" s="24">
        <v>0</v>
      </c>
      <c r="E1067" s="24">
        <v>0</v>
      </c>
      <c r="F1067" s="22" t="s">
        <v>7</v>
      </c>
      <c r="G1067" s="22" t="s">
        <v>3667</v>
      </c>
      <c r="H1067" s="22" t="s">
        <v>10</v>
      </c>
      <c r="I1067" s="22" t="s">
        <v>5569</v>
      </c>
      <c r="J1067" s="22" t="s">
        <v>40</v>
      </c>
      <c r="K1067" s="22">
        <v>5.18124112603598e+18</v>
      </c>
      <c r="L1067" s="22" t="s">
        <v>5586</v>
      </c>
      <c r="M1067" s="25"/>
    </row>
    <row r="1068" customHeight="1" spans="1:13">
      <c r="A1068" s="21">
        <v>45839</v>
      </c>
      <c r="B1068" s="22" t="s">
        <v>5491</v>
      </c>
      <c r="C1068" s="23">
        <v>45849</v>
      </c>
      <c r="D1068" s="24">
        <v>0</v>
      </c>
      <c r="E1068" s="24">
        <v>0</v>
      </c>
      <c r="F1068" s="22" t="s">
        <v>7</v>
      </c>
      <c r="G1068" s="22" t="s">
        <v>3671</v>
      </c>
      <c r="H1068" s="22" t="s">
        <v>10</v>
      </c>
      <c r="I1068" s="22" t="s">
        <v>5569</v>
      </c>
      <c r="J1068" s="22" t="s">
        <v>40</v>
      </c>
      <c r="K1068" s="22">
        <v>5.18124031600256e+18</v>
      </c>
      <c r="L1068" s="22" t="s">
        <v>5587</v>
      </c>
      <c r="M1068" s="25"/>
    </row>
    <row r="1069" customHeight="1" spans="1:13">
      <c r="A1069" s="21">
        <v>45839</v>
      </c>
      <c r="B1069" s="22" t="s">
        <v>5492</v>
      </c>
      <c r="C1069" s="23">
        <v>45855</v>
      </c>
      <c r="D1069" s="24">
        <v>0</v>
      </c>
      <c r="E1069" s="24">
        <v>0</v>
      </c>
      <c r="F1069" s="22" t="s">
        <v>7</v>
      </c>
      <c r="G1069" s="22" t="s">
        <v>3676</v>
      </c>
      <c r="H1069" s="22" t="s">
        <v>10</v>
      </c>
      <c r="I1069" s="22" t="s">
        <v>5569</v>
      </c>
      <c r="J1069" s="22" t="s">
        <v>40</v>
      </c>
      <c r="K1069" s="22">
        <v>5.18124032200275e+18</v>
      </c>
      <c r="L1069" s="22" t="s">
        <v>2903</v>
      </c>
      <c r="M1069" s="25"/>
    </row>
    <row r="1070" customHeight="1" spans="1:13">
      <c r="A1070" s="21">
        <v>45839</v>
      </c>
      <c r="B1070" s="22" t="s">
        <v>5492</v>
      </c>
      <c r="C1070" s="23">
        <v>45860</v>
      </c>
      <c r="D1070" s="24">
        <v>0</v>
      </c>
      <c r="E1070" s="24">
        <v>0</v>
      </c>
      <c r="F1070" s="22" t="s">
        <v>7</v>
      </c>
      <c r="G1070" s="22" t="s">
        <v>3678</v>
      </c>
      <c r="H1070" s="22" t="s">
        <v>10</v>
      </c>
      <c r="I1070" s="22" t="s">
        <v>5569</v>
      </c>
      <c r="J1070" s="22" t="s">
        <v>40</v>
      </c>
      <c r="K1070" s="22">
        <v>5.18125042504093e+18</v>
      </c>
      <c r="L1070" s="22" t="s">
        <v>5588</v>
      </c>
      <c r="M1070" s="25"/>
    </row>
    <row r="1071" customHeight="1" spans="1:13">
      <c r="A1071" s="21">
        <v>45839</v>
      </c>
      <c r="B1071" s="22" t="s">
        <v>5492</v>
      </c>
      <c r="C1071" s="23">
        <v>45862</v>
      </c>
      <c r="D1071" s="24">
        <v>0</v>
      </c>
      <c r="E1071" s="24">
        <v>0</v>
      </c>
      <c r="F1071" s="22" t="s">
        <v>7</v>
      </c>
      <c r="G1071" s="22" t="s">
        <v>5589</v>
      </c>
      <c r="H1071" s="22" t="s">
        <v>11</v>
      </c>
      <c r="I1071" s="22" t="s">
        <v>5569</v>
      </c>
      <c r="J1071" s="22" t="s">
        <v>40</v>
      </c>
      <c r="K1071" s="22">
        <v>5.1812505140415e+18</v>
      </c>
      <c r="L1071" s="22" t="s">
        <v>5590</v>
      </c>
      <c r="M1071" s="25"/>
    </row>
    <row r="1072" customHeight="1" spans="1:13">
      <c r="A1072" s="21">
        <v>45839</v>
      </c>
      <c r="B1072" s="22" t="s">
        <v>5492</v>
      </c>
      <c r="C1072" s="23">
        <v>45867</v>
      </c>
      <c r="D1072" s="24">
        <v>0</v>
      </c>
      <c r="E1072" s="24">
        <v>0</v>
      </c>
      <c r="F1072" s="22" t="s">
        <v>7</v>
      </c>
      <c r="G1072" s="22" t="s">
        <v>3686</v>
      </c>
      <c r="H1072" s="22" t="s">
        <v>10</v>
      </c>
      <c r="I1072" s="22" t="s">
        <v>5569</v>
      </c>
      <c r="J1072" s="22" t="s">
        <v>42</v>
      </c>
      <c r="K1072" s="22">
        <v>5.18124112603598e+18</v>
      </c>
      <c r="L1072" s="22" t="s">
        <v>5586</v>
      </c>
      <c r="M1072" s="25"/>
    </row>
    <row r="1073" customHeight="1" spans="1:13">
      <c r="A1073" s="21">
        <v>45839</v>
      </c>
      <c r="B1073" s="22" t="s">
        <v>5492</v>
      </c>
      <c r="C1073" s="23">
        <v>45867</v>
      </c>
      <c r="D1073" s="24">
        <v>0</v>
      </c>
      <c r="E1073" s="24">
        <v>0</v>
      </c>
      <c r="F1073" s="22" t="s">
        <v>7</v>
      </c>
      <c r="G1073" s="22" t="s">
        <v>3691</v>
      </c>
      <c r="H1073" s="22" t="s">
        <v>10</v>
      </c>
      <c r="I1073" s="22" t="s">
        <v>5569</v>
      </c>
      <c r="J1073" s="22" t="s">
        <v>42</v>
      </c>
      <c r="K1073" s="22">
        <v>5.18124112603598e+18</v>
      </c>
      <c r="L1073" s="22" t="s">
        <v>5586</v>
      </c>
      <c r="M1073" s="25"/>
    </row>
    <row r="1074" customHeight="1" spans="1:13">
      <c r="A1074" s="21">
        <v>45839</v>
      </c>
      <c r="B1074" s="22" t="s">
        <v>5492</v>
      </c>
      <c r="C1074" s="23">
        <v>45867</v>
      </c>
      <c r="D1074" s="24">
        <v>0</v>
      </c>
      <c r="E1074" s="24">
        <v>0</v>
      </c>
      <c r="F1074" s="22" t="s">
        <v>7</v>
      </c>
      <c r="G1074" s="22" t="s">
        <v>3694</v>
      </c>
      <c r="H1074" s="22" t="s">
        <v>10</v>
      </c>
      <c r="I1074" s="22" t="s">
        <v>5569</v>
      </c>
      <c r="J1074" s="22" t="s">
        <v>42</v>
      </c>
      <c r="K1074" s="22">
        <v>5.18124112603598e+18</v>
      </c>
      <c r="L1074" s="22" t="s">
        <v>5586</v>
      </c>
      <c r="M1074" s="25"/>
    </row>
    <row r="1075" customHeight="1" spans="1:13">
      <c r="A1075" s="21">
        <v>45839</v>
      </c>
      <c r="B1075" s="22" t="s">
        <v>5492</v>
      </c>
      <c r="C1075" s="23">
        <v>45869</v>
      </c>
      <c r="D1075" s="24">
        <v>0</v>
      </c>
      <c r="E1075" s="24">
        <v>0</v>
      </c>
      <c r="F1075" s="22" t="s">
        <v>7</v>
      </c>
      <c r="G1075" s="22" t="s">
        <v>3698</v>
      </c>
      <c r="H1075" s="22" t="s">
        <v>10</v>
      </c>
      <c r="I1075" s="22" t="s">
        <v>5569</v>
      </c>
      <c r="J1075" s="22" t="s">
        <v>42</v>
      </c>
      <c r="K1075" s="22">
        <v>5.18124061100376e+18</v>
      </c>
      <c r="L1075" s="22" t="s">
        <v>5591</v>
      </c>
      <c r="M1075" s="25"/>
    </row>
    <row r="1076" customHeight="1" spans="1:13">
      <c r="A1076" s="21">
        <v>45870</v>
      </c>
      <c r="B1076" s="22" t="s">
        <v>5493</v>
      </c>
      <c r="C1076" s="23">
        <v>45875</v>
      </c>
      <c r="D1076" s="24">
        <v>0</v>
      </c>
      <c r="E1076" s="24">
        <v>0</v>
      </c>
      <c r="F1076" s="22" t="s">
        <v>7</v>
      </c>
      <c r="G1076" s="22" t="s">
        <v>3702</v>
      </c>
      <c r="H1076" s="22" t="s">
        <v>11</v>
      </c>
      <c r="I1076" s="22" t="s">
        <v>5569</v>
      </c>
      <c r="J1076" s="22" t="s">
        <v>40</v>
      </c>
      <c r="K1076" s="22">
        <v>5.18125070904467e+18</v>
      </c>
      <c r="L1076" s="22" t="s">
        <v>5592</v>
      </c>
      <c r="M1076" s="25"/>
    </row>
    <row r="1077" customHeight="1" spans="1:13">
      <c r="A1077" s="21">
        <v>45870</v>
      </c>
      <c r="B1077" s="22" t="s">
        <v>5493</v>
      </c>
      <c r="C1077" s="23">
        <v>45881</v>
      </c>
      <c r="D1077" s="24">
        <v>0</v>
      </c>
      <c r="E1077" s="24">
        <v>0</v>
      </c>
      <c r="F1077" s="22" t="s">
        <v>7</v>
      </c>
      <c r="G1077" s="22" t="s">
        <v>3705</v>
      </c>
      <c r="H1077" s="22" t="s">
        <v>10</v>
      </c>
      <c r="I1077" s="22" t="s">
        <v>5569</v>
      </c>
      <c r="J1077" s="22" t="s">
        <v>42</v>
      </c>
      <c r="K1077" s="22">
        <v>5.18124112603598e+18</v>
      </c>
      <c r="L1077" s="22" t="s">
        <v>5586</v>
      </c>
      <c r="M1077" s="25"/>
    </row>
    <row r="1078" customHeight="1" spans="1:13">
      <c r="A1078" s="21">
        <v>45870</v>
      </c>
      <c r="B1078" s="22" t="s">
        <v>5495</v>
      </c>
      <c r="C1078" s="23">
        <v>45891</v>
      </c>
      <c r="D1078" s="24">
        <v>0</v>
      </c>
      <c r="E1078" s="24">
        <v>0</v>
      </c>
      <c r="F1078" s="22" t="s">
        <v>7</v>
      </c>
      <c r="G1078" s="22" t="s">
        <v>3709</v>
      </c>
      <c r="H1078" s="22" t="s">
        <v>10</v>
      </c>
      <c r="I1078" s="22" t="s">
        <v>5569</v>
      </c>
      <c r="J1078" s="22" t="s">
        <v>42</v>
      </c>
      <c r="K1078" s="22">
        <v>5.18122042700143e+18</v>
      </c>
      <c r="L1078" s="22" t="s">
        <v>5593</v>
      </c>
      <c r="M1078" s="25"/>
    </row>
    <row r="1079" customHeight="1" spans="1:13">
      <c r="A1079" s="21">
        <v>45870</v>
      </c>
      <c r="B1079" s="22" t="s">
        <v>5495</v>
      </c>
      <c r="C1079" s="23">
        <v>45896</v>
      </c>
      <c r="D1079" s="24">
        <v>0</v>
      </c>
      <c r="E1079" s="24">
        <v>0</v>
      </c>
      <c r="F1079" s="22" t="s">
        <v>7</v>
      </c>
      <c r="G1079" s="22" t="s">
        <v>5594</v>
      </c>
      <c r="H1079" s="22" t="s">
        <v>11</v>
      </c>
      <c r="I1079" s="22" t="s">
        <v>5569</v>
      </c>
      <c r="J1079" s="22" t="s">
        <v>40</v>
      </c>
      <c r="K1079" s="22">
        <v>5.18125070404447e+18</v>
      </c>
      <c r="L1079" s="22" t="s">
        <v>3084</v>
      </c>
      <c r="M1079" s="25"/>
    </row>
    <row r="1080" customHeight="1" spans="1:13">
      <c r="A1080" s="21">
        <v>45870</v>
      </c>
      <c r="B1080" s="22" t="s">
        <v>5495</v>
      </c>
      <c r="C1080" s="23">
        <v>45894</v>
      </c>
      <c r="D1080" s="24">
        <v>0</v>
      </c>
      <c r="E1080" s="24">
        <v>0</v>
      </c>
      <c r="F1080" s="22" t="s">
        <v>7</v>
      </c>
      <c r="G1080" s="22" t="s">
        <v>3716</v>
      </c>
      <c r="H1080" s="22" t="s">
        <v>11</v>
      </c>
      <c r="I1080" s="22" t="s">
        <v>5569</v>
      </c>
      <c r="J1080" s="22" t="s">
        <v>40</v>
      </c>
      <c r="K1080" s="22">
        <v>5.18125061204326e+18</v>
      </c>
      <c r="L1080" s="22" t="s">
        <v>2960</v>
      </c>
      <c r="M1080" s="25"/>
    </row>
    <row r="1081" customHeight="1" spans="1:13">
      <c r="A1081" s="21">
        <v>45901</v>
      </c>
      <c r="B1081" s="22" t="s">
        <v>5497</v>
      </c>
      <c r="C1081" s="23">
        <v>45902</v>
      </c>
      <c r="D1081" s="24">
        <v>580000</v>
      </c>
      <c r="E1081" s="22" t="s">
        <v>1172</v>
      </c>
      <c r="F1081" s="22" t="s">
        <v>7</v>
      </c>
      <c r="G1081" s="22" t="s">
        <v>3724</v>
      </c>
      <c r="H1081" s="22" t="s">
        <v>10</v>
      </c>
      <c r="I1081" s="22" t="s">
        <v>5569</v>
      </c>
      <c r="J1081" s="22" t="s">
        <v>42</v>
      </c>
      <c r="K1081" s="22">
        <v>5.18124120103616e+18</v>
      </c>
      <c r="L1081" s="22" t="s">
        <v>4322</v>
      </c>
      <c r="M1081" s="25"/>
    </row>
    <row r="1082" customHeight="1" spans="1:13">
      <c r="A1082" s="21">
        <v>45901</v>
      </c>
      <c r="B1082" s="22" t="s">
        <v>5497</v>
      </c>
      <c r="C1082" s="23">
        <v>45902</v>
      </c>
      <c r="D1082" s="24">
        <v>0</v>
      </c>
      <c r="E1082" s="24">
        <v>0</v>
      </c>
      <c r="F1082" s="22" t="s">
        <v>7</v>
      </c>
      <c r="G1082" s="22" t="s">
        <v>3726</v>
      </c>
      <c r="H1082" s="22" t="s">
        <v>10</v>
      </c>
      <c r="I1082" s="22" t="s">
        <v>5569</v>
      </c>
      <c r="J1082" s="22" t="s">
        <v>42</v>
      </c>
      <c r="K1082" s="22">
        <v>5.18124120103616e+18</v>
      </c>
      <c r="L1082" s="22" t="s">
        <v>4322</v>
      </c>
      <c r="M1082" s="25"/>
    </row>
    <row r="1083" customHeight="1" spans="1:13">
      <c r="A1083" s="21">
        <v>45901</v>
      </c>
      <c r="B1083" s="22" t="s">
        <v>5497</v>
      </c>
      <c r="C1083" s="23">
        <v>45909</v>
      </c>
      <c r="D1083" s="24">
        <v>0</v>
      </c>
      <c r="E1083" s="24">
        <v>0</v>
      </c>
      <c r="F1083" s="22" t="s">
        <v>7</v>
      </c>
      <c r="G1083" s="22" t="s">
        <v>3731</v>
      </c>
      <c r="H1083" s="22" t="s">
        <v>10</v>
      </c>
      <c r="I1083" s="22" t="s">
        <v>5569</v>
      </c>
      <c r="J1083" s="22" t="s">
        <v>42</v>
      </c>
      <c r="K1083" s="22">
        <v>5.18122042700143e+18</v>
      </c>
      <c r="L1083" s="22" t="s">
        <v>5593</v>
      </c>
      <c r="M1083" s="25"/>
    </row>
    <row r="1084" customHeight="1" spans="1:13">
      <c r="A1084" s="21">
        <v>45901</v>
      </c>
      <c r="B1084" s="22" t="s">
        <v>5499</v>
      </c>
      <c r="C1084" s="23">
        <v>45919</v>
      </c>
      <c r="D1084" s="24">
        <v>0</v>
      </c>
      <c r="E1084" s="24">
        <v>0</v>
      </c>
      <c r="F1084" s="22" t="s">
        <v>7</v>
      </c>
      <c r="G1084" s="22" t="s">
        <v>3734</v>
      </c>
      <c r="H1084" s="22" t="s">
        <v>10</v>
      </c>
      <c r="I1084" s="22" t="s">
        <v>5569</v>
      </c>
      <c r="J1084" s="22" t="s">
        <v>42</v>
      </c>
      <c r="K1084" s="22">
        <v>5.18122042700143e+18</v>
      </c>
      <c r="L1084" s="22" t="s">
        <v>5593</v>
      </c>
      <c r="M1084" s="25"/>
    </row>
    <row r="1085" customHeight="1" spans="1:13">
      <c r="A1085" s="21">
        <v>45901</v>
      </c>
      <c r="B1085" s="22" t="s">
        <v>5499</v>
      </c>
      <c r="C1085" s="23">
        <v>45925</v>
      </c>
      <c r="D1085" s="24">
        <v>0</v>
      </c>
      <c r="E1085" s="24">
        <v>0</v>
      </c>
      <c r="F1085" s="22" t="s">
        <v>7</v>
      </c>
      <c r="G1085" s="22" t="s">
        <v>3736</v>
      </c>
      <c r="H1085" s="22" t="s">
        <v>11</v>
      </c>
      <c r="I1085" s="22" t="s">
        <v>5569</v>
      </c>
      <c r="J1085" s="22" t="s">
        <v>40</v>
      </c>
      <c r="K1085" s="22">
        <v>5.18125071804503e+18</v>
      </c>
      <c r="L1085" s="22" t="s">
        <v>5595</v>
      </c>
      <c r="M1085" s="25"/>
    </row>
    <row r="1086" customHeight="1" spans="1:13">
      <c r="A1086" s="21">
        <v>45901</v>
      </c>
      <c r="B1086" s="22" t="s">
        <v>5499</v>
      </c>
      <c r="C1086" s="23">
        <v>45926</v>
      </c>
      <c r="D1086" s="24">
        <v>0</v>
      </c>
      <c r="E1086" s="24">
        <v>0</v>
      </c>
      <c r="F1086" s="22" t="s">
        <v>7</v>
      </c>
      <c r="G1086" s="22" t="s">
        <v>3738</v>
      </c>
      <c r="H1086" s="22" t="s">
        <v>11</v>
      </c>
      <c r="I1086" s="22" t="s">
        <v>5569</v>
      </c>
      <c r="J1086" s="22" t="s">
        <v>40</v>
      </c>
      <c r="K1086" s="22">
        <v>5.18124071701608e+18</v>
      </c>
      <c r="L1086" s="22" t="s">
        <v>5596</v>
      </c>
      <c r="M1086" s="25"/>
    </row>
    <row r="1087" customHeight="1" spans="1:13">
      <c r="A1087" s="21">
        <v>45901</v>
      </c>
      <c r="B1087" s="22" t="s">
        <v>5499</v>
      </c>
      <c r="C1087" s="23">
        <v>45926</v>
      </c>
      <c r="D1087" s="24">
        <v>0</v>
      </c>
      <c r="E1087" s="24">
        <v>0</v>
      </c>
      <c r="F1087" s="22" t="s">
        <v>7</v>
      </c>
      <c r="G1087" s="22" t="s">
        <v>3741</v>
      </c>
      <c r="H1087" s="22" t="s">
        <v>11</v>
      </c>
      <c r="I1087" s="22" t="s">
        <v>5569</v>
      </c>
      <c r="J1087" s="22" t="s">
        <v>40</v>
      </c>
      <c r="K1087" s="22">
        <v>5.18124071701608e+18</v>
      </c>
      <c r="L1087" s="22" t="s">
        <v>5596</v>
      </c>
      <c r="M1087" s="25"/>
    </row>
    <row r="1088" customHeight="1" spans="1:13">
      <c r="A1088" s="21">
        <v>45901</v>
      </c>
      <c r="B1088" s="22" t="s">
        <v>5499</v>
      </c>
      <c r="C1088" s="23">
        <v>45929</v>
      </c>
      <c r="D1088" s="24">
        <v>0</v>
      </c>
      <c r="E1088" s="24">
        <v>0</v>
      </c>
      <c r="F1088" s="22" t="s">
        <v>7</v>
      </c>
      <c r="G1088" s="22" t="s">
        <v>3744</v>
      </c>
      <c r="H1088" s="22" t="s">
        <v>10</v>
      </c>
      <c r="I1088" s="22" t="s">
        <v>5569</v>
      </c>
      <c r="J1088" s="22" t="s">
        <v>42</v>
      </c>
      <c r="K1088" s="22">
        <v>5.18124061100376e+18</v>
      </c>
      <c r="L1088" s="22" t="s">
        <v>5591</v>
      </c>
      <c r="M1088" s="25"/>
    </row>
    <row r="1089" customHeight="1" spans="1:13">
      <c r="A1089" s="21">
        <v>45901</v>
      </c>
      <c r="B1089" s="22" t="s">
        <v>5499</v>
      </c>
      <c r="C1089" s="23">
        <v>45929</v>
      </c>
      <c r="D1089" s="24">
        <v>0</v>
      </c>
      <c r="E1089" s="24">
        <v>0</v>
      </c>
      <c r="F1089" s="22" t="s">
        <v>7</v>
      </c>
      <c r="G1089" s="22" t="s">
        <v>5597</v>
      </c>
      <c r="H1089" s="22" t="s">
        <v>10</v>
      </c>
      <c r="I1089" s="22" t="s">
        <v>5569</v>
      </c>
      <c r="J1089" s="22" t="s">
        <v>40</v>
      </c>
      <c r="K1089" s="22">
        <v>5.18124061100376e+18</v>
      </c>
      <c r="L1089" s="22" t="s">
        <v>5591</v>
      </c>
      <c r="M1089" s="25"/>
    </row>
    <row r="1090" customHeight="1" spans="1:13">
      <c r="A1090" s="21">
        <v>45931</v>
      </c>
      <c r="B1090" s="22" t="s">
        <v>5500</v>
      </c>
      <c r="C1090" s="23">
        <v>45938</v>
      </c>
      <c r="D1090" s="22" t="s">
        <v>2232</v>
      </c>
      <c r="E1090" s="24">
        <v>0</v>
      </c>
      <c r="F1090" s="22" t="s">
        <v>7</v>
      </c>
      <c r="G1090" s="22" t="s">
        <v>3751</v>
      </c>
      <c r="H1090" s="22" t="s">
        <v>11</v>
      </c>
      <c r="I1090" s="22" t="s">
        <v>5569</v>
      </c>
      <c r="J1090" s="22" t="s">
        <v>40</v>
      </c>
      <c r="K1090" s="22">
        <v>5.18125022603828e+18</v>
      </c>
      <c r="L1090" s="22" t="s">
        <v>5598</v>
      </c>
      <c r="M1090" s="25"/>
    </row>
    <row r="1091" customHeight="1" spans="1:13">
      <c r="A1091" s="21">
        <v>45931</v>
      </c>
      <c r="B1091" s="22" t="s">
        <v>5500</v>
      </c>
      <c r="C1091" s="23">
        <v>45936</v>
      </c>
      <c r="D1091" s="22" t="s">
        <v>2232</v>
      </c>
      <c r="E1091" s="24">
        <v>0</v>
      </c>
      <c r="F1091" s="22" t="s">
        <v>7</v>
      </c>
      <c r="G1091" s="22" t="s">
        <v>3754</v>
      </c>
      <c r="H1091" s="22" t="s">
        <v>11</v>
      </c>
      <c r="I1091" s="22" t="s">
        <v>5569</v>
      </c>
      <c r="J1091" s="22" t="s">
        <v>40</v>
      </c>
      <c r="K1091" s="22">
        <v>5.18125022603828e+18</v>
      </c>
      <c r="L1091" s="22" t="s">
        <v>5598</v>
      </c>
      <c r="M1091" s="25"/>
    </row>
    <row r="1092" customHeight="1" spans="1:13">
      <c r="A1092" s="21">
        <v>45931</v>
      </c>
      <c r="B1092" s="22" t="s">
        <v>5500</v>
      </c>
      <c r="C1092" s="23">
        <v>45939</v>
      </c>
      <c r="D1092" s="22" t="s">
        <v>2232</v>
      </c>
      <c r="E1092" s="24">
        <v>0</v>
      </c>
      <c r="F1092" s="22" t="s">
        <v>7</v>
      </c>
      <c r="G1092" s="22" t="s">
        <v>3755</v>
      </c>
      <c r="H1092" s="22" t="s">
        <v>10</v>
      </c>
      <c r="I1092" s="22" t="s">
        <v>5569</v>
      </c>
      <c r="J1092" s="22" t="s">
        <v>40</v>
      </c>
      <c r="K1092" s="22">
        <v>5.18124032200275e+18</v>
      </c>
      <c r="L1092" s="22" t="s">
        <v>2903</v>
      </c>
      <c r="M1092" s="25"/>
    </row>
    <row r="1093" customHeight="1" spans="1:13">
      <c r="A1093" s="21">
        <v>45931</v>
      </c>
      <c r="B1093" s="22" t="s">
        <v>5501</v>
      </c>
      <c r="C1093" s="23">
        <v>45947</v>
      </c>
      <c r="D1093" s="22" t="s">
        <v>2232</v>
      </c>
      <c r="E1093" s="24">
        <v>0</v>
      </c>
      <c r="F1093" s="22" t="s">
        <v>7</v>
      </c>
      <c r="G1093" s="22" t="s">
        <v>3757</v>
      </c>
      <c r="H1093" s="22" t="s">
        <v>11</v>
      </c>
      <c r="I1093" s="22" t="s">
        <v>5569</v>
      </c>
      <c r="J1093" s="22" t="s">
        <v>40</v>
      </c>
      <c r="K1093" s="22">
        <v>5.18125091204795e+18</v>
      </c>
      <c r="L1093" s="22" t="s">
        <v>4732</v>
      </c>
      <c r="M1093" s="25"/>
    </row>
    <row r="1094" customHeight="1" spans="1:13">
      <c r="A1094" s="21">
        <v>45931</v>
      </c>
      <c r="B1094" s="22" t="s">
        <v>5501</v>
      </c>
      <c r="C1094" s="23">
        <v>45952</v>
      </c>
      <c r="D1094" s="22" t="s">
        <v>2232</v>
      </c>
      <c r="E1094" s="24">
        <v>0</v>
      </c>
      <c r="F1094" s="22" t="s">
        <v>7</v>
      </c>
      <c r="G1094" s="22" t="s">
        <v>3760</v>
      </c>
      <c r="H1094" s="22" t="s">
        <v>12</v>
      </c>
      <c r="I1094" s="22" t="s">
        <v>5569</v>
      </c>
      <c r="J1094" s="22" t="s">
        <v>40</v>
      </c>
      <c r="K1094" s="22">
        <v>5.18125090304722e+18</v>
      </c>
      <c r="L1094" s="22" t="s">
        <v>5599</v>
      </c>
      <c r="M1094" s="25"/>
    </row>
    <row r="1095" customHeight="1" spans="1:13">
      <c r="A1095" s="21">
        <v>45931</v>
      </c>
      <c r="B1095" s="22" t="s">
        <v>5501</v>
      </c>
      <c r="C1095" s="23">
        <v>45953</v>
      </c>
      <c r="D1095" s="24">
        <v>12500</v>
      </c>
      <c r="E1095" s="22" t="s">
        <v>149</v>
      </c>
      <c r="F1095" s="22" t="s">
        <v>7</v>
      </c>
      <c r="G1095" s="22" t="s">
        <v>5600</v>
      </c>
      <c r="H1095" s="22" t="s">
        <v>11</v>
      </c>
      <c r="I1095" s="22" t="s">
        <v>5569</v>
      </c>
      <c r="J1095" s="22" t="s">
        <v>40</v>
      </c>
      <c r="K1095" s="22">
        <v>5.18125052604199e+18</v>
      </c>
      <c r="L1095" s="22" t="s">
        <v>5601</v>
      </c>
      <c r="M1095" s="25"/>
    </row>
    <row r="1096" customHeight="1" spans="1:13">
      <c r="A1096" s="21">
        <v>45931</v>
      </c>
      <c r="B1096" s="22" t="s">
        <v>5501</v>
      </c>
      <c r="C1096" s="23">
        <v>45954</v>
      </c>
      <c r="D1096" s="27">
        <v>7112</v>
      </c>
      <c r="E1096" s="22" t="s">
        <v>149</v>
      </c>
      <c r="F1096" s="22" t="s">
        <v>7</v>
      </c>
      <c r="G1096" s="22" t="s">
        <v>5602</v>
      </c>
      <c r="H1096" s="22" t="s">
        <v>11</v>
      </c>
      <c r="I1096" s="22" t="s">
        <v>5569</v>
      </c>
      <c r="J1096" s="22" t="s">
        <v>40</v>
      </c>
      <c r="K1096" s="22">
        <v>5.18125080504591e+18</v>
      </c>
      <c r="L1096" s="22" t="s">
        <v>5603</v>
      </c>
      <c r="M1096" s="25"/>
    </row>
    <row r="1097" customHeight="1" spans="1:13">
      <c r="A1097" s="21">
        <v>45931</v>
      </c>
      <c r="B1097" s="22" t="s">
        <v>5501</v>
      </c>
      <c r="C1097" s="23">
        <v>45954</v>
      </c>
      <c r="D1097" s="22" t="s">
        <v>2232</v>
      </c>
      <c r="E1097" s="24">
        <v>0</v>
      </c>
      <c r="F1097" s="22" t="s">
        <v>7</v>
      </c>
      <c r="G1097" s="22" t="s">
        <v>3773</v>
      </c>
      <c r="H1097" s="22" t="s">
        <v>10</v>
      </c>
      <c r="I1097" s="22" t="s">
        <v>5569</v>
      </c>
      <c r="J1097" s="22" t="s">
        <v>52</v>
      </c>
      <c r="K1097" s="22">
        <v>5.18125080504591e+18</v>
      </c>
      <c r="L1097" s="22" t="s">
        <v>5603</v>
      </c>
      <c r="M1097" s="25"/>
    </row>
    <row r="1098" customHeight="1" spans="1:13">
      <c r="A1098" s="21">
        <v>45931</v>
      </c>
      <c r="B1098" s="22" t="s">
        <v>5501</v>
      </c>
      <c r="C1098" s="23">
        <v>45957</v>
      </c>
      <c r="D1098" s="24">
        <v>30</v>
      </c>
      <c r="E1098" s="22" t="s">
        <v>149</v>
      </c>
      <c r="F1098" s="22" t="s">
        <v>7</v>
      </c>
      <c r="G1098" s="22" t="s">
        <v>3776</v>
      </c>
      <c r="H1098" s="22" t="s">
        <v>12</v>
      </c>
      <c r="I1098" s="22" t="s">
        <v>5569</v>
      </c>
      <c r="J1098" s="22" t="s">
        <v>40</v>
      </c>
      <c r="K1098" s="22">
        <v>5.18125090304722e+18</v>
      </c>
      <c r="L1098" s="22" t="s">
        <v>5599</v>
      </c>
      <c r="M1098" s="25"/>
    </row>
    <row r="1099" customHeight="1" spans="1:13">
      <c r="A1099" s="21">
        <v>45931</v>
      </c>
      <c r="B1099" s="22" t="s">
        <v>5501</v>
      </c>
      <c r="C1099" s="23">
        <v>45959</v>
      </c>
      <c r="D1099" s="24">
        <v>200000</v>
      </c>
      <c r="E1099" s="22" t="s">
        <v>149</v>
      </c>
      <c r="F1099" s="22" t="s">
        <v>7</v>
      </c>
      <c r="G1099" s="22" t="s">
        <v>3777</v>
      </c>
      <c r="H1099" s="22" t="s">
        <v>11</v>
      </c>
      <c r="I1099" s="22" t="s">
        <v>5569</v>
      </c>
      <c r="J1099" s="22" t="s">
        <v>40</v>
      </c>
      <c r="K1099" s="22">
        <v>5.18125082104655e+18</v>
      </c>
      <c r="L1099" s="22" t="s">
        <v>5604</v>
      </c>
      <c r="M1099" s="25"/>
    </row>
    <row r="1100" customHeight="1" spans="1:13">
      <c r="A1100" s="21">
        <v>45931</v>
      </c>
      <c r="B1100" s="22" t="s">
        <v>5501</v>
      </c>
      <c r="C1100" s="23">
        <v>45957</v>
      </c>
      <c r="D1100" s="22" t="s">
        <v>2232</v>
      </c>
      <c r="E1100" s="22" t="s">
        <v>2232</v>
      </c>
      <c r="F1100" s="22" t="s">
        <v>7</v>
      </c>
      <c r="G1100" s="22" t="s">
        <v>3780</v>
      </c>
      <c r="H1100" s="22" t="s">
        <v>12</v>
      </c>
      <c r="I1100" s="22" t="s">
        <v>5569</v>
      </c>
      <c r="J1100" s="22" t="s">
        <v>40</v>
      </c>
      <c r="K1100" s="22">
        <v>5.18125090304722e+18</v>
      </c>
      <c r="L1100" s="22" t="s">
        <v>5599</v>
      </c>
      <c r="M1100" s="25"/>
    </row>
    <row r="1101" customHeight="1" spans="1:13">
      <c r="A1101" s="21">
        <v>45931</v>
      </c>
      <c r="B1101" s="22" t="s">
        <v>5501</v>
      </c>
      <c r="C1101" s="23">
        <v>45958</v>
      </c>
      <c r="D1101" s="22" t="s">
        <v>2232</v>
      </c>
      <c r="E1101" s="22" t="s">
        <v>2232</v>
      </c>
      <c r="F1101" s="22" t="s">
        <v>7</v>
      </c>
      <c r="G1101" s="22" t="s">
        <v>3781</v>
      </c>
      <c r="H1101" s="22" t="s">
        <v>11</v>
      </c>
      <c r="I1101" s="22" t="s">
        <v>5569</v>
      </c>
      <c r="J1101" s="22" t="s">
        <v>40</v>
      </c>
      <c r="K1101" s="22">
        <v>5.18124110803495e+18</v>
      </c>
      <c r="L1101" s="22" t="s">
        <v>5605</v>
      </c>
      <c r="M1101" s="25"/>
    </row>
    <row r="1102" customHeight="1" spans="1:13">
      <c r="A1102" s="21">
        <v>45931</v>
      </c>
      <c r="B1102" s="22" t="s">
        <v>5501</v>
      </c>
      <c r="C1102" s="23">
        <v>45961</v>
      </c>
      <c r="D1102" s="22" t="s">
        <v>2232</v>
      </c>
      <c r="E1102" s="22" t="s">
        <v>2232</v>
      </c>
      <c r="F1102" s="22" t="s">
        <v>7</v>
      </c>
      <c r="G1102" s="22" t="s">
        <v>3784</v>
      </c>
      <c r="H1102" s="22" t="s">
        <v>10</v>
      </c>
      <c r="I1102" s="22" t="s">
        <v>5569</v>
      </c>
      <c r="J1102" s="22" t="s">
        <v>42</v>
      </c>
      <c r="K1102" s="22">
        <v>5.18125031003874e+18</v>
      </c>
      <c r="L1102" s="22" t="s">
        <v>5606</v>
      </c>
      <c r="M1102" s="25"/>
    </row>
    <row r="1103" customHeight="1" spans="1:13">
      <c r="A1103" s="21">
        <v>45962</v>
      </c>
      <c r="B1103" s="22" t="s">
        <v>5502</v>
      </c>
      <c r="C1103" s="23">
        <v>45964</v>
      </c>
      <c r="D1103" s="22" t="s">
        <v>2232</v>
      </c>
      <c r="E1103" s="22" t="s">
        <v>2232</v>
      </c>
      <c r="F1103" s="22" t="s">
        <v>7</v>
      </c>
      <c r="G1103" s="22" t="s">
        <v>3788</v>
      </c>
      <c r="H1103" s="22" t="s">
        <v>11</v>
      </c>
      <c r="I1103" s="22" t="s">
        <v>5569</v>
      </c>
      <c r="J1103" s="22" t="s">
        <v>40</v>
      </c>
      <c r="K1103" s="22">
        <v>5.18125032603948e+18</v>
      </c>
      <c r="L1103" s="22" t="s">
        <v>1259</v>
      </c>
      <c r="M1103" s="25"/>
    </row>
    <row r="1104" customHeight="1" spans="1:13">
      <c r="A1104" s="21">
        <v>45962</v>
      </c>
      <c r="B1104" s="22" t="s">
        <v>5502</v>
      </c>
      <c r="C1104" s="23">
        <v>45967</v>
      </c>
      <c r="D1104" s="22" t="s">
        <v>2232</v>
      </c>
      <c r="E1104" s="22" t="s">
        <v>2232</v>
      </c>
      <c r="F1104" s="22" t="s">
        <v>7</v>
      </c>
      <c r="G1104" s="22" t="s">
        <v>3791</v>
      </c>
      <c r="H1104" s="22" t="s">
        <v>12</v>
      </c>
      <c r="I1104" s="22" t="s">
        <v>5569</v>
      </c>
      <c r="J1104" s="22" t="s">
        <v>40</v>
      </c>
      <c r="K1104" s="22">
        <v>5.18125090304722e+18</v>
      </c>
      <c r="L1104" s="22" t="s">
        <v>5599</v>
      </c>
      <c r="M1104" s="25"/>
    </row>
    <row r="1105" customHeight="1" spans="1:13">
      <c r="A1105" s="21">
        <v>45962</v>
      </c>
      <c r="B1105" s="22" t="s">
        <v>5502</v>
      </c>
      <c r="C1105" s="23">
        <v>45971</v>
      </c>
      <c r="D1105" s="24">
        <v>17370</v>
      </c>
      <c r="E1105" s="22" t="s">
        <v>149</v>
      </c>
      <c r="F1105" s="22" t="s">
        <v>7</v>
      </c>
      <c r="G1105" s="22" t="s">
        <v>5607</v>
      </c>
      <c r="H1105" s="22" t="s">
        <v>11</v>
      </c>
      <c r="I1105" s="22" t="s">
        <v>5569</v>
      </c>
      <c r="J1105" s="22" t="s">
        <v>40</v>
      </c>
      <c r="K1105" s="22">
        <v>5.18125081904645e+18</v>
      </c>
      <c r="L1105" s="22" t="s">
        <v>5608</v>
      </c>
      <c r="M1105" s="25"/>
    </row>
    <row r="1106" customHeight="1" spans="1:13">
      <c r="A1106" s="21">
        <v>45962</v>
      </c>
      <c r="B1106" s="22" t="s">
        <v>5502</v>
      </c>
      <c r="C1106" s="23">
        <v>45971</v>
      </c>
      <c r="D1106" s="22" t="s">
        <v>2232</v>
      </c>
      <c r="E1106" s="24">
        <v>0</v>
      </c>
      <c r="F1106" s="22" t="s">
        <v>7</v>
      </c>
      <c r="G1106" s="22" t="s">
        <v>3795</v>
      </c>
      <c r="H1106" s="22" t="s">
        <v>12</v>
      </c>
      <c r="I1106" s="22" t="s">
        <v>5569</v>
      </c>
      <c r="J1106" s="22" t="s">
        <v>40</v>
      </c>
      <c r="K1106" s="22">
        <v>5.18125081904645e+18</v>
      </c>
      <c r="L1106" s="22" t="s">
        <v>5608</v>
      </c>
      <c r="M1106" s="25"/>
    </row>
    <row r="1107" customHeight="1" spans="1:13">
      <c r="A1107" s="21">
        <v>45962</v>
      </c>
      <c r="B1107" s="22" t="s">
        <v>5472</v>
      </c>
      <c r="C1107" s="23">
        <v>45979</v>
      </c>
      <c r="D1107" s="24">
        <v>10000</v>
      </c>
      <c r="E1107" s="22" t="s">
        <v>149</v>
      </c>
      <c r="F1107" s="22" t="s">
        <v>7</v>
      </c>
      <c r="G1107" s="22" t="s">
        <v>3796</v>
      </c>
      <c r="H1107" s="22" t="s">
        <v>11</v>
      </c>
      <c r="I1107" s="22" t="s">
        <v>5569</v>
      </c>
      <c r="J1107" s="22" t="s">
        <v>40</v>
      </c>
      <c r="K1107" s="22">
        <v>5.18125092604889e+18</v>
      </c>
      <c r="L1107" s="22" t="s">
        <v>5609</v>
      </c>
      <c r="M1107" s="25"/>
    </row>
    <row r="1108" customHeight="1" spans="1:13">
      <c r="A1108" s="21">
        <v>45962</v>
      </c>
      <c r="B1108" s="22" t="s">
        <v>5472</v>
      </c>
      <c r="C1108" s="23">
        <v>45979</v>
      </c>
      <c r="D1108" s="22" t="s">
        <v>2232</v>
      </c>
      <c r="E1108" s="22" t="s">
        <v>2232</v>
      </c>
      <c r="F1108" s="22" t="s">
        <v>7</v>
      </c>
      <c r="G1108" s="22" t="s">
        <v>3799</v>
      </c>
      <c r="H1108" s="22" t="s">
        <v>11</v>
      </c>
      <c r="I1108" s="22" t="s">
        <v>5569</v>
      </c>
      <c r="J1108" s="22" t="s">
        <v>40</v>
      </c>
      <c r="K1108" s="22">
        <v>5.18125092604889e+18</v>
      </c>
      <c r="L1108" s="22" t="s">
        <v>5609</v>
      </c>
      <c r="M1108" s="25"/>
    </row>
    <row r="1109" customHeight="1" spans="1:13">
      <c r="A1109" s="21">
        <v>45962</v>
      </c>
      <c r="B1109" s="22" t="s">
        <v>5472</v>
      </c>
      <c r="C1109" s="23">
        <v>45979</v>
      </c>
      <c r="D1109" s="22" t="s">
        <v>2232</v>
      </c>
      <c r="E1109" s="22" t="s">
        <v>2232</v>
      </c>
      <c r="F1109" s="22" t="s">
        <v>7</v>
      </c>
      <c r="G1109" s="22" t="s">
        <v>3800</v>
      </c>
      <c r="H1109" s="22" t="s">
        <v>11</v>
      </c>
      <c r="I1109" s="22" t="s">
        <v>5569</v>
      </c>
      <c r="J1109" s="22" t="s">
        <v>40</v>
      </c>
      <c r="K1109" s="22">
        <v>5.18125092604889e+18</v>
      </c>
      <c r="L1109" s="22" t="s">
        <v>5609</v>
      </c>
      <c r="M1109" s="25"/>
    </row>
    <row r="1110" customHeight="1" spans="1:13">
      <c r="A1110" s="21">
        <v>45962</v>
      </c>
      <c r="B1110" s="22" t="s">
        <v>5472</v>
      </c>
      <c r="C1110" s="23">
        <v>45979</v>
      </c>
      <c r="D1110" s="22" t="s">
        <v>2232</v>
      </c>
      <c r="E1110" s="22" t="s">
        <v>2232</v>
      </c>
      <c r="F1110" s="22" t="s">
        <v>7</v>
      </c>
      <c r="G1110" s="22" t="s">
        <v>3803</v>
      </c>
      <c r="H1110" s="22" t="s">
        <v>11</v>
      </c>
      <c r="I1110" s="22" t="s">
        <v>5569</v>
      </c>
      <c r="J1110" s="22" t="s">
        <v>40</v>
      </c>
      <c r="K1110" s="22">
        <v>5.18125092604889e+18</v>
      </c>
      <c r="L1110" s="22" t="s">
        <v>5609</v>
      </c>
      <c r="M1110" s="25"/>
    </row>
    <row r="1111" customHeight="1" spans="1:13">
      <c r="A1111" s="21">
        <v>45962</v>
      </c>
      <c r="B1111" s="22" t="s">
        <v>5472</v>
      </c>
      <c r="C1111" s="23">
        <v>45979</v>
      </c>
      <c r="D1111" s="22" t="s">
        <v>2232</v>
      </c>
      <c r="E1111" s="22" t="s">
        <v>2232</v>
      </c>
      <c r="F1111" s="22" t="s">
        <v>7</v>
      </c>
      <c r="G1111" s="22" t="s">
        <v>3804</v>
      </c>
      <c r="H1111" s="22" t="s">
        <v>11</v>
      </c>
      <c r="I1111" s="22" t="s">
        <v>5569</v>
      </c>
      <c r="J1111" s="22" t="s">
        <v>3577</v>
      </c>
      <c r="K1111" s="22">
        <v>5.18125092604889e+18</v>
      </c>
      <c r="L1111" s="22" t="s">
        <v>5609</v>
      </c>
      <c r="M1111" s="25"/>
    </row>
    <row r="1112" customHeight="1" spans="1:13">
      <c r="A1112" s="21">
        <v>45962</v>
      </c>
      <c r="B1112" s="22" t="s">
        <v>5472</v>
      </c>
      <c r="C1112" s="23">
        <v>45980</v>
      </c>
      <c r="D1112" s="24">
        <v>45000</v>
      </c>
      <c r="E1112" s="22" t="s">
        <v>149</v>
      </c>
      <c r="F1112" s="22" t="s">
        <v>7</v>
      </c>
      <c r="G1112" s="22" t="s">
        <v>5610</v>
      </c>
      <c r="H1112" s="22" t="s">
        <v>11</v>
      </c>
      <c r="I1112" s="22" t="s">
        <v>5569</v>
      </c>
      <c r="J1112" s="22" t="s">
        <v>40</v>
      </c>
      <c r="K1112" s="22">
        <v>5.18125091504811e+18</v>
      </c>
      <c r="L1112" s="22" t="s">
        <v>5611</v>
      </c>
      <c r="M1112" s="25"/>
    </row>
    <row r="1113" customHeight="1" spans="1:13">
      <c r="A1113" s="21">
        <v>45962</v>
      </c>
      <c r="B1113" s="22" t="s">
        <v>5472</v>
      </c>
      <c r="C1113" s="23">
        <v>45981</v>
      </c>
      <c r="D1113" s="22" t="s">
        <v>2232</v>
      </c>
      <c r="E1113" s="22" t="s">
        <v>2232</v>
      </c>
      <c r="F1113" s="22" t="s">
        <v>7</v>
      </c>
      <c r="G1113" s="22" t="s">
        <v>3808</v>
      </c>
      <c r="H1113" s="22" t="s">
        <v>11</v>
      </c>
      <c r="I1113" s="22" t="s">
        <v>5569</v>
      </c>
      <c r="J1113" s="22" t="s">
        <v>40</v>
      </c>
      <c r="K1113" s="22">
        <v>5.18125040103976e+18</v>
      </c>
      <c r="L1113" s="22" t="s">
        <v>5612</v>
      </c>
      <c r="M1113" s="25"/>
    </row>
    <row r="1114" customHeight="1" spans="1:13">
      <c r="A1114" s="21">
        <v>45962</v>
      </c>
      <c r="B1114" s="22" t="s">
        <v>5472</v>
      </c>
      <c r="C1114" s="23">
        <v>45982</v>
      </c>
      <c r="D1114" s="24">
        <v>11000</v>
      </c>
      <c r="E1114" s="22" t="s">
        <v>149</v>
      </c>
      <c r="F1114" s="22" t="s">
        <v>7</v>
      </c>
      <c r="G1114" s="22" t="s">
        <v>3811</v>
      </c>
      <c r="H1114" s="22" t="s">
        <v>11</v>
      </c>
      <c r="I1114" s="22" t="s">
        <v>5569</v>
      </c>
      <c r="J1114" s="22" t="s">
        <v>3577</v>
      </c>
      <c r="K1114" s="22">
        <v>5.18125092604889e+18</v>
      </c>
      <c r="L1114" s="22" t="s">
        <v>5609</v>
      </c>
      <c r="M1114" s="25"/>
    </row>
    <row r="1115" customHeight="1" spans="1:13">
      <c r="A1115" s="21">
        <v>45962</v>
      </c>
      <c r="B1115" s="22" t="s">
        <v>5472</v>
      </c>
      <c r="C1115" s="23">
        <v>45985</v>
      </c>
      <c r="D1115" s="27">
        <v>48230.83</v>
      </c>
      <c r="E1115" s="22" t="s">
        <v>149</v>
      </c>
      <c r="F1115" s="22" t="s">
        <v>7</v>
      </c>
      <c r="G1115" s="22" t="s">
        <v>3812</v>
      </c>
      <c r="H1115" s="22" t="s">
        <v>11</v>
      </c>
      <c r="I1115" s="22" t="s">
        <v>5569</v>
      </c>
      <c r="J1115" s="22" t="s">
        <v>40</v>
      </c>
      <c r="K1115" s="22">
        <v>5.18125100304913e+18</v>
      </c>
      <c r="L1115" s="22" t="s">
        <v>5613</v>
      </c>
      <c r="M1115" s="25"/>
    </row>
    <row r="1116" customHeight="1" spans="1:13">
      <c r="A1116" s="21">
        <v>45962</v>
      </c>
      <c r="B1116" s="22" t="s">
        <v>5472</v>
      </c>
      <c r="C1116" s="23">
        <v>45985</v>
      </c>
      <c r="D1116" s="22" t="s">
        <v>2232</v>
      </c>
      <c r="E1116" s="22" t="s">
        <v>2232</v>
      </c>
      <c r="F1116" s="22" t="s">
        <v>7</v>
      </c>
      <c r="G1116" s="22" t="s">
        <v>3815</v>
      </c>
      <c r="H1116" s="22" t="s">
        <v>11</v>
      </c>
      <c r="I1116" s="22" t="s">
        <v>5569</v>
      </c>
      <c r="J1116" s="22" t="s">
        <v>40</v>
      </c>
      <c r="K1116" s="22">
        <v>5.18125100304913e+18</v>
      </c>
      <c r="L1116" s="22" t="s">
        <v>5613</v>
      </c>
      <c r="M1116" s="25"/>
    </row>
    <row r="1117" customHeight="1" spans="1:13">
      <c r="A1117" s="21">
        <v>45992</v>
      </c>
      <c r="B1117" s="22" t="s">
        <v>5474</v>
      </c>
      <c r="C1117" s="23">
        <v>45994</v>
      </c>
      <c r="D1117" s="22" t="s">
        <v>2232</v>
      </c>
      <c r="E1117" s="22" t="s">
        <v>2232</v>
      </c>
      <c r="F1117" s="22" t="s">
        <v>7</v>
      </c>
      <c r="G1117" s="22" t="s">
        <v>3820</v>
      </c>
      <c r="H1117" s="22" t="s">
        <v>11</v>
      </c>
      <c r="I1117" s="22" t="s">
        <v>5569</v>
      </c>
      <c r="J1117" s="22" t="s">
        <v>40</v>
      </c>
      <c r="K1117" s="22">
        <v>5.18125072404521e+18</v>
      </c>
      <c r="L1117" s="22" t="s">
        <v>1532</v>
      </c>
      <c r="M1117" s="25"/>
    </row>
    <row r="1118" customHeight="1" spans="1:13">
      <c r="A1118" s="21">
        <v>45992</v>
      </c>
      <c r="B1118" s="22" t="s">
        <v>5474</v>
      </c>
      <c r="C1118" s="23">
        <v>46003</v>
      </c>
      <c r="D1118" s="22" t="s">
        <v>2232</v>
      </c>
      <c r="E1118" s="22" t="s">
        <v>2232</v>
      </c>
      <c r="F1118" s="22" t="s">
        <v>7</v>
      </c>
      <c r="G1118" s="22" t="s">
        <v>3823</v>
      </c>
      <c r="H1118" s="22" t="s">
        <v>11</v>
      </c>
      <c r="I1118" s="22" t="s">
        <v>5569</v>
      </c>
      <c r="J1118" s="22" t="s">
        <v>40</v>
      </c>
      <c r="K1118" s="22">
        <v>5.1812508180464e+18</v>
      </c>
      <c r="L1118" s="22" t="s">
        <v>5614</v>
      </c>
      <c r="M1118" s="25"/>
    </row>
    <row r="1119" customHeight="1" spans="1:13">
      <c r="A1119" s="21">
        <v>45992</v>
      </c>
      <c r="B1119" s="22" t="s">
        <v>5474</v>
      </c>
      <c r="C1119" s="23">
        <v>46003</v>
      </c>
      <c r="D1119" s="24">
        <v>5300</v>
      </c>
      <c r="E1119" s="22" t="s">
        <v>149</v>
      </c>
      <c r="F1119" s="22" t="s">
        <v>7</v>
      </c>
      <c r="G1119" s="22" t="s">
        <v>3826</v>
      </c>
      <c r="H1119" s="22" t="s">
        <v>11</v>
      </c>
      <c r="I1119" s="22" t="s">
        <v>5569</v>
      </c>
      <c r="J1119" s="22" t="s">
        <v>40</v>
      </c>
      <c r="K1119" s="22">
        <v>5.1812508180464e+18</v>
      </c>
      <c r="L1119" s="22" t="s">
        <v>5614</v>
      </c>
      <c r="M1119" s="25"/>
    </row>
    <row r="1120" customHeight="1" spans="1:13">
      <c r="A1120" s="21">
        <v>45992</v>
      </c>
      <c r="B1120" s="22" t="s">
        <v>5475</v>
      </c>
      <c r="C1120" s="23">
        <v>46007</v>
      </c>
      <c r="D1120" s="22" t="s">
        <v>2232</v>
      </c>
      <c r="E1120" s="22" t="s">
        <v>2232</v>
      </c>
      <c r="F1120" s="22" t="s">
        <v>7</v>
      </c>
      <c r="G1120" s="22" t="s">
        <v>3829</v>
      </c>
      <c r="H1120" s="22" t="s">
        <v>11</v>
      </c>
      <c r="I1120" s="22" t="s">
        <v>5569</v>
      </c>
      <c r="J1120" s="22" t="s">
        <v>3577</v>
      </c>
      <c r="K1120" s="22">
        <v>5.18125091504811e+18</v>
      </c>
      <c r="L1120" s="22" t="s">
        <v>5611</v>
      </c>
      <c r="M1120" s="25"/>
    </row>
    <row r="1121" customHeight="1" spans="1:13">
      <c r="A1121" s="21">
        <v>45992</v>
      </c>
      <c r="B1121" s="22" t="s">
        <v>5475</v>
      </c>
      <c r="C1121" s="23">
        <v>46008</v>
      </c>
      <c r="D1121" s="22" t="s">
        <v>2232</v>
      </c>
      <c r="E1121" s="22" t="s">
        <v>2232</v>
      </c>
      <c r="F1121" s="22" t="s">
        <v>7</v>
      </c>
      <c r="G1121" s="22" t="s">
        <v>3830</v>
      </c>
      <c r="H1121" s="22" t="s">
        <v>11</v>
      </c>
      <c r="I1121" s="22" t="s">
        <v>5569</v>
      </c>
      <c r="J1121" s="22" t="s">
        <v>40</v>
      </c>
      <c r="K1121" s="22">
        <v>5.18125092604887e+18</v>
      </c>
      <c r="L1121" s="22" t="s">
        <v>5615</v>
      </c>
      <c r="M1121" s="25"/>
    </row>
    <row r="1122" customHeight="1" spans="1:13">
      <c r="A1122" s="21">
        <v>45992</v>
      </c>
      <c r="B1122" s="22" t="s">
        <v>5475</v>
      </c>
      <c r="C1122" s="23">
        <v>46008</v>
      </c>
      <c r="D1122" s="22" t="s">
        <v>2232</v>
      </c>
      <c r="E1122" s="22" t="s">
        <v>2232</v>
      </c>
      <c r="F1122" s="22" t="s">
        <v>7</v>
      </c>
      <c r="G1122" s="22" t="s">
        <v>3833</v>
      </c>
      <c r="H1122" s="22" t="s">
        <v>11</v>
      </c>
      <c r="I1122" s="22" t="s">
        <v>5569</v>
      </c>
      <c r="J1122" s="22" t="s">
        <v>40</v>
      </c>
      <c r="K1122" s="22">
        <v>5.18125092604887e+18</v>
      </c>
      <c r="L1122" s="22" t="s">
        <v>5615</v>
      </c>
      <c r="M1122" s="25"/>
    </row>
    <row r="1123" customHeight="1" spans="1:13">
      <c r="A1123" s="21">
        <v>45992</v>
      </c>
      <c r="B1123" s="22" t="s">
        <v>5475</v>
      </c>
      <c r="C1123" s="23">
        <v>46010</v>
      </c>
      <c r="D1123" s="22" t="s">
        <v>2232</v>
      </c>
      <c r="E1123" s="22" t="s">
        <v>2232</v>
      </c>
      <c r="F1123" s="22" t="s">
        <v>7</v>
      </c>
      <c r="G1123" s="22" t="s">
        <v>5616</v>
      </c>
      <c r="H1123" s="22" t="s">
        <v>11</v>
      </c>
      <c r="I1123" s="22" t="s">
        <v>5569</v>
      </c>
      <c r="J1123" s="22" t="s">
        <v>40</v>
      </c>
      <c r="K1123" s="22" t="s">
        <v>770</v>
      </c>
      <c r="L1123" s="22" t="e">
        <v>#VALUE!</v>
      </c>
      <c r="M1123" s="25"/>
    </row>
    <row r="1124" customHeight="1" spans="1:13">
      <c r="A1124" s="21">
        <v>45992</v>
      </c>
      <c r="B1124" s="22" t="s">
        <v>5475</v>
      </c>
      <c r="C1124" s="23">
        <v>46013</v>
      </c>
      <c r="D1124" s="22" t="s">
        <v>2232</v>
      </c>
      <c r="E1124" s="22" t="s">
        <v>2232</v>
      </c>
      <c r="F1124" s="22" t="s">
        <v>7</v>
      </c>
      <c r="G1124" s="22" t="s">
        <v>3835</v>
      </c>
      <c r="H1124" s="22" t="s">
        <v>12</v>
      </c>
      <c r="I1124" s="22" t="s">
        <v>5569</v>
      </c>
      <c r="J1124" s="22" t="s">
        <v>40</v>
      </c>
      <c r="K1124" s="22">
        <v>5.18125090304722e+18</v>
      </c>
      <c r="L1124" s="22" t="s">
        <v>5599</v>
      </c>
      <c r="M1124" s="25"/>
    </row>
    <row r="1125" customHeight="1" spans="1:13">
      <c r="A1125" s="21">
        <v>45992</v>
      </c>
      <c r="B1125" s="22" t="s">
        <v>5475</v>
      </c>
      <c r="C1125" s="23">
        <v>46014</v>
      </c>
      <c r="D1125" s="24">
        <v>128600</v>
      </c>
      <c r="E1125" s="22" t="s">
        <v>149</v>
      </c>
      <c r="F1125" s="22" t="s">
        <v>7</v>
      </c>
      <c r="G1125" s="22" t="s">
        <v>5617</v>
      </c>
      <c r="H1125" s="22" t="s">
        <v>11</v>
      </c>
      <c r="I1125" s="22" t="s">
        <v>5569</v>
      </c>
      <c r="J1125" s="22" t="s">
        <v>40</v>
      </c>
      <c r="K1125" s="22">
        <v>5.18125091204795e+18</v>
      </c>
      <c r="L1125" s="22" t="s">
        <v>4732</v>
      </c>
      <c r="M1125" s="25"/>
    </row>
    <row r="1126" customHeight="1" spans="1:13">
      <c r="A1126" s="21">
        <v>46023</v>
      </c>
      <c r="B1126" s="22" t="s">
        <v>5476</v>
      </c>
      <c r="C1126" s="23">
        <v>46027</v>
      </c>
      <c r="D1126" s="22" t="s">
        <v>2232</v>
      </c>
      <c r="E1126" s="22" t="s">
        <v>2232</v>
      </c>
      <c r="F1126" s="22" t="s">
        <v>7</v>
      </c>
      <c r="G1126" s="22" t="s">
        <v>3837</v>
      </c>
      <c r="H1126" s="22" t="s">
        <v>11</v>
      </c>
      <c r="I1126" s="22" t="s">
        <v>5569</v>
      </c>
      <c r="J1126" s="22" t="s">
        <v>40</v>
      </c>
      <c r="K1126" s="22">
        <v>5.18125060304243e+18</v>
      </c>
      <c r="L1126" s="22" t="s">
        <v>492</v>
      </c>
      <c r="M1126" s="25"/>
    </row>
    <row r="1127" customHeight="1" spans="1:13">
      <c r="A1127" s="21">
        <v>46023</v>
      </c>
      <c r="B1127" s="22" t="s">
        <v>5476</v>
      </c>
      <c r="C1127" s="23">
        <v>46029</v>
      </c>
      <c r="D1127" s="22" t="s">
        <v>2232</v>
      </c>
      <c r="E1127" s="22" t="s">
        <v>2232</v>
      </c>
      <c r="F1127" s="22" t="s">
        <v>7</v>
      </c>
      <c r="G1127" s="22" t="s">
        <v>3840</v>
      </c>
      <c r="H1127" s="22" t="s">
        <v>11</v>
      </c>
      <c r="I1127" s="22" t="s">
        <v>5569</v>
      </c>
      <c r="J1127" s="22" t="s">
        <v>40</v>
      </c>
      <c r="K1127" s="22">
        <v>5.1812507230452e+18</v>
      </c>
      <c r="L1127" s="22" t="s">
        <v>3057</v>
      </c>
      <c r="M1127" s="25"/>
    </row>
    <row r="1128" customHeight="1" spans="1:13">
      <c r="A1128" s="21">
        <v>46023</v>
      </c>
      <c r="B1128" s="22" t="s">
        <v>5476</v>
      </c>
      <c r="C1128" s="23">
        <v>46030</v>
      </c>
      <c r="D1128" s="24">
        <v>23100</v>
      </c>
      <c r="E1128" s="22" t="s">
        <v>149</v>
      </c>
      <c r="F1128" s="22" t="s">
        <v>7</v>
      </c>
      <c r="G1128" s="22" t="s">
        <v>5618</v>
      </c>
      <c r="H1128" s="22" t="s">
        <v>11</v>
      </c>
      <c r="I1128" s="22" t="s">
        <v>5569</v>
      </c>
      <c r="J1128" s="22" t="s">
        <v>40</v>
      </c>
      <c r="K1128" s="22">
        <v>5.18125100804923e+18</v>
      </c>
      <c r="L1128" s="22" t="s">
        <v>5619</v>
      </c>
      <c r="M1128" s="25"/>
    </row>
    <row r="1129" customHeight="1" spans="1:13">
      <c r="A1129" s="21">
        <v>46023</v>
      </c>
      <c r="B1129" s="22" t="s">
        <v>5476</v>
      </c>
      <c r="C1129" s="23">
        <v>46031</v>
      </c>
      <c r="D1129" s="22" t="s">
        <v>2232</v>
      </c>
      <c r="E1129" s="22" t="s">
        <v>2232</v>
      </c>
      <c r="F1129" s="22" t="s">
        <v>7</v>
      </c>
      <c r="G1129" s="22" t="s">
        <v>3843</v>
      </c>
      <c r="H1129" s="22" t="s">
        <v>11</v>
      </c>
      <c r="I1129" s="22" t="s">
        <v>5569</v>
      </c>
      <c r="J1129" s="22" t="s">
        <v>40</v>
      </c>
      <c r="K1129" s="22">
        <v>5.18125090404726e+18</v>
      </c>
      <c r="L1129" s="22" t="s">
        <v>5620</v>
      </c>
      <c r="M1129" s="25"/>
    </row>
    <row r="1130" customHeight="1" spans="1:13">
      <c r="A1130" s="21">
        <v>46023</v>
      </c>
      <c r="B1130" s="22" t="s">
        <v>5476</v>
      </c>
      <c r="C1130" s="23">
        <v>46036</v>
      </c>
      <c r="D1130" s="24">
        <v>4995</v>
      </c>
      <c r="E1130" s="22" t="s">
        <v>149</v>
      </c>
      <c r="F1130" s="22" t="s">
        <v>7</v>
      </c>
      <c r="G1130" s="22" t="s">
        <v>3846</v>
      </c>
      <c r="H1130" s="22" t="s">
        <v>11</v>
      </c>
      <c r="I1130" s="22" t="s">
        <v>5569</v>
      </c>
      <c r="J1130" s="22" t="s">
        <v>40</v>
      </c>
      <c r="K1130" s="22">
        <v>5.1812510100494e+18</v>
      </c>
      <c r="L1130" s="22" t="s">
        <v>5621</v>
      </c>
      <c r="M1130" s="25"/>
    </row>
    <row r="1131" customHeight="1" spans="1:13">
      <c r="A1131" s="21">
        <v>46023</v>
      </c>
      <c r="B1131" s="22" t="s">
        <v>5476</v>
      </c>
      <c r="C1131" s="23">
        <v>46036</v>
      </c>
      <c r="D1131" s="22" t="s">
        <v>2232</v>
      </c>
      <c r="E1131" s="22" t="s">
        <v>2232</v>
      </c>
      <c r="F1131" s="22" t="s">
        <v>7</v>
      </c>
      <c r="G1131" s="22" t="s">
        <v>3849</v>
      </c>
      <c r="H1131" s="22" t="s">
        <v>11</v>
      </c>
      <c r="I1131" s="22" t="s">
        <v>5569</v>
      </c>
      <c r="J1131" s="22" t="s">
        <v>40</v>
      </c>
      <c r="K1131" s="22">
        <v>5.1812510100494e+18</v>
      </c>
      <c r="L1131" s="22" t="s">
        <v>5621</v>
      </c>
      <c r="M1131" s="25"/>
    </row>
    <row r="1132" customHeight="1" spans="1:13">
      <c r="A1132" s="21">
        <v>46023</v>
      </c>
      <c r="B1132" s="22" t="s">
        <v>5477</v>
      </c>
      <c r="C1132" s="23">
        <v>46042</v>
      </c>
      <c r="D1132" s="22" t="s">
        <v>2232</v>
      </c>
      <c r="E1132" s="22" t="s">
        <v>2232</v>
      </c>
      <c r="F1132" s="22" t="s">
        <v>7</v>
      </c>
      <c r="G1132" s="22" t="s">
        <v>3850</v>
      </c>
      <c r="H1132" s="22" t="s">
        <v>10</v>
      </c>
      <c r="I1132" s="22" t="s">
        <v>5569</v>
      </c>
      <c r="J1132" s="22" t="s">
        <v>42</v>
      </c>
      <c r="K1132" s="22">
        <v>5.18125040903999e+18</v>
      </c>
      <c r="L1132" s="22" t="s">
        <v>5622</v>
      </c>
      <c r="M1132" s="25"/>
    </row>
    <row r="1133" customHeight="1" spans="1:13">
      <c r="A1133" s="21">
        <v>46023</v>
      </c>
      <c r="B1133" s="22" t="s">
        <v>5477</v>
      </c>
      <c r="C1133" s="23">
        <v>46042</v>
      </c>
      <c r="D1133" s="24">
        <v>30</v>
      </c>
      <c r="E1133" s="22" t="s">
        <v>139</v>
      </c>
      <c r="F1133" s="22" t="s">
        <v>7</v>
      </c>
      <c r="G1133" s="22" t="s">
        <v>3854</v>
      </c>
      <c r="H1133" s="22" t="s">
        <v>12</v>
      </c>
      <c r="I1133" s="22" t="s">
        <v>5569</v>
      </c>
      <c r="J1133" s="22" t="s">
        <v>40</v>
      </c>
      <c r="K1133" s="22">
        <v>5.18125040903999e+18</v>
      </c>
      <c r="L1133" s="22" t="s">
        <v>5622</v>
      </c>
      <c r="M1133" s="25"/>
    </row>
    <row r="1134" customHeight="1" spans="1:13">
      <c r="A1134" s="21">
        <v>46023</v>
      </c>
      <c r="B1134" s="22" t="s">
        <v>5477</v>
      </c>
      <c r="C1134" s="23">
        <v>46043</v>
      </c>
      <c r="D1134" s="24">
        <v>1000</v>
      </c>
      <c r="E1134" s="22" t="s">
        <v>149</v>
      </c>
      <c r="F1134" s="22" t="s">
        <v>7</v>
      </c>
      <c r="G1134" s="22" t="s">
        <v>3855</v>
      </c>
      <c r="H1134" s="22" t="s">
        <v>11</v>
      </c>
      <c r="I1134" s="22" t="s">
        <v>5569</v>
      </c>
      <c r="J1134" s="22" t="s">
        <v>40</v>
      </c>
      <c r="K1134" s="22">
        <v>5.18125082104656e+18</v>
      </c>
      <c r="L1134" s="22" t="s">
        <v>4837</v>
      </c>
      <c r="M1134" s="25"/>
    </row>
    <row r="1135" customHeight="1" spans="1:13">
      <c r="A1135" s="21">
        <v>46023</v>
      </c>
      <c r="B1135" s="22" t="s">
        <v>5477</v>
      </c>
      <c r="C1135" s="23">
        <v>46044</v>
      </c>
      <c r="D1135" s="22" t="s">
        <v>2232</v>
      </c>
      <c r="E1135" s="22" t="s">
        <v>2232</v>
      </c>
      <c r="F1135" s="22" t="s">
        <v>7</v>
      </c>
      <c r="G1135" s="22" t="s">
        <v>3858</v>
      </c>
      <c r="H1135" s="22" t="s">
        <v>11</v>
      </c>
      <c r="I1135" s="22" t="s">
        <v>5569</v>
      </c>
      <c r="J1135" s="22" t="s">
        <v>3577</v>
      </c>
      <c r="K1135" s="22">
        <v>5.18125090804763e+18</v>
      </c>
      <c r="L1135" s="22" t="s">
        <v>1830</v>
      </c>
      <c r="M1135" s="25"/>
    </row>
    <row r="1136" customHeight="1" spans="1:13">
      <c r="A1136" s="21">
        <v>46023</v>
      </c>
      <c r="B1136" s="22" t="s">
        <v>5477</v>
      </c>
      <c r="C1136" s="23">
        <v>46045</v>
      </c>
      <c r="D1136" s="22" t="s">
        <v>2232</v>
      </c>
      <c r="E1136" s="22" t="s">
        <v>2232</v>
      </c>
      <c r="F1136" s="22" t="s">
        <v>7</v>
      </c>
      <c r="G1136" s="22" t="s">
        <v>3861</v>
      </c>
      <c r="H1136" s="22" t="s">
        <v>10</v>
      </c>
      <c r="I1136" s="22" t="s">
        <v>5569</v>
      </c>
      <c r="J1136" s="22" t="s">
        <v>3577</v>
      </c>
      <c r="K1136" s="22">
        <v>5.18124092402863e+18</v>
      </c>
      <c r="L1136" s="22" t="s">
        <v>3098</v>
      </c>
      <c r="M1136" s="25"/>
    </row>
    <row r="1137" customHeight="1" spans="1:13">
      <c r="A1137" s="21">
        <v>46023</v>
      </c>
      <c r="B1137" s="22" t="s">
        <v>5477</v>
      </c>
      <c r="C1137" s="23">
        <v>46045</v>
      </c>
      <c r="D1137" s="24">
        <v>5300</v>
      </c>
      <c r="E1137" s="22" t="s">
        <v>149</v>
      </c>
      <c r="F1137" s="22" t="s">
        <v>7</v>
      </c>
      <c r="G1137" s="22" t="s">
        <v>3865</v>
      </c>
      <c r="H1137" s="22" t="s">
        <v>11</v>
      </c>
      <c r="I1137" s="22" t="s">
        <v>5569</v>
      </c>
      <c r="J1137" s="22" t="s">
        <v>3577</v>
      </c>
      <c r="K1137" s="22">
        <v>5.18124092402863e+18</v>
      </c>
      <c r="L1137" s="22" t="s">
        <v>3098</v>
      </c>
      <c r="M1137" s="25"/>
    </row>
    <row r="1138" customHeight="1" spans="1:13">
      <c r="A1138" s="21">
        <v>46023</v>
      </c>
      <c r="B1138" s="22" t="s">
        <v>5477</v>
      </c>
      <c r="C1138" s="23">
        <v>46048</v>
      </c>
      <c r="D1138" s="22" t="s">
        <v>2232</v>
      </c>
      <c r="E1138" s="22" t="s">
        <v>2232</v>
      </c>
      <c r="F1138" s="22" t="s">
        <v>7</v>
      </c>
      <c r="G1138" s="22" t="s">
        <v>3866</v>
      </c>
      <c r="H1138" s="22" t="s">
        <v>10</v>
      </c>
      <c r="I1138" s="22" t="s">
        <v>5569</v>
      </c>
      <c r="J1138" s="22" t="s">
        <v>42</v>
      </c>
      <c r="K1138" s="22">
        <v>5.18122021500082e+18</v>
      </c>
      <c r="L1138" s="22" t="s">
        <v>5623</v>
      </c>
      <c r="M1138" s="25"/>
    </row>
    <row r="1139" customHeight="1" spans="1:13">
      <c r="A1139" s="21">
        <v>46023</v>
      </c>
      <c r="B1139" s="22" t="s">
        <v>5477</v>
      </c>
      <c r="C1139" s="23">
        <v>46048</v>
      </c>
      <c r="D1139" s="22" t="s">
        <v>2232</v>
      </c>
      <c r="E1139" s="22" t="s">
        <v>2232</v>
      </c>
      <c r="F1139" s="22" t="s">
        <v>7</v>
      </c>
      <c r="G1139" s="22" t="s">
        <v>3872</v>
      </c>
      <c r="H1139" s="22" t="s">
        <v>11</v>
      </c>
      <c r="I1139" s="22" t="s">
        <v>5569</v>
      </c>
      <c r="J1139" s="22" t="s">
        <v>40</v>
      </c>
      <c r="K1139" s="22">
        <v>5.18122021500082e+18</v>
      </c>
      <c r="L1139" s="22" t="s">
        <v>5623</v>
      </c>
      <c r="M1139" s="25"/>
    </row>
    <row r="1140" customHeight="1" spans="1:13">
      <c r="A1140" s="21">
        <v>46023</v>
      </c>
      <c r="B1140" s="22" t="s">
        <v>5477</v>
      </c>
      <c r="C1140" s="23">
        <v>46049</v>
      </c>
      <c r="D1140" s="24">
        <v>16000</v>
      </c>
      <c r="E1140" s="22" t="s">
        <v>139</v>
      </c>
      <c r="F1140" s="22" t="s">
        <v>7</v>
      </c>
      <c r="G1140" s="22" t="s">
        <v>3877</v>
      </c>
      <c r="H1140" s="22" t="s">
        <v>11</v>
      </c>
      <c r="I1140" s="22" t="s">
        <v>5569</v>
      </c>
      <c r="J1140" s="22" t="s">
        <v>40</v>
      </c>
      <c r="K1140" s="22">
        <v>5.18125082004652e+18</v>
      </c>
      <c r="L1140" s="22" t="s">
        <v>5624</v>
      </c>
      <c r="M1140" s="25"/>
    </row>
    <row r="1141" customHeight="1" spans="1:13">
      <c r="A1141" s="21">
        <v>46023</v>
      </c>
      <c r="B1141" s="22" t="s">
        <v>5477</v>
      </c>
      <c r="C1141" s="23">
        <v>46049</v>
      </c>
      <c r="D1141" s="22" t="s">
        <v>2232</v>
      </c>
      <c r="E1141" s="22" t="s">
        <v>2232</v>
      </c>
      <c r="F1141" s="22" t="s">
        <v>7</v>
      </c>
      <c r="G1141" s="22" t="s">
        <v>3880</v>
      </c>
      <c r="H1141" s="22" t="s">
        <v>11</v>
      </c>
      <c r="I1141" s="22" t="s">
        <v>5569</v>
      </c>
      <c r="J1141" s="22" t="s">
        <v>40</v>
      </c>
      <c r="K1141" s="22">
        <v>5.18125082004652e+18</v>
      </c>
      <c r="L1141" s="22" t="s">
        <v>5624</v>
      </c>
      <c r="M1141" s="25"/>
    </row>
    <row r="1142" customHeight="1" spans="1:13">
      <c r="A1142" s="21">
        <v>46023</v>
      </c>
      <c r="B1142" s="22" t="s">
        <v>5477</v>
      </c>
      <c r="C1142" s="23">
        <v>46049</v>
      </c>
      <c r="D1142" s="22" t="s">
        <v>2232</v>
      </c>
      <c r="E1142" s="22" t="s">
        <v>2232</v>
      </c>
      <c r="F1142" s="22" t="s">
        <v>7</v>
      </c>
      <c r="G1142" s="22" t="s">
        <v>3883</v>
      </c>
      <c r="H1142" s="22" t="s">
        <v>11</v>
      </c>
      <c r="I1142" s="22" t="s">
        <v>5569</v>
      </c>
      <c r="J1142" s="22" t="s">
        <v>40</v>
      </c>
      <c r="K1142" s="22">
        <v>5.18125082004652e+18</v>
      </c>
      <c r="L1142" s="22" t="s">
        <v>5624</v>
      </c>
      <c r="M1142" s="25"/>
    </row>
    <row r="1143" customHeight="1" spans="1:13">
      <c r="A1143" s="21">
        <v>46023</v>
      </c>
      <c r="B1143" s="22" t="s">
        <v>5477</v>
      </c>
      <c r="C1143" s="23">
        <v>46050</v>
      </c>
      <c r="D1143" s="22" t="s">
        <v>2232</v>
      </c>
      <c r="E1143" s="22" t="s">
        <v>2232</v>
      </c>
      <c r="F1143" s="22" t="s">
        <v>7</v>
      </c>
      <c r="G1143" s="22" t="s">
        <v>3886</v>
      </c>
      <c r="H1143" s="22" t="s">
        <v>11</v>
      </c>
      <c r="I1143" s="22" t="s">
        <v>5569</v>
      </c>
      <c r="J1143" s="22" t="s">
        <v>40</v>
      </c>
      <c r="K1143" s="22">
        <v>5.18125080404585e+18</v>
      </c>
      <c r="L1143" s="22" t="s">
        <v>684</v>
      </c>
      <c r="M1143" s="25"/>
    </row>
    <row r="1144" customHeight="1" spans="1:13">
      <c r="A1144" s="21">
        <v>46023</v>
      </c>
      <c r="B1144" s="22" t="s">
        <v>5477</v>
      </c>
      <c r="C1144" s="23">
        <v>46052</v>
      </c>
      <c r="D1144" s="24">
        <v>0</v>
      </c>
      <c r="E1144" s="24">
        <v>0</v>
      </c>
      <c r="F1144" s="22" t="s">
        <v>7</v>
      </c>
      <c r="G1144" s="22" t="s">
        <v>3889</v>
      </c>
      <c r="H1144" s="22" t="s">
        <v>11</v>
      </c>
      <c r="I1144" s="22" t="s">
        <v>5569</v>
      </c>
      <c r="J1144" s="22" t="s">
        <v>3577</v>
      </c>
      <c r="K1144" s="22">
        <v>5.18125080404585e+18</v>
      </c>
      <c r="L1144" s="22" t="s">
        <v>684</v>
      </c>
      <c r="M1144" s="25"/>
    </row>
    <row r="1145" customHeight="1" spans="1:13">
      <c r="A1145" s="21">
        <v>46054</v>
      </c>
      <c r="B1145" s="22" t="s">
        <v>5478</v>
      </c>
      <c r="C1145" s="23">
        <v>46057</v>
      </c>
      <c r="D1145" s="24">
        <v>19999</v>
      </c>
      <c r="E1145" s="22" t="s">
        <v>149</v>
      </c>
      <c r="F1145" s="22" t="s">
        <v>7</v>
      </c>
      <c r="G1145" s="22" t="s">
        <v>5625</v>
      </c>
      <c r="H1145" s="22" t="s">
        <v>10</v>
      </c>
      <c r="I1145" s="22" t="s">
        <v>5569</v>
      </c>
      <c r="J1145" s="22" t="s">
        <v>40</v>
      </c>
      <c r="K1145" s="22">
        <v>5.18125111405163e+18</v>
      </c>
      <c r="L1145" s="22" t="s">
        <v>3122</v>
      </c>
      <c r="M1145" s="25"/>
    </row>
    <row r="1146" customHeight="1" spans="1:13">
      <c r="A1146" s="21">
        <v>46054</v>
      </c>
      <c r="B1146" s="22" t="s">
        <v>5478</v>
      </c>
      <c r="C1146" s="23">
        <v>46056</v>
      </c>
      <c r="D1146" s="22" t="s">
        <v>2232</v>
      </c>
      <c r="E1146" s="22" t="s">
        <v>2232</v>
      </c>
      <c r="F1146" s="22" t="s">
        <v>7</v>
      </c>
      <c r="G1146" s="22" t="s">
        <v>3895</v>
      </c>
      <c r="H1146" s="22" t="s">
        <v>10</v>
      </c>
      <c r="I1146" s="22" t="s">
        <v>5569</v>
      </c>
      <c r="J1146" s="22" t="s">
        <v>40</v>
      </c>
      <c r="K1146" s="22">
        <v>5.18122111400281e+18</v>
      </c>
      <c r="L1146" s="22" t="s">
        <v>5626</v>
      </c>
      <c r="M1146" s="25"/>
    </row>
    <row r="1147" customHeight="1" spans="1:13">
      <c r="A1147" s="21">
        <v>46054</v>
      </c>
      <c r="B1147" s="22" t="s">
        <v>5478</v>
      </c>
      <c r="C1147" s="23">
        <v>46058</v>
      </c>
      <c r="D1147" s="24">
        <v>13900</v>
      </c>
      <c r="E1147" s="22" t="s">
        <v>149</v>
      </c>
      <c r="F1147" s="22" t="s">
        <v>7</v>
      </c>
      <c r="G1147" s="22" t="s">
        <v>3898</v>
      </c>
      <c r="H1147" s="22" t="s">
        <v>11</v>
      </c>
      <c r="I1147" s="22" t="s">
        <v>5569</v>
      </c>
      <c r="J1147" s="22" t="s">
        <v>3577</v>
      </c>
      <c r="K1147" s="22">
        <v>5.18125082004652e+18</v>
      </c>
      <c r="L1147" s="22" t="s">
        <v>5624</v>
      </c>
      <c r="M1147" s="25"/>
    </row>
    <row r="1148" customHeight="1" spans="1:13">
      <c r="A1148" s="21">
        <v>46054</v>
      </c>
      <c r="B1148" s="22" t="s">
        <v>5478</v>
      </c>
      <c r="C1148" s="23">
        <v>46059</v>
      </c>
      <c r="D1148" s="22" t="s">
        <v>2232</v>
      </c>
      <c r="E1148" s="22" t="s">
        <v>2232</v>
      </c>
      <c r="F1148" s="22" t="s">
        <v>7</v>
      </c>
      <c r="G1148" s="22" t="s">
        <v>5627</v>
      </c>
      <c r="H1148" s="22" t="s">
        <v>11</v>
      </c>
      <c r="I1148" s="22" t="s">
        <v>5569</v>
      </c>
      <c r="J1148" s="22" t="s">
        <v>40</v>
      </c>
      <c r="K1148" s="22">
        <v>5.18125080404585e+18</v>
      </c>
      <c r="L1148" s="22" t="s">
        <v>5628</v>
      </c>
      <c r="M1148" s="25"/>
    </row>
    <row r="1149" customHeight="1" spans="1:13">
      <c r="A1149" s="21">
        <v>46054</v>
      </c>
      <c r="B1149" s="22" t="s">
        <v>5478</v>
      </c>
      <c r="C1149" s="23">
        <v>46064</v>
      </c>
      <c r="D1149" s="24">
        <v>26900</v>
      </c>
      <c r="E1149" s="22" t="s">
        <v>149</v>
      </c>
      <c r="F1149" s="22" t="s">
        <v>7</v>
      </c>
      <c r="G1149" s="22" t="s">
        <v>5629</v>
      </c>
      <c r="H1149" s="22" t="s">
        <v>11</v>
      </c>
      <c r="I1149" s="22" t="s">
        <v>5569</v>
      </c>
      <c r="J1149" s="22" t="s">
        <v>40</v>
      </c>
      <c r="K1149" s="22">
        <v>5.18125052104176e+18</v>
      </c>
      <c r="L1149" s="22" t="s">
        <v>5630</v>
      </c>
      <c r="M1149" s="25"/>
    </row>
    <row r="1150" customHeight="1" spans="1:13">
      <c r="A1150" s="21">
        <v>46054</v>
      </c>
      <c r="B1150" s="22" t="s">
        <v>5478</v>
      </c>
      <c r="C1150" s="23">
        <v>46064</v>
      </c>
      <c r="D1150" s="24">
        <v>26790</v>
      </c>
      <c r="E1150" s="22" t="s">
        <v>149</v>
      </c>
      <c r="F1150" s="22" t="s">
        <v>7</v>
      </c>
      <c r="G1150" s="22" t="s">
        <v>3907</v>
      </c>
      <c r="H1150" s="22" t="s">
        <v>11</v>
      </c>
      <c r="I1150" s="22" t="s">
        <v>5569</v>
      </c>
      <c r="J1150" s="22" t="s">
        <v>40</v>
      </c>
      <c r="K1150" s="22">
        <v>5.18125052104176e+18</v>
      </c>
      <c r="L1150" s="22" t="s">
        <v>5630</v>
      </c>
      <c r="M1150" s="25"/>
    </row>
    <row r="1151" customHeight="1" spans="1:13">
      <c r="A1151" s="21">
        <v>46054</v>
      </c>
      <c r="B1151" s="22" t="s">
        <v>5478</v>
      </c>
      <c r="C1151" s="23">
        <v>46065</v>
      </c>
      <c r="D1151" s="24">
        <v>49970</v>
      </c>
      <c r="E1151" s="22" t="s">
        <v>149</v>
      </c>
      <c r="F1151" s="22" t="s">
        <v>7</v>
      </c>
      <c r="G1151" s="22" t="s">
        <v>3908</v>
      </c>
      <c r="H1151" s="22" t="s">
        <v>10</v>
      </c>
      <c r="I1151" s="22" t="s">
        <v>5569</v>
      </c>
      <c r="J1151" s="22" t="s">
        <v>40</v>
      </c>
      <c r="K1151" s="22">
        <v>5.18125111405163e+18</v>
      </c>
      <c r="L1151" s="22" t="s">
        <v>3122</v>
      </c>
      <c r="M1151" s="25"/>
    </row>
    <row r="1152" customHeight="1" spans="1:13">
      <c r="A1152" s="21">
        <v>46054</v>
      </c>
      <c r="B1152" s="22" t="s">
        <v>5478</v>
      </c>
      <c r="C1152" s="23">
        <v>46065</v>
      </c>
      <c r="D1152" s="24">
        <v>270000</v>
      </c>
      <c r="E1152" s="22" t="s">
        <v>149</v>
      </c>
      <c r="F1152" s="22" t="s">
        <v>7</v>
      </c>
      <c r="G1152" s="22" t="s">
        <v>3909</v>
      </c>
      <c r="H1152" s="22" t="s">
        <v>11</v>
      </c>
      <c r="I1152" s="22" t="s">
        <v>5569</v>
      </c>
      <c r="J1152" s="22" t="s">
        <v>40</v>
      </c>
      <c r="K1152" s="22">
        <v>5.18125111405163e+18</v>
      </c>
      <c r="L1152" s="22" t="s">
        <v>3122</v>
      </c>
      <c r="M1152" s="25"/>
    </row>
    <row r="1153" customHeight="1" spans="1:13">
      <c r="A1153" s="21">
        <v>46054</v>
      </c>
      <c r="B1153" s="22" t="s">
        <v>5478</v>
      </c>
      <c r="C1153" s="23">
        <v>46065</v>
      </c>
      <c r="D1153" s="22" t="s">
        <v>2232</v>
      </c>
      <c r="E1153" s="22" t="s">
        <v>2232</v>
      </c>
      <c r="F1153" s="22" t="s">
        <v>7</v>
      </c>
      <c r="G1153" s="22" t="s">
        <v>3912</v>
      </c>
      <c r="H1153" s="22" t="s">
        <v>11</v>
      </c>
      <c r="I1153" s="22" t="s">
        <v>5569</v>
      </c>
      <c r="J1153" s="22" t="s">
        <v>3577</v>
      </c>
      <c r="K1153" s="22">
        <v>5.18125111405163e+18</v>
      </c>
      <c r="L1153" s="22" t="s">
        <v>3122</v>
      </c>
      <c r="M1153" s="25"/>
    </row>
    <row r="1154" customHeight="1" spans="1:13">
      <c r="A1154" s="21">
        <v>46054</v>
      </c>
      <c r="B1154" s="22" t="s">
        <v>5479</v>
      </c>
      <c r="C1154" s="23">
        <v>46071</v>
      </c>
      <c r="D1154" s="24">
        <v>69000</v>
      </c>
      <c r="E1154" s="22" t="s">
        <v>149</v>
      </c>
      <c r="F1154" s="22" t="s">
        <v>7</v>
      </c>
      <c r="G1154" s="22" t="s">
        <v>3913</v>
      </c>
      <c r="H1154" s="22" t="s">
        <v>11</v>
      </c>
      <c r="I1154" s="22" t="s">
        <v>5569</v>
      </c>
      <c r="J1154" s="22" t="s">
        <v>40</v>
      </c>
      <c r="K1154" s="22">
        <v>5.18125080404585e+18</v>
      </c>
      <c r="L1154" s="22" t="s">
        <v>5628</v>
      </c>
      <c r="M1154" s="25"/>
    </row>
    <row r="1155" customHeight="1" spans="1:13">
      <c r="A1155" s="21">
        <v>46054</v>
      </c>
      <c r="B1155" s="22" t="s">
        <v>5479</v>
      </c>
      <c r="C1155" s="23">
        <v>46071</v>
      </c>
      <c r="D1155" s="22" t="s">
        <v>2232</v>
      </c>
      <c r="E1155" s="22" t="s">
        <v>2232</v>
      </c>
      <c r="F1155" s="22" t="s">
        <v>7</v>
      </c>
      <c r="G1155" s="22" t="s">
        <v>3914</v>
      </c>
      <c r="H1155" s="22" t="s">
        <v>11</v>
      </c>
      <c r="I1155" s="22" t="s">
        <v>5569</v>
      </c>
      <c r="J1155" s="22" t="s">
        <v>40</v>
      </c>
      <c r="K1155" s="22">
        <v>5.18125080404585e+18</v>
      </c>
      <c r="L1155" s="22" t="s">
        <v>5628</v>
      </c>
      <c r="M1155" s="25"/>
    </row>
    <row r="1156" customHeight="1" spans="1:13">
      <c r="A1156" s="21">
        <v>46054</v>
      </c>
      <c r="B1156" s="22" t="s">
        <v>5479</v>
      </c>
      <c r="C1156" s="23">
        <v>46073</v>
      </c>
      <c r="D1156" s="22" t="s">
        <v>2232</v>
      </c>
      <c r="E1156" s="22" t="s">
        <v>2232</v>
      </c>
      <c r="F1156" s="22" t="s">
        <v>7</v>
      </c>
      <c r="G1156" s="22" t="s">
        <v>3917</v>
      </c>
      <c r="H1156" s="22" t="s">
        <v>10</v>
      </c>
      <c r="I1156" s="22" t="s">
        <v>5569</v>
      </c>
      <c r="J1156" s="22" t="s">
        <v>42</v>
      </c>
      <c r="K1156" s="22">
        <v>5.18124121103645e+18</v>
      </c>
      <c r="L1156" s="22" t="s">
        <v>5631</v>
      </c>
      <c r="M1156" s="25"/>
    </row>
    <row r="1157" customHeight="1" spans="1:13">
      <c r="A1157" s="21">
        <v>46054</v>
      </c>
      <c r="B1157" s="22" t="s">
        <v>5479</v>
      </c>
      <c r="C1157" s="23">
        <v>46070</v>
      </c>
      <c r="D1157" s="22" t="s">
        <v>2232</v>
      </c>
      <c r="E1157" s="22" t="s">
        <v>2232</v>
      </c>
      <c r="F1157" s="22" t="s">
        <v>7</v>
      </c>
      <c r="G1157" s="22" t="s">
        <v>3921</v>
      </c>
      <c r="H1157" s="22" t="s">
        <v>11</v>
      </c>
      <c r="I1157" s="22" t="s">
        <v>5569</v>
      </c>
      <c r="J1157" s="22" t="s">
        <v>3577</v>
      </c>
      <c r="K1157" s="22">
        <v>5.18125082104656e+18</v>
      </c>
      <c r="L1157" s="22" t="s">
        <v>4837</v>
      </c>
      <c r="M1157" s="25"/>
    </row>
    <row r="1158" customHeight="1" spans="1:13">
      <c r="A1158" s="21">
        <v>46054</v>
      </c>
      <c r="B1158" s="22" t="s">
        <v>5479</v>
      </c>
      <c r="C1158" s="23">
        <v>46071</v>
      </c>
      <c r="D1158" s="24">
        <v>69000</v>
      </c>
      <c r="E1158" s="22" t="s">
        <v>149</v>
      </c>
      <c r="F1158" s="22" t="s">
        <v>7</v>
      </c>
      <c r="G1158" s="22" t="s">
        <v>3922</v>
      </c>
      <c r="H1158" s="22" t="s">
        <v>11</v>
      </c>
      <c r="I1158" s="22" t="s">
        <v>5569</v>
      </c>
      <c r="J1158" s="22" t="s">
        <v>3577</v>
      </c>
      <c r="K1158" s="22">
        <v>5.18125080404585e+18</v>
      </c>
      <c r="L1158" s="22" t="s">
        <v>5628</v>
      </c>
      <c r="M1158" s="25"/>
    </row>
    <row r="1159" customHeight="1" spans="1:13">
      <c r="A1159" s="21">
        <v>46054</v>
      </c>
      <c r="B1159" s="22" t="s">
        <v>5479</v>
      </c>
      <c r="C1159" s="23">
        <v>46069</v>
      </c>
      <c r="D1159" s="24">
        <v>24000</v>
      </c>
      <c r="E1159" s="22" t="s">
        <v>149</v>
      </c>
      <c r="F1159" s="22" t="s">
        <v>7</v>
      </c>
      <c r="G1159" s="22" t="s">
        <v>3889</v>
      </c>
      <c r="H1159" s="22" t="s">
        <v>11</v>
      </c>
      <c r="I1159" s="22" t="s">
        <v>5569</v>
      </c>
      <c r="J1159" s="22" t="s">
        <v>3577</v>
      </c>
      <c r="K1159" s="22">
        <v>5.18125073104568e+18</v>
      </c>
      <c r="L1159" s="22" t="s">
        <v>5632</v>
      </c>
      <c r="M1159" s="25"/>
    </row>
    <row r="1160" customHeight="1" spans="1:13">
      <c r="A1160" s="21">
        <v>46054</v>
      </c>
      <c r="B1160" s="22" t="s">
        <v>5479</v>
      </c>
      <c r="C1160" s="23">
        <v>46078</v>
      </c>
      <c r="D1160" s="22" t="s">
        <v>2232</v>
      </c>
      <c r="E1160" s="22" t="s">
        <v>2232</v>
      </c>
      <c r="F1160" s="22" t="s">
        <v>7</v>
      </c>
      <c r="G1160" s="22" t="s">
        <v>3923</v>
      </c>
      <c r="H1160" s="22" t="s">
        <v>11</v>
      </c>
      <c r="I1160" s="22" t="s">
        <v>5569</v>
      </c>
      <c r="J1160" s="22" t="s">
        <v>40</v>
      </c>
      <c r="K1160" s="22">
        <v>5.18125061204321e+18</v>
      </c>
      <c r="L1160" s="22" t="s">
        <v>5633</v>
      </c>
      <c r="M1160" s="25"/>
    </row>
    <row r="1161" customHeight="1" spans="1:13">
      <c r="A1161" s="21">
        <v>46054</v>
      </c>
      <c r="B1161" s="22" t="s">
        <v>5479</v>
      </c>
      <c r="C1161" s="23">
        <v>46079</v>
      </c>
      <c r="D1161" s="22" t="s">
        <v>2232</v>
      </c>
      <c r="E1161" s="22" t="s">
        <v>2232</v>
      </c>
      <c r="F1161" s="22" t="s">
        <v>7</v>
      </c>
      <c r="G1161" s="22" t="s">
        <v>3924</v>
      </c>
      <c r="H1161" s="22" t="s">
        <v>11</v>
      </c>
      <c r="I1161" s="22" t="s">
        <v>5569</v>
      </c>
      <c r="J1161" s="22" t="s">
        <v>40</v>
      </c>
      <c r="K1161" s="22">
        <v>5.1812505140415e+18</v>
      </c>
      <c r="L1161" s="22" t="s">
        <v>5590</v>
      </c>
      <c r="M1161" s="25"/>
    </row>
    <row r="1162" customHeight="1" spans="1:13">
      <c r="A1162" s="21">
        <v>46054</v>
      </c>
      <c r="B1162" s="22" t="s">
        <v>5479</v>
      </c>
      <c r="C1162" s="23">
        <v>46079</v>
      </c>
      <c r="D1162" s="27">
        <v>131515.26</v>
      </c>
      <c r="E1162" s="22" t="s">
        <v>149</v>
      </c>
      <c r="F1162" s="22" t="s">
        <v>7</v>
      </c>
      <c r="G1162" s="22" t="s">
        <v>3927</v>
      </c>
      <c r="H1162" s="22" t="s">
        <v>11</v>
      </c>
      <c r="I1162" s="22" t="s">
        <v>5569</v>
      </c>
      <c r="J1162" s="22" t="s">
        <v>40</v>
      </c>
      <c r="K1162" s="22">
        <v>5.1812505140415e+18</v>
      </c>
      <c r="L1162" s="22" t="s">
        <v>5590</v>
      </c>
      <c r="M1162" s="25"/>
    </row>
    <row r="1163" customHeight="1" spans="1:13">
      <c r="A1163" s="21">
        <v>46054</v>
      </c>
      <c r="B1163" s="22" t="s">
        <v>5479</v>
      </c>
      <c r="C1163" s="23">
        <v>46079</v>
      </c>
      <c r="D1163" s="27">
        <v>131515.26</v>
      </c>
      <c r="E1163" s="22" t="s">
        <v>149</v>
      </c>
      <c r="F1163" s="22" t="s">
        <v>7</v>
      </c>
      <c r="G1163" s="22" t="s">
        <v>3932</v>
      </c>
      <c r="H1163" s="22" t="s">
        <v>11</v>
      </c>
      <c r="I1163" s="22" t="s">
        <v>5569</v>
      </c>
      <c r="J1163" s="22" t="s">
        <v>40</v>
      </c>
      <c r="K1163" s="22">
        <v>5.1812505140415e+18</v>
      </c>
      <c r="L1163" s="22" t="s">
        <v>5590</v>
      </c>
      <c r="M1163" s="25"/>
    </row>
    <row r="1164" customHeight="1" spans="1:13">
      <c r="A1164" s="21">
        <v>46054</v>
      </c>
      <c r="B1164" s="22" t="s">
        <v>5479</v>
      </c>
      <c r="C1164" s="23">
        <v>46080</v>
      </c>
      <c r="D1164" s="22" t="s">
        <v>2232</v>
      </c>
      <c r="E1164" s="22" t="s">
        <v>2232</v>
      </c>
      <c r="F1164" s="22" t="s">
        <v>7</v>
      </c>
      <c r="G1164" s="22" t="s">
        <v>3933</v>
      </c>
      <c r="H1164" s="22" t="s">
        <v>11</v>
      </c>
      <c r="I1164" s="22" t="s">
        <v>5569</v>
      </c>
      <c r="J1164" s="22" t="s">
        <v>3577</v>
      </c>
      <c r="K1164" s="22">
        <v>5.18125060304242e+18</v>
      </c>
      <c r="L1164" s="22" t="s">
        <v>5634</v>
      </c>
      <c r="M1164" s="25"/>
    </row>
    <row r="1165" customHeight="1" spans="1:13">
      <c r="A1165" s="21">
        <v>46082</v>
      </c>
      <c r="B1165" s="22" t="s">
        <v>5480</v>
      </c>
      <c r="C1165" s="23">
        <v>46085</v>
      </c>
      <c r="D1165" s="22" t="s">
        <v>2232</v>
      </c>
      <c r="E1165" s="22" t="s">
        <v>2232</v>
      </c>
      <c r="F1165" s="22" t="s">
        <v>7</v>
      </c>
      <c r="G1165" s="22" t="s">
        <v>5635</v>
      </c>
      <c r="H1165" s="22" t="s">
        <v>11</v>
      </c>
      <c r="I1165" s="22" t="s">
        <v>5569</v>
      </c>
      <c r="J1165" s="22" t="s">
        <v>40</v>
      </c>
      <c r="K1165" s="22">
        <v>5.18125092604887e+18</v>
      </c>
      <c r="L1165" s="22" t="s">
        <v>5615</v>
      </c>
      <c r="M1165" s="25"/>
    </row>
    <row r="1166" customHeight="1" spans="1:13">
      <c r="A1166" s="21">
        <v>46082</v>
      </c>
      <c r="B1166" s="22" t="s">
        <v>5480</v>
      </c>
      <c r="C1166" s="23">
        <v>46086</v>
      </c>
      <c r="D1166" s="24">
        <v>285000</v>
      </c>
      <c r="E1166" s="22" t="s">
        <v>149</v>
      </c>
      <c r="F1166" s="22" t="s">
        <v>7</v>
      </c>
      <c r="G1166" s="22" t="s">
        <v>3937</v>
      </c>
      <c r="H1166" s="22" t="s">
        <v>11</v>
      </c>
      <c r="I1166" s="22" t="s">
        <v>5569</v>
      </c>
      <c r="J1166" s="22" t="s">
        <v>40</v>
      </c>
      <c r="K1166" s="22">
        <v>5.18125062304395e+18</v>
      </c>
      <c r="L1166" s="22" t="s">
        <v>5636</v>
      </c>
      <c r="M1166" s="25"/>
    </row>
    <row r="1167" customHeight="1" spans="1:13">
      <c r="A1167" s="21">
        <v>46082</v>
      </c>
      <c r="B1167" s="22" t="s">
        <v>5480</v>
      </c>
      <c r="C1167" s="23">
        <v>46087</v>
      </c>
      <c r="D1167" s="28">
        <v>49970</v>
      </c>
      <c r="E1167" s="22" t="s">
        <v>149</v>
      </c>
      <c r="F1167" s="22" t="s">
        <v>7</v>
      </c>
      <c r="G1167" s="22" t="s">
        <v>3947</v>
      </c>
      <c r="H1167" s="22" t="s">
        <v>10</v>
      </c>
      <c r="I1167" s="22" t="s">
        <v>5569</v>
      </c>
      <c r="J1167" s="22" t="s">
        <v>40</v>
      </c>
      <c r="K1167" s="22">
        <v>5.18125111405163e+18</v>
      </c>
      <c r="L1167" s="22" t="s">
        <v>3122</v>
      </c>
      <c r="M1167" s="25"/>
    </row>
    <row r="1168" customHeight="1" spans="1:13">
      <c r="A1168" s="21">
        <v>46082</v>
      </c>
      <c r="B1168" s="22" t="s">
        <v>5480</v>
      </c>
      <c r="C1168" s="23">
        <v>46091</v>
      </c>
      <c r="D1168" s="27">
        <v>2721.08</v>
      </c>
      <c r="E1168" s="22" t="s">
        <v>149</v>
      </c>
      <c r="F1168" s="22" t="s">
        <v>7</v>
      </c>
      <c r="G1168" s="22" t="s">
        <v>3948</v>
      </c>
      <c r="H1168" s="22" t="s">
        <v>10</v>
      </c>
      <c r="I1168" s="22" t="s">
        <v>5569</v>
      </c>
      <c r="J1168" s="22" t="s">
        <v>40</v>
      </c>
      <c r="K1168" s="22">
        <v>5.18124091802734e+18</v>
      </c>
      <c r="L1168" s="22" t="s">
        <v>4381</v>
      </c>
      <c r="M1168" s="25"/>
    </row>
    <row r="1169" customHeight="1" spans="1:13">
      <c r="A1169" s="21">
        <v>46082</v>
      </c>
      <c r="B1169" s="22" t="s">
        <v>5480</v>
      </c>
      <c r="C1169" s="23">
        <v>46093</v>
      </c>
      <c r="D1169" s="22" t="s">
        <v>2232</v>
      </c>
      <c r="E1169" s="22" t="s">
        <v>2232</v>
      </c>
      <c r="F1169" s="22" t="s">
        <v>7</v>
      </c>
      <c r="G1169" s="22" t="s">
        <v>3950</v>
      </c>
      <c r="H1169" s="22" t="s">
        <v>10</v>
      </c>
      <c r="I1169" s="22" t="s">
        <v>5569</v>
      </c>
      <c r="J1169" s="22" t="s">
        <v>42</v>
      </c>
      <c r="K1169" s="22">
        <v>5.18125102205011e+18</v>
      </c>
      <c r="L1169" s="22" t="s">
        <v>5637</v>
      </c>
      <c r="M1169" s="25"/>
    </row>
    <row r="1170" customHeight="1" spans="1:13">
      <c r="A1170" s="21">
        <v>46082</v>
      </c>
      <c r="B1170" s="22" t="s">
        <v>5480</v>
      </c>
      <c r="C1170" s="23">
        <v>46093</v>
      </c>
      <c r="D1170" s="22" t="s">
        <v>2232</v>
      </c>
      <c r="E1170" s="22" t="s">
        <v>2232</v>
      </c>
      <c r="F1170" s="22" t="s">
        <v>7</v>
      </c>
      <c r="G1170" s="22" t="s">
        <v>3954</v>
      </c>
      <c r="H1170" s="22" t="s">
        <v>10</v>
      </c>
      <c r="I1170" s="22" t="s">
        <v>5569</v>
      </c>
      <c r="J1170" s="22" t="s">
        <v>42</v>
      </c>
      <c r="K1170" s="22">
        <v>5.18125102205011e+18</v>
      </c>
      <c r="L1170" s="22" t="s">
        <v>5637</v>
      </c>
      <c r="M1170" s="25"/>
    </row>
    <row r="1171" customHeight="1" spans="1:13">
      <c r="A1171" s="21">
        <v>46082</v>
      </c>
      <c r="B1171" s="22" t="s">
        <v>5480</v>
      </c>
      <c r="C1171" s="23">
        <v>46094</v>
      </c>
      <c r="D1171" s="22" t="s">
        <v>2232</v>
      </c>
      <c r="E1171" s="22" t="s">
        <v>2232</v>
      </c>
      <c r="F1171" s="22" t="s">
        <v>7</v>
      </c>
      <c r="G1171" s="22" t="s">
        <v>3958</v>
      </c>
      <c r="H1171" s="22" t="s">
        <v>11</v>
      </c>
      <c r="I1171" s="22" t="s">
        <v>5569</v>
      </c>
      <c r="J1171" s="22" t="s">
        <v>3577</v>
      </c>
      <c r="K1171" s="22">
        <v>5.18124091002597e+18</v>
      </c>
      <c r="L1171" s="22" t="s">
        <v>5638</v>
      </c>
      <c r="M1171" s="25"/>
    </row>
    <row r="1172" customHeight="1" spans="1:13">
      <c r="A1172" s="21">
        <v>46082</v>
      </c>
      <c r="B1172" s="22" t="s">
        <v>5481</v>
      </c>
      <c r="C1172" s="23">
        <v>46098</v>
      </c>
      <c r="D1172" s="24">
        <v>2000</v>
      </c>
      <c r="E1172" s="22" t="s">
        <v>149</v>
      </c>
      <c r="F1172" s="22" t="s">
        <v>7</v>
      </c>
      <c r="G1172" s="22" t="s">
        <v>3961</v>
      </c>
      <c r="H1172" s="22" t="s">
        <v>10</v>
      </c>
      <c r="I1172" s="22" t="s">
        <v>5569</v>
      </c>
      <c r="J1172" s="22" t="s">
        <v>40</v>
      </c>
      <c r="K1172" s="22">
        <v>5.18125111405163e+18</v>
      </c>
      <c r="L1172" s="22" t="s">
        <v>3122</v>
      </c>
      <c r="M1172" s="25"/>
    </row>
    <row r="1173" customHeight="1" spans="1:13">
      <c r="A1173" s="21">
        <v>46082</v>
      </c>
      <c r="B1173" s="22" t="s">
        <v>5481</v>
      </c>
      <c r="C1173" s="23">
        <v>46101</v>
      </c>
      <c r="D1173" s="28">
        <v>2205101</v>
      </c>
      <c r="E1173" s="22" t="s">
        <v>149</v>
      </c>
      <c r="F1173" s="22" t="s">
        <v>7</v>
      </c>
      <c r="G1173" s="22" t="s">
        <v>3963</v>
      </c>
      <c r="H1173" s="22" t="s">
        <v>11</v>
      </c>
      <c r="I1173" s="22" t="s">
        <v>5569</v>
      </c>
      <c r="J1173" s="22" t="s">
        <v>40</v>
      </c>
      <c r="K1173" s="22">
        <v>5.18125052604195e+18</v>
      </c>
      <c r="L1173" s="22" t="s">
        <v>5639</v>
      </c>
      <c r="M1173" s="25"/>
    </row>
    <row r="1174" customHeight="1" spans="1:13">
      <c r="A1174" s="21">
        <v>46082</v>
      </c>
      <c r="B1174" s="22" t="s">
        <v>5481</v>
      </c>
      <c r="C1174" s="23">
        <v>46104</v>
      </c>
      <c r="D1174" s="22" t="s">
        <v>2232</v>
      </c>
      <c r="E1174" s="22" t="s">
        <v>2232</v>
      </c>
      <c r="F1174" s="22" t="s">
        <v>7</v>
      </c>
      <c r="G1174" s="22" t="s">
        <v>5640</v>
      </c>
      <c r="H1174" s="22" t="s">
        <v>11</v>
      </c>
      <c r="I1174" s="22" t="s">
        <v>5569</v>
      </c>
      <c r="J1174" s="22" t="s">
        <v>40</v>
      </c>
      <c r="K1174" s="22">
        <v>5.18125061204321e+18</v>
      </c>
      <c r="L1174" s="22" t="s">
        <v>5633</v>
      </c>
      <c r="M1174" s="25"/>
    </row>
    <row r="1175" customHeight="1" spans="1:13">
      <c r="A1175" s="21">
        <v>46082</v>
      </c>
      <c r="B1175" s="22" t="s">
        <v>5481</v>
      </c>
      <c r="C1175" s="23">
        <v>46104</v>
      </c>
      <c r="D1175" s="22" t="s">
        <v>2232</v>
      </c>
      <c r="E1175" s="22" t="s">
        <v>2232</v>
      </c>
      <c r="F1175" s="22" t="s">
        <v>7</v>
      </c>
      <c r="G1175" s="22" t="s">
        <v>5641</v>
      </c>
      <c r="H1175" s="22" t="s">
        <v>11</v>
      </c>
      <c r="I1175" s="22" t="s">
        <v>5569</v>
      </c>
      <c r="J1175" s="22" t="s">
        <v>40</v>
      </c>
      <c r="K1175" s="22">
        <v>5.18125061204321e+18</v>
      </c>
      <c r="L1175" s="22" t="s">
        <v>5633</v>
      </c>
      <c r="M1175" s="25"/>
    </row>
    <row r="1176" customHeight="1" spans="1:13">
      <c r="A1176" s="21">
        <v>46082</v>
      </c>
      <c r="B1176" s="22" t="s">
        <v>5481</v>
      </c>
      <c r="C1176" s="23">
        <v>46105</v>
      </c>
      <c r="D1176" s="22" t="s">
        <v>2232</v>
      </c>
      <c r="E1176" s="22" t="s">
        <v>2232</v>
      </c>
      <c r="F1176" s="22" t="s">
        <v>7</v>
      </c>
      <c r="G1176" s="22" t="s">
        <v>3969</v>
      </c>
      <c r="H1176" s="22" t="s">
        <v>10</v>
      </c>
      <c r="I1176" s="22" t="s">
        <v>5569</v>
      </c>
      <c r="J1176" s="22" t="s">
        <v>42</v>
      </c>
      <c r="K1176" s="22">
        <v>5.18122021500082e+18</v>
      </c>
      <c r="L1176" s="22" t="s">
        <v>5623</v>
      </c>
      <c r="M1176" s="25"/>
    </row>
    <row r="1177" customHeight="1" spans="1:13">
      <c r="A1177" s="21">
        <v>46082</v>
      </c>
      <c r="B1177" s="22" t="s">
        <v>5481</v>
      </c>
      <c r="C1177" s="23">
        <v>46104</v>
      </c>
      <c r="D1177" s="28">
        <v>75620</v>
      </c>
      <c r="E1177" s="22" t="s">
        <v>149</v>
      </c>
      <c r="F1177" s="22" t="s">
        <v>7</v>
      </c>
      <c r="G1177" s="22" t="s">
        <v>3973</v>
      </c>
      <c r="H1177" s="22" t="s">
        <v>11</v>
      </c>
      <c r="I1177" s="22" t="s">
        <v>5569</v>
      </c>
      <c r="J1177" s="22" t="s">
        <v>40</v>
      </c>
      <c r="K1177" s="22">
        <v>5.18125061204321e+18</v>
      </c>
      <c r="L1177" s="22" t="s">
        <v>5633</v>
      </c>
      <c r="M1177" s="25"/>
    </row>
    <row r="1178" customHeight="1" spans="1:13">
      <c r="A1178" s="21">
        <v>46082</v>
      </c>
      <c r="B1178" s="22" t="s">
        <v>5481</v>
      </c>
      <c r="C1178" s="23">
        <v>46106</v>
      </c>
      <c r="D1178" s="22" t="s">
        <v>2232</v>
      </c>
      <c r="E1178" s="22" t="s">
        <v>2232</v>
      </c>
      <c r="F1178" s="22" t="s">
        <v>7</v>
      </c>
      <c r="G1178" s="22" t="s">
        <v>3975</v>
      </c>
      <c r="H1178" s="22" t="s">
        <v>11</v>
      </c>
      <c r="I1178" s="22" t="s">
        <v>5569</v>
      </c>
      <c r="J1178" s="22" t="s">
        <v>40</v>
      </c>
      <c r="K1178" s="22">
        <v>5.1812508200465e+18</v>
      </c>
      <c r="L1178" s="22" t="s">
        <v>5642</v>
      </c>
      <c r="M1178" s="25"/>
    </row>
    <row r="1179" customHeight="1" spans="1:13">
      <c r="A1179" s="21">
        <v>46082</v>
      </c>
      <c r="B1179" s="22" t="s">
        <v>5481</v>
      </c>
      <c r="C1179" s="23">
        <v>46107</v>
      </c>
      <c r="D1179" s="28">
        <v>9999000</v>
      </c>
      <c r="E1179" s="22" t="s">
        <v>1172</v>
      </c>
      <c r="F1179" s="22" t="s">
        <v>7</v>
      </c>
      <c r="G1179" s="22" t="s">
        <v>3976</v>
      </c>
      <c r="H1179" s="22" t="s">
        <v>10</v>
      </c>
      <c r="I1179" s="22" t="s">
        <v>5569</v>
      </c>
      <c r="J1179" s="22" t="s">
        <v>42</v>
      </c>
      <c r="K1179" s="22">
        <v>5.18124091902764e+18</v>
      </c>
      <c r="L1179" s="22" t="s">
        <v>5643</v>
      </c>
      <c r="M1179" s="25"/>
    </row>
    <row r="1180" customHeight="1" spans="1:13">
      <c r="A1180" s="21">
        <v>46082</v>
      </c>
      <c r="B1180" s="22" t="s">
        <v>5481</v>
      </c>
      <c r="C1180" s="23">
        <v>46107</v>
      </c>
      <c r="D1180" s="22" t="s">
        <v>2232</v>
      </c>
      <c r="E1180" s="22" t="s">
        <v>2232</v>
      </c>
      <c r="F1180" s="22" t="s">
        <v>7</v>
      </c>
      <c r="G1180" s="22" t="s">
        <v>3980</v>
      </c>
      <c r="H1180" s="22" t="s">
        <v>11</v>
      </c>
      <c r="I1180" s="22" t="s">
        <v>5569</v>
      </c>
      <c r="J1180" s="22" t="s">
        <v>40</v>
      </c>
      <c r="K1180" s="22">
        <v>5.18124091902764e+18</v>
      </c>
      <c r="L1180" s="22" t="s">
        <v>5643</v>
      </c>
      <c r="M1180" s="25"/>
    </row>
    <row r="1181" customHeight="1" spans="1:13">
      <c r="A1181" s="21">
        <v>46082</v>
      </c>
      <c r="B1181" s="22" t="s">
        <v>5481</v>
      </c>
      <c r="C1181" s="23">
        <v>46112</v>
      </c>
      <c r="D1181" s="28">
        <v>9999000</v>
      </c>
      <c r="E1181" s="22" t="s">
        <v>1172</v>
      </c>
      <c r="F1181" s="22" t="s">
        <v>7</v>
      </c>
      <c r="G1181" s="22" t="s">
        <v>3983</v>
      </c>
      <c r="H1181" s="22" t="s">
        <v>10</v>
      </c>
      <c r="I1181" s="22" t="s">
        <v>5569</v>
      </c>
      <c r="J1181" s="22" t="s">
        <v>42</v>
      </c>
      <c r="K1181" s="22">
        <v>5.18124061200399e+18</v>
      </c>
      <c r="L1181" s="22" t="s">
        <v>5644</v>
      </c>
      <c r="M1181" s="25"/>
    </row>
    <row r="1182" customHeight="1" spans="1:13">
      <c r="A1182" s="21">
        <v>46082</v>
      </c>
      <c r="B1182" s="22" t="s">
        <v>5481</v>
      </c>
      <c r="C1182" s="23">
        <v>46112</v>
      </c>
      <c r="D1182" s="28">
        <v>79998000</v>
      </c>
      <c r="E1182" s="22" t="s">
        <v>1172</v>
      </c>
      <c r="F1182" s="22" t="s">
        <v>7</v>
      </c>
      <c r="G1182" s="22" t="s">
        <v>3986</v>
      </c>
      <c r="H1182" s="22" t="s">
        <v>10</v>
      </c>
      <c r="I1182" s="22" t="s">
        <v>5569</v>
      </c>
      <c r="J1182" s="22" t="s">
        <v>42</v>
      </c>
      <c r="K1182" s="22">
        <v>5.18124061200399e+18</v>
      </c>
      <c r="L1182" s="22" t="s">
        <v>5644</v>
      </c>
      <c r="M1182" s="25"/>
    </row>
    <row r="1183" customHeight="1" spans="1:13">
      <c r="A1183" s="21">
        <v>46082</v>
      </c>
      <c r="B1183" s="22" t="s">
        <v>5481</v>
      </c>
      <c r="C1183" s="23">
        <v>46106</v>
      </c>
      <c r="D1183" s="22" t="s">
        <v>2232</v>
      </c>
      <c r="E1183" s="22" t="s">
        <v>2232</v>
      </c>
      <c r="F1183" s="22" t="s">
        <v>7</v>
      </c>
      <c r="G1183" s="22" t="s">
        <v>3988</v>
      </c>
      <c r="H1183" s="22" t="s">
        <v>10</v>
      </c>
      <c r="I1183" s="22" t="s">
        <v>5569</v>
      </c>
      <c r="J1183" s="22" t="s">
        <v>42</v>
      </c>
      <c r="K1183" s="22">
        <v>5.1812508200465e+18</v>
      </c>
      <c r="L1183" s="22" t="s">
        <v>5642</v>
      </c>
      <c r="M1183" s="25"/>
    </row>
    <row r="1184" customHeight="1" spans="1:13">
      <c r="A1184" s="21">
        <v>46113</v>
      </c>
      <c r="B1184" s="22" t="s">
        <v>5482</v>
      </c>
      <c r="C1184" s="23">
        <v>46118</v>
      </c>
      <c r="D1184" s="28">
        <v>30000000</v>
      </c>
      <c r="E1184" s="22" t="s">
        <v>1172</v>
      </c>
      <c r="F1184" s="22" t="s">
        <v>7</v>
      </c>
      <c r="G1184" s="22" t="s">
        <v>3990</v>
      </c>
      <c r="H1184" s="22" t="s">
        <v>10</v>
      </c>
      <c r="I1184" s="22" t="s">
        <v>5569</v>
      </c>
      <c r="J1184" s="22" t="s">
        <v>42</v>
      </c>
      <c r="K1184" s="22">
        <v>5.18126010305458e+18</v>
      </c>
      <c r="L1184" s="22" t="s">
        <v>5645</v>
      </c>
      <c r="M1184" s="25"/>
    </row>
    <row r="1185" customHeight="1" spans="1:13">
      <c r="A1185" s="21">
        <v>46113</v>
      </c>
      <c r="B1185" s="22" t="s">
        <v>5482</v>
      </c>
      <c r="C1185" s="23">
        <v>46119</v>
      </c>
      <c r="D1185" s="28">
        <v>197960000</v>
      </c>
      <c r="E1185" s="22" t="s">
        <v>1172</v>
      </c>
      <c r="F1185" s="22" t="s">
        <v>7</v>
      </c>
      <c r="G1185" s="22" t="s">
        <v>3994</v>
      </c>
      <c r="H1185" s="22" t="s">
        <v>10</v>
      </c>
      <c r="I1185" s="22" t="s">
        <v>5569</v>
      </c>
      <c r="J1185" s="22" t="s">
        <v>42</v>
      </c>
      <c r="K1185" s="24">
        <v>0</v>
      </c>
      <c r="L1185" s="26" t="e">
        <v>#N/A</v>
      </c>
      <c r="M1185" s="25"/>
    </row>
    <row r="1186" customHeight="1" spans="1:13">
      <c r="A1186" s="21">
        <v>46113</v>
      </c>
      <c r="B1186" s="22" t="s">
        <v>5482</v>
      </c>
      <c r="C1186" s="23">
        <v>46122</v>
      </c>
      <c r="D1186" s="22" t="s">
        <v>2232</v>
      </c>
      <c r="E1186" s="22" t="s">
        <v>2232</v>
      </c>
      <c r="F1186" s="22" t="s">
        <v>7</v>
      </c>
      <c r="G1186" s="22" t="s">
        <v>3998</v>
      </c>
      <c r="H1186" s="22" t="s">
        <v>10</v>
      </c>
      <c r="I1186" s="22" t="s">
        <v>5569</v>
      </c>
      <c r="J1186" s="22" t="s">
        <v>42</v>
      </c>
      <c r="K1186" s="22">
        <v>5.18126013005592e+18</v>
      </c>
      <c r="L1186" s="22" t="s">
        <v>5646</v>
      </c>
      <c r="M1186" s="25"/>
    </row>
    <row r="1187" customHeight="1" spans="1:13">
      <c r="A1187" s="21">
        <v>46113</v>
      </c>
      <c r="B1187" s="22" t="s">
        <v>5482</v>
      </c>
      <c r="C1187" s="23">
        <v>46125</v>
      </c>
      <c r="D1187" s="22" t="s">
        <v>2232</v>
      </c>
      <c r="E1187" s="22" t="s">
        <v>2232</v>
      </c>
      <c r="F1187" s="22" t="s">
        <v>7</v>
      </c>
      <c r="G1187" s="22" t="s">
        <v>4002</v>
      </c>
      <c r="H1187" s="22" t="s">
        <v>11</v>
      </c>
      <c r="I1187" s="22" t="s">
        <v>5569</v>
      </c>
      <c r="J1187" s="22" t="s">
        <v>40</v>
      </c>
      <c r="K1187" s="22">
        <v>5.18125052604195e+18</v>
      </c>
      <c r="L1187" s="22" t="s">
        <v>5639</v>
      </c>
      <c r="M1187" s="25"/>
    </row>
    <row r="1188" customHeight="1" spans="1:13">
      <c r="A1188" s="21">
        <v>46113</v>
      </c>
      <c r="B1188" s="22" t="s">
        <v>5482</v>
      </c>
      <c r="C1188" s="23">
        <v>46125</v>
      </c>
      <c r="D1188" s="22" t="s">
        <v>2232</v>
      </c>
      <c r="E1188" s="22" t="s">
        <v>2232</v>
      </c>
      <c r="F1188" s="22" t="s">
        <v>7</v>
      </c>
      <c r="G1188" s="22" t="s">
        <v>5647</v>
      </c>
      <c r="H1188" s="22" t="s">
        <v>11</v>
      </c>
      <c r="I1188" s="22" t="s">
        <v>5569</v>
      </c>
      <c r="J1188" s="22" t="s">
        <v>40</v>
      </c>
      <c r="K1188" s="22">
        <v>5.18125052604195e+18</v>
      </c>
      <c r="L1188" s="22" t="s">
        <v>5639</v>
      </c>
      <c r="M1188" s="25"/>
    </row>
    <row r="1189" customHeight="1" spans="1:13">
      <c r="A1189" s="21">
        <v>46113</v>
      </c>
      <c r="B1189" s="22" t="s">
        <v>5482</v>
      </c>
      <c r="C1189" s="23">
        <v>46126</v>
      </c>
      <c r="D1189" s="22" t="s">
        <v>2232</v>
      </c>
      <c r="E1189" s="22" t="s">
        <v>2232</v>
      </c>
      <c r="F1189" s="22" t="s">
        <v>7</v>
      </c>
      <c r="G1189" s="22" t="s">
        <v>4005</v>
      </c>
      <c r="H1189" s="22" t="s">
        <v>11</v>
      </c>
      <c r="I1189" s="22" t="s">
        <v>5569</v>
      </c>
      <c r="J1189" s="22" t="s">
        <v>40</v>
      </c>
      <c r="K1189" s="22">
        <v>5.18125040103976e+18</v>
      </c>
      <c r="L1189" s="22" t="s">
        <v>5612</v>
      </c>
      <c r="M1189" s="25"/>
    </row>
    <row r="1190" customHeight="1" spans="1:13">
      <c r="A1190" s="21">
        <v>46113</v>
      </c>
      <c r="B1190" s="22" t="s">
        <v>5482</v>
      </c>
      <c r="C1190" s="23">
        <v>46126</v>
      </c>
      <c r="D1190" s="27">
        <v>216200</v>
      </c>
      <c r="E1190" s="22" t="s">
        <v>1172</v>
      </c>
      <c r="F1190" s="22" t="s">
        <v>7</v>
      </c>
      <c r="G1190" s="22" t="s">
        <v>4006</v>
      </c>
      <c r="H1190" s="22" t="s">
        <v>10</v>
      </c>
      <c r="I1190" s="22" t="s">
        <v>5569</v>
      </c>
      <c r="J1190" s="22" t="s">
        <v>42</v>
      </c>
      <c r="K1190" s="22">
        <v>5.18125040103976e+18</v>
      </c>
      <c r="L1190" s="22" t="s">
        <v>5612</v>
      </c>
      <c r="M1190" s="25"/>
    </row>
    <row r="1191" customHeight="1" spans="1:13">
      <c r="A1191" s="21">
        <v>46113</v>
      </c>
      <c r="B1191" s="22" t="s">
        <v>5482</v>
      </c>
      <c r="C1191" s="23">
        <v>46126</v>
      </c>
      <c r="D1191" s="24">
        <v>12500</v>
      </c>
      <c r="E1191" s="22" t="s">
        <v>149</v>
      </c>
      <c r="F1191" s="22" t="s">
        <v>7</v>
      </c>
      <c r="G1191" s="22" t="s">
        <v>4011</v>
      </c>
      <c r="H1191" s="22" t="s">
        <v>11</v>
      </c>
      <c r="I1191" s="22" t="s">
        <v>5569</v>
      </c>
      <c r="J1191" s="22" t="s">
        <v>3577</v>
      </c>
      <c r="K1191" s="22">
        <v>5.18125040103976e+18</v>
      </c>
      <c r="L1191" s="22" t="s">
        <v>5612</v>
      </c>
      <c r="M1191" s="25"/>
    </row>
    <row r="1192" customHeight="1" spans="1:13">
      <c r="A1192" s="21">
        <v>46113</v>
      </c>
      <c r="B1192" s="22" t="s">
        <v>5482</v>
      </c>
      <c r="C1192" s="23">
        <v>46126</v>
      </c>
      <c r="D1192" s="22" t="s">
        <v>2232</v>
      </c>
      <c r="E1192" s="22" t="s">
        <v>2232</v>
      </c>
      <c r="F1192" s="22" t="s">
        <v>7</v>
      </c>
      <c r="G1192" s="22" t="s">
        <v>4012</v>
      </c>
      <c r="H1192" s="22" t="s">
        <v>11</v>
      </c>
      <c r="I1192" s="22" t="s">
        <v>5569</v>
      </c>
      <c r="J1192" s="22" t="s">
        <v>3577</v>
      </c>
      <c r="K1192" s="22">
        <v>5.18125040103976e+18</v>
      </c>
      <c r="L1192" s="22" t="s">
        <v>5612</v>
      </c>
      <c r="M1192" s="25"/>
    </row>
    <row r="1193" customHeight="1" spans="1:13">
      <c r="A1193" s="21">
        <v>46113</v>
      </c>
      <c r="B1193" s="22" t="s">
        <v>5482</v>
      </c>
      <c r="C1193" s="23">
        <v>46127</v>
      </c>
      <c r="D1193" s="22" t="s">
        <v>2232</v>
      </c>
      <c r="E1193" s="22" t="s">
        <v>2232</v>
      </c>
      <c r="F1193" s="22" t="s">
        <v>7</v>
      </c>
      <c r="G1193" s="22" t="s">
        <v>4013</v>
      </c>
      <c r="H1193" s="22" t="s">
        <v>10</v>
      </c>
      <c r="I1193" s="22" t="s">
        <v>5569</v>
      </c>
      <c r="J1193" s="22" t="s">
        <v>42</v>
      </c>
      <c r="K1193" s="22">
        <v>5.18122081300226e+18</v>
      </c>
      <c r="L1193" s="22" t="s">
        <v>5648</v>
      </c>
      <c r="M1193" s="25"/>
    </row>
    <row r="1194" customHeight="1" spans="1:13">
      <c r="A1194" s="21">
        <v>46113</v>
      </c>
      <c r="B1194" s="22" t="s">
        <v>5482</v>
      </c>
      <c r="C1194" s="23">
        <v>46126</v>
      </c>
      <c r="D1194" s="22" t="s">
        <v>2232</v>
      </c>
      <c r="E1194" s="22" t="s">
        <v>2232</v>
      </c>
      <c r="F1194" s="22" t="s">
        <v>7</v>
      </c>
      <c r="G1194" s="22" t="s">
        <v>4017</v>
      </c>
      <c r="H1194" s="22" t="s">
        <v>11</v>
      </c>
      <c r="I1194" s="22" t="s">
        <v>5569</v>
      </c>
      <c r="J1194" s="22" t="s">
        <v>40</v>
      </c>
      <c r="K1194" s="22">
        <v>5.18125040103976e+18</v>
      </c>
      <c r="L1194" s="22" t="s">
        <v>5612</v>
      </c>
      <c r="M1194" s="25"/>
    </row>
    <row r="1195" customHeight="1" spans="1:13">
      <c r="A1195" s="21">
        <v>46113</v>
      </c>
      <c r="B1195" s="22" t="s">
        <v>5483</v>
      </c>
      <c r="C1195" s="23">
        <v>46132</v>
      </c>
      <c r="D1195" s="22" t="s">
        <v>2232</v>
      </c>
      <c r="E1195" s="22" t="s">
        <v>2232</v>
      </c>
      <c r="F1195" s="22" t="s">
        <v>7</v>
      </c>
      <c r="G1195" s="22" t="s">
        <v>4020</v>
      </c>
      <c r="H1195" s="22" t="s">
        <v>11</v>
      </c>
      <c r="I1195" s="22" t="s">
        <v>5569</v>
      </c>
      <c r="J1195" s="22" t="s">
        <v>3577</v>
      </c>
      <c r="K1195" s="22">
        <v>5.18125040103976e+18</v>
      </c>
      <c r="L1195" s="22" t="s">
        <v>5612</v>
      </c>
      <c r="M1195" s="25"/>
    </row>
    <row r="1196" customHeight="1" spans="1:13">
      <c r="A1196" s="21">
        <v>46113</v>
      </c>
      <c r="B1196" s="22" t="s">
        <v>5483</v>
      </c>
      <c r="C1196" s="23">
        <v>46129</v>
      </c>
      <c r="D1196" s="22" t="s">
        <v>2232</v>
      </c>
      <c r="E1196" s="22" t="s">
        <v>2232</v>
      </c>
      <c r="F1196" s="22" t="s">
        <v>7</v>
      </c>
      <c r="G1196" s="22" t="s">
        <v>4021</v>
      </c>
      <c r="H1196" s="22" t="s">
        <v>11</v>
      </c>
      <c r="I1196" s="22" t="s">
        <v>5569</v>
      </c>
      <c r="J1196" s="22" t="s">
        <v>3577</v>
      </c>
      <c r="K1196" s="22">
        <v>5.18125052604195e+18</v>
      </c>
      <c r="L1196" s="22" t="s">
        <v>5639</v>
      </c>
      <c r="M1196" s="25"/>
    </row>
    <row r="1197" customHeight="1" spans="1:13">
      <c r="A1197" s="21">
        <v>46113</v>
      </c>
      <c r="B1197" s="22" t="s">
        <v>5483</v>
      </c>
      <c r="C1197" s="23">
        <v>46132</v>
      </c>
      <c r="D1197" s="22" t="s">
        <v>2232</v>
      </c>
      <c r="E1197" s="22" t="s">
        <v>2232</v>
      </c>
      <c r="F1197" s="22" t="s">
        <v>7</v>
      </c>
      <c r="G1197" s="22" t="s">
        <v>4022</v>
      </c>
      <c r="H1197" s="22" t="s">
        <v>11</v>
      </c>
      <c r="I1197" s="22" t="s">
        <v>5569</v>
      </c>
      <c r="J1197" s="22" t="s">
        <v>40</v>
      </c>
      <c r="K1197" s="22">
        <v>5.18125040103976e+18</v>
      </c>
      <c r="L1197" s="22" t="s">
        <v>5612</v>
      </c>
      <c r="M1197" s="25"/>
    </row>
    <row r="1198" customHeight="1" spans="1:13">
      <c r="A1198" s="21">
        <v>46113</v>
      </c>
      <c r="B1198" s="22" t="s">
        <v>5483</v>
      </c>
      <c r="C1198" s="23">
        <v>46134</v>
      </c>
      <c r="D1198" s="24">
        <v>91500</v>
      </c>
      <c r="E1198" s="22" t="s">
        <v>149</v>
      </c>
      <c r="F1198" s="22" t="s">
        <v>7</v>
      </c>
      <c r="G1198" s="22" t="s">
        <v>4023</v>
      </c>
      <c r="H1198" s="22" t="s">
        <v>11</v>
      </c>
      <c r="I1198" s="22" t="s">
        <v>5569</v>
      </c>
      <c r="J1198" s="22" t="s">
        <v>40</v>
      </c>
      <c r="K1198" s="22">
        <v>5.18125071604494e+18</v>
      </c>
      <c r="L1198" s="22" t="s">
        <v>5649</v>
      </c>
      <c r="M1198" s="25"/>
    </row>
    <row r="1199" customHeight="1" spans="1:13">
      <c r="A1199" s="21">
        <v>46113</v>
      </c>
      <c r="B1199" s="22" t="s">
        <v>5483</v>
      </c>
      <c r="C1199" s="23">
        <v>46139</v>
      </c>
      <c r="D1199" s="28">
        <v>9999000</v>
      </c>
      <c r="E1199" s="22" t="s">
        <v>1172</v>
      </c>
      <c r="F1199" s="22" t="s">
        <v>7</v>
      </c>
      <c r="G1199" s="22" t="s">
        <v>4024</v>
      </c>
      <c r="H1199" s="22" t="s">
        <v>10</v>
      </c>
      <c r="I1199" s="22" t="s">
        <v>5569</v>
      </c>
      <c r="J1199" s="22" t="s">
        <v>42</v>
      </c>
      <c r="K1199" s="22">
        <v>5.18124091902764e+18</v>
      </c>
      <c r="L1199" s="22" t="s">
        <v>5643</v>
      </c>
      <c r="M1199" s="25"/>
    </row>
    <row r="1200" customHeight="1" spans="1:13">
      <c r="A1200" s="21">
        <v>46113</v>
      </c>
      <c r="B1200" s="22" t="s">
        <v>5483</v>
      </c>
      <c r="C1200" s="23">
        <v>46141</v>
      </c>
      <c r="D1200" s="22" t="s">
        <v>2232</v>
      </c>
      <c r="E1200" s="22" t="s">
        <v>2232</v>
      </c>
      <c r="F1200" s="22" t="s">
        <v>7</v>
      </c>
      <c r="G1200" s="22" t="s">
        <v>5650</v>
      </c>
      <c r="H1200" s="22" t="s">
        <v>11</v>
      </c>
      <c r="I1200" s="22" t="s">
        <v>5569</v>
      </c>
      <c r="J1200" s="22" t="s">
        <v>3577</v>
      </c>
      <c r="K1200" s="22">
        <v>5.18125091204795e+18</v>
      </c>
      <c r="L1200" s="22" t="s">
        <v>5651</v>
      </c>
      <c r="M1200" s="25"/>
    </row>
    <row r="1201" customHeight="1" spans="1:13">
      <c r="A1201" s="21">
        <v>46113</v>
      </c>
      <c r="B1201" s="22" t="s">
        <v>5483</v>
      </c>
      <c r="C1201" s="23">
        <v>46142</v>
      </c>
      <c r="D1201" s="27">
        <v>994852</v>
      </c>
      <c r="E1201" s="22" t="s">
        <v>1172</v>
      </c>
      <c r="F1201" s="22" t="s">
        <v>7</v>
      </c>
      <c r="G1201" s="22" t="s">
        <v>4030</v>
      </c>
      <c r="H1201" s="22" t="s">
        <v>10</v>
      </c>
      <c r="I1201" s="22" t="s">
        <v>5569</v>
      </c>
      <c r="J1201" s="22" t="s">
        <v>42</v>
      </c>
      <c r="K1201" s="22">
        <v>5.18126033105925e+18</v>
      </c>
      <c r="L1201" s="22" t="s">
        <v>868</v>
      </c>
      <c r="M1201" s="25"/>
    </row>
    <row r="1202" customHeight="1" spans="1:13">
      <c r="A1202" s="21">
        <v>46143</v>
      </c>
      <c r="B1202" s="22" t="s">
        <v>5484</v>
      </c>
      <c r="C1202" s="23">
        <v>46146</v>
      </c>
      <c r="D1202" s="27">
        <v>79990000</v>
      </c>
      <c r="E1202" s="22" t="s">
        <v>1172</v>
      </c>
      <c r="F1202" s="22" t="s">
        <v>7</v>
      </c>
      <c r="G1202" s="22" t="s">
        <v>4030</v>
      </c>
      <c r="H1202" s="22" t="s">
        <v>10</v>
      </c>
      <c r="I1202" s="22" t="s">
        <v>5569</v>
      </c>
      <c r="J1202" s="22" t="s">
        <v>42</v>
      </c>
      <c r="K1202" s="22">
        <v>5.18126010305458e+18</v>
      </c>
      <c r="L1202" s="22" t="s">
        <v>5645</v>
      </c>
      <c r="M1202" s="25"/>
    </row>
    <row r="1203" customHeight="1" spans="1:13">
      <c r="A1203" s="21">
        <v>46143</v>
      </c>
      <c r="B1203" s="22" t="s">
        <v>5484</v>
      </c>
      <c r="C1203" s="23">
        <v>46149</v>
      </c>
      <c r="D1203" s="27">
        <v>10000000</v>
      </c>
      <c r="E1203" s="22" t="s">
        <v>1172</v>
      </c>
      <c r="F1203" s="22" t="s">
        <v>7</v>
      </c>
      <c r="G1203" s="22" t="s">
        <v>4030</v>
      </c>
      <c r="H1203" s="22" t="s">
        <v>10</v>
      </c>
      <c r="I1203" s="22" t="s">
        <v>5569</v>
      </c>
      <c r="J1203" s="22" t="s">
        <v>42</v>
      </c>
      <c r="K1203" s="22">
        <v>5.18126040605972e+18</v>
      </c>
      <c r="L1203" s="22" t="s">
        <v>5652</v>
      </c>
      <c r="M1203" s="25"/>
    </row>
    <row r="1204" customHeight="1" spans="1:13">
      <c r="A1204" s="21">
        <v>46143</v>
      </c>
      <c r="B1204" s="22" t="s">
        <v>5484</v>
      </c>
      <c r="C1204" s="23">
        <v>46151</v>
      </c>
      <c r="D1204" s="22" t="s">
        <v>2232</v>
      </c>
      <c r="E1204" s="22" t="s">
        <v>2232</v>
      </c>
      <c r="F1204" s="22" t="s">
        <v>7</v>
      </c>
      <c r="G1204" s="22" t="s">
        <v>4041</v>
      </c>
      <c r="H1204" s="22" t="s">
        <v>11</v>
      </c>
      <c r="I1204" s="22" t="s">
        <v>5569</v>
      </c>
      <c r="J1204" s="22" t="s">
        <v>40</v>
      </c>
      <c r="K1204" s="22">
        <v>5.18125091204795e+18</v>
      </c>
      <c r="L1204" s="22" t="s">
        <v>5653</v>
      </c>
      <c r="M1204" s="25"/>
    </row>
    <row r="1205" customHeight="1" spans="1:13">
      <c r="A1205" s="21">
        <v>46143</v>
      </c>
      <c r="B1205" s="22" t="s">
        <v>5484</v>
      </c>
      <c r="C1205" s="23">
        <v>46154</v>
      </c>
      <c r="D1205" s="27">
        <v>263790000</v>
      </c>
      <c r="E1205" s="22" t="s">
        <v>1172</v>
      </c>
      <c r="F1205" s="22" t="s">
        <v>7</v>
      </c>
      <c r="G1205" s="22" t="s">
        <v>4030</v>
      </c>
      <c r="H1205" s="22" t="s">
        <v>10</v>
      </c>
      <c r="I1205" s="22" t="s">
        <v>5569</v>
      </c>
      <c r="J1205" s="22" t="s">
        <v>42</v>
      </c>
      <c r="K1205" s="22">
        <v>5.18125122605429e+18</v>
      </c>
      <c r="L1205" s="22" t="s">
        <v>5654</v>
      </c>
      <c r="M1205" s="25"/>
    </row>
    <row r="1206" customHeight="1" spans="1:13">
      <c r="A1206" s="21">
        <v>46143</v>
      </c>
      <c r="B1206" s="22" t="s">
        <v>5484</v>
      </c>
      <c r="C1206" s="23">
        <v>46154</v>
      </c>
      <c r="D1206" s="22" t="s">
        <v>2232</v>
      </c>
      <c r="E1206" s="22" t="s">
        <v>2232</v>
      </c>
      <c r="F1206" s="22" t="s">
        <v>7</v>
      </c>
      <c r="G1206" s="22" t="s">
        <v>4046</v>
      </c>
      <c r="H1206" s="22" t="s">
        <v>10</v>
      </c>
      <c r="I1206" s="22" t="s">
        <v>5569</v>
      </c>
      <c r="J1206" s="22" t="s">
        <v>3577</v>
      </c>
      <c r="K1206" s="22">
        <v>5.18125122605429e+18</v>
      </c>
      <c r="L1206" s="22" t="s">
        <v>5654</v>
      </c>
      <c r="M1206" s="25"/>
    </row>
    <row r="1207" customHeight="1" spans="1:13">
      <c r="A1207" s="21">
        <v>46143</v>
      </c>
      <c r="B1207" s="22" t="s">
        <v>5484</v>
      </c>
      <c r="C1207" s="23">
        <v>46155</v>
      </c>
      <c r="D1207" s="22" t="s">
        <v>2232</v>
      </c>
      <c r="E1207" s="22" t="s">
        <v>2232</v>
      </c>
      <c r="F1207" s="22" t="s">
        <v>7</v>
      </c>
      <c r="G1207" s="22" t="s">
        <v>4051</v>
      </c>
      <c r="H1207" s="22" t="s">
        <v>11</v>
      </c>
      <c r="I1207" s="22" t="s">
        <v>5569</v>
      </c>
      <c r="J1207" s="22" t="s">
        <v>40</v>
      </c>
      <c r="K1207" s="22">
        <v>5.18125112405218e+18</v>
      </c>
      <c r="L1207" s="22" t="s">
        <v>5655</v>
      </c>
      <c r="M1207" s="25"/>
    </row>
    <row r="1208" customHeight="1" spans="1:13">
      <c r="A1208" s="21">
        <v>46143</v>
      </c>
      <c r="B1208" s="22" t="s">
        <v>5484</v>
      </c>
      <c r="C1208" s="23">
        <v>46155</v>
      </c>
      <c r="D1208" s="22" t="s">
        <v>2232</v>
      </c>
      <c r="E1208" s="22" t="s">
        <v>2232</v>
      </c>
      <c r="F1208" s="22" t="s">
        <v>7</v>
      </c>
      <c r="G1208" s="22" t="s">
        <v>4053</v>
      </c>
      <c r="H1208" s="22" t="s">
        <v>10</v>
      </c>
      <c r="I1208" s="22" t="s">
        <v>5569</v>
      </c>
      <c r="J1208" s="22" t="s">
        <v>40</v>
      </c>
      <c r="K1208" s="22">
        <v>5.18125112405218e+18</v>
      </c>
      <c r="L1208" s="22" t="s">
        <v>5655</v>
      </c>
      <c r="M1208" s="25"/>
    </row>
    <row r="1209" customHeight="1" spans="1:13">
      <c r="A1209" s="21">
        <v>46143</v>
      </c>
      <c r="B1209" s="22" t="s">
        <v>5484</v>
      </c>
      <c r="C1209" s="23">
        <v>46157</v>
      </c>
      <c r="D1209" s="22" t="s">
        <v>2232</v>
      </c>
      <c r="E1209" s="22" t="s">
        <v>2232</v>
      </c>
      <c r="F1209" s="22" t="s">
        <v>7</v>
      </c>
      <c r="G1209" s="22" t="s">
        <v>4030</v>
      </c>
      <c r="H1209" s="22" t="s">
        <v>10</v>
      </c>
      <c r="I1209" s="22" t="s">
        <v>5569</v>
      </c>
      <c r="J1209" s="22" t="s">
        <v>42</v>
      </c>
      <c r="K1209" s="22">
        <v>5.18126042906214e+18</v>
      </c>
      <c r="L1209" s="22" t="s">
        <v>5656</v>
      </c>
      <c r="M1209" s="25"/>
    </row>
    <row r="1210" customHeight="1" spans="1:13">
      <c r="A1210" s="21">
        <v>46143</v>
      </c>
      <c r="B1210" s="22" t="s">
        <v>5485</v>
      </c>
      <c r="C1210" s="23">
        <v>46161</v>
      </c>
      <c r="D1210" s="22" t="s">
        <v>2232</v>
      </c>
      <c r="E1210" s="22" t="s">
        <v>2232</v>
      </c>
      <c r="F1210" s="22" t="s">
        <v>7</v>
      </c>
      <c r="G1210" s="22" t="s">
        <v>4060</v>
      </c>
      <c r="H1210" s="22" t="s">
        <v>11</v>
      </c>
      <c r="I1210" s="22" t="s">
        <v>5569</v>
      </c>
      <c r="J1210" s="22" t="s">
        <v>3577</v>
      </c>
      <c r="K1210" s="22">
        <v>5.18125100804923e+18</v>
      </c>
      <c r="L1210" s="22" t="s">
        <v>5619</v>
      </c>
      <c r="M1210" s="25"/>
    </row>
    <row r="1211" customHeight="1" spans="1:13">
      <c r="A1211" s="21">
        <v>46143</v>
      </c>
      <c r="B1211" s="22" t="s">
        <v>5485</v>
      </c>
      <c r="C1211" s="23">
        <v>46161</v>
      </c>
      <c r="D1211" s="22" t="s">
        <v>2232</v>
      </c>
      <c r="E1211" s="22" t="s">
        <v>2232</v>
      </c>
      <c r="F1211" s="22" t="s">
        <v>7</v>
      </c>
      <c r="G1211" s="22" t="s">
        <v>4061</v>
      </c>
      <c r="H1211" s="22" t="s">
        <v>10</v>
      </c>
      <c r="I1211" s="22" t="s">
        <v>5569</v>
      </c>
      <c r="J1211" s="22" t="s">
        <v>3577</v>
      </c>
      <c r="K1211" s="22">
        <v>5.18125100804923e+18</v>
      </c>
      <c r="L1211" s="22" t="s">
        <v>5619</v>
      </c>
      <c r="M1211" s="25"/>
    </row>
    <row r="1212" customHeight="1" spans="1:13">
      <c r="A1212" s="21">
        <v>46143</v>
      </c>
      <c r="B1212" s="22" t="s">
        <v>5485</v>
      </c>
      <c r="C1212" s="23">
        <v>46162</v>
      </c>
      <c r="D1212" s="22" t="s">
        <v>2232</v>
      </c>
      <c r="E1212" s="22" t="s">
        <v>2232</v>
      </c>
      <c r="F1212" s="22" t="s">
        <v>7</v>
      </c>
      <c r="G1212" s="22" t="s">
        <v>4065</v>
      </c>
      <c r="H1212" s="22" t="s">
        <v>10</v>
      </c>
      <c r="I1212" s="22" t="s">
        <v>5569</v>
      </c>
      <c r="J1212" s="22" t="s">
        <v>42</v>
      </c>
      <c r="K1212" s="22">
        <v>5.18126042606184e+18</v>
      </c>
      <c r="L1212" s="22" t="s">
        <v>5657</v>
      </c>
      <c r="M1212" s="25"/>
    </row>
    <row r="1213" customHeight="1" spans="1:13">
      <c r="A1213" s="21">
        <v>46143</v>
      </c>
      <c r="B1213" s="22" t="s">
        <v>5485</v>
      </c>
      <c r="C1213" s="23">
        <v>46162</v>
      </c>
      <c r="D1213" s="22" t="s">
        <v>2232</v>
      </c>
      <c r="E1213" s="22" t="s">
        <v>2232</v>
      </c>
      <c r="F1213" s="22" t="s">
        <v>7</v>
      </c>
      <c r="G1213" s="22" t="s">
        <v>5658</v>
      </c>
      <c r="H1213" s="22" t="s">
        <v>10</v>
      </c>
      <c r="I1213" s="22" t="s">
        <v>5569</v>
      </c>
      <c r="J1213" s="22" t="s">
        <v>40</v>
      </c>
      <c r="K1213" s="22">
        <v>5.18126042606184e+18</v>
      </c>
      <c r="L1213" s="22" t="s">
        <v>5657</v>
      </c>
      <c r="M1213" s="25"/>
    </row>
    <row r="1214" customHeight="1" spans="1:13">
      <c r="A1214" s="21">
        <v>46143</v>
      </c>
      <c r="B1214" s="22" t="s">
        <v>5485</v>
      </c>
      <c r="C1214" s="23">
        <v>46163</v>
      </c>
      <c r="D1214" s="22" t="s">
        <v>2232</v>
      </c>
      <c r="E1214" s="22" t="s">
        <v>2232</v>
      </c>
      <c r="F1214" s="22" t="s">
        <v>7</v>
      </c>
      <c r="G1214" s="22" t="s">
        <v>4091</v>
      </c>
      <c r="H1214" s="22" t="s">
        <v>10</v>
      </c>
      <c r="I1214" s="22" t="s">
        <v>5569</v>
      </c>
      <c r="J1214" s="22" t="s">
        <v>42</v>
      </c>
      <c r="K1214" s="22">
        <v>5.18125102105008e+18</v>
      </c>
      <c r="L1214" s="22" t="s">
        <v>5659</v>
      </c>
      <c r="M1214" s="25"/>
    </row>
    <row r="1215" customHeight="1" spans="1:13">
      <c r="A1215" s="21">
        <v>46143</v>
      </c>
      <c r="B1215" s="22" t="s">
        <v>5485</v>
      </c>
      <c r="C1215" s="23">
        <v>46163</v>
      </c>
      <c r="D1215" s="22" t="s">
        <v>2232</v>
      </c>
      <c r="E1215" s="22" t="s">
        <v>2232</v>
      </c>
      <c r="F1215" s="22" t="s">
        <v>7</v>
      </c>
      <c r="G1215" s="22" t="s">
        <v>4093</v>
      </c>
      <c r="H1215" s="22" t="s">
        <v>11</v>
      </c>
      <c r="I1215" s="22" t="s">
        <v>5569</v>
      </c>
      <c r="J1215" s="22" t="s">
        <v>3577</v>
      </c>
      <c r="K1215" s="22">
        <v>5.18125102105008e+18</v>
      </c>
      <c r="L1215" s="22" t="s">
        <v>5659</v>
      </c>
      <c r="M1215" s="25"/>
    </row>
    <row r="1216" customHeight="1" spans="1:13">
      <c r="A1216" s="21">
        <v>46143</v>
      </c>
      <c r="B1216" s="22" t="s">
        <v>5485</v>
      </c>
      <c r="C1216" s="23">
        <v>46163</v>
      </c>
      <c r="D1216" s="22" t="s">
        <v>2232</v>
      </c>
      <c r="E1216" s="22" t="s">
        <v>2232</v>
      </c>
      <c r="F1216" s="22" t="s">
        <v>7</v>
      </c>
      <c r="G1216" s="22" t="s">
        <v>5660</v>
      </c>
      <c r="H1216" s="22" t="s">
        <v>10</v>
      </c>
      <c r="I1216" s="22" t="s">
        <v>5569</v>
      </c>
      <c r="J1216" s="22" t="s">
        <v>42</v>
      </c>
      <c r="K1216" s="22">
        <v>5.18125102105008e+18</v>
      </c>
      <c r="L1216" s="22" t="s">
        <v>5659</v>
      </c>
      <c r="M1216" s="25"/>
    </row>
    <row r="1217" customHeight="1" spans="1:13">
      <c r="A1217" s="21">
        <v>46143</v>
      </c>
      <c r="B1217" s="22" t="s">
        <v>5485</v>
      </c>
      <c r="C1217" s="23">
        <v>46164</v>
      </c>
      <c r="D1217" s="22" t="s">
        <v>2232</v>
      </c>
      <c r="E1217" s="22" t="s">
        <v>2232</v>
      </c>
      <c r="F1217" s="22" t="s">
        <v>7</v>
      </c>
      <c r="G1217" s="22" t="s">
        <v>4103</v>
      </c>
      <c r="H1217" s="22" t="s">
        <v>11</v>
      </c>
      <c r="I1217" s="22" t="s">
        <v>5569</v>
      </c>
      <c r="J1217" s="22" t="s">
        <v>3577</v>
      </c>
      <c r="K1217" s="22">
        <v>5.18125032603948e+18</v>
      </c>
      <c r="L1217" s="22" t="s">
        <v>1259</v>
      </c>
      <c r="M1217" s="25"/>
    </row>
    <row r="1218" customHeight="1" spans="1:13">
      <c r="A1218" s="21">
        <v>46143</v>
      </c>
      <c r="B1218" s="22" t="s">
        <v>5485</v>
      </c>
      <c r="C1218" s="23">
        <v>46164</v>
      </c>
      <c r="D1218" s="22" t="s">
        <v>2232</v>
      </c>
      <c r="E1218" s="22" t="s">
        <v>2232</v>
      </c>
      <c r="F1218" s="22" t="s">
        <v>7</v>
      </c>
      <c r="G1218" s="22" t="s">
        <v>4104</v>
      </c>
      <c r="H1218" s="22" t="s">
        <v>11</v>
      </c>
      <c r="I1218" s="22" t="s">
        <v>5569</v>
      </c>
      <c r="J1218" s="22" t="s">
        <v>3577</v>
      </c>
      <c r="K1218" s="22">
        <v>5.18125032603948e+18</v>
      </c>
      <c r="L1218" s="22" t="s">
        <v>1259</v>
      </c>
      <c r="M1218" s="25"/>
    </row>
    <row r="1219" customHeight="1" spans="1:13">
      <c r="A1219" s="21">
        <v>46143</v>
      </c>
      <c r="B1219" s="22" t="s">
        <v>5485</v>
      </c>
      <c r="C1219" s="23">
        <v>46170</v>
      </c>
      <c r="D1219" s="22" t="s">
        <v>2232</v>
      </c>
      <c r="E1219" s="22" t="s">
        <v>2232</v>
      </c>
      <c r="F1219" s="22" t="s">
        <v>7</v>
      </c>
      <c r="G1219" s="22" t="s">
        <v>4106</v>
      </c>
      <c r="H1219" s="22" t="s">
        <v>10</v>
      </c>
      <c r="I1219" s="22" t="s">
        <v>5569</v>
      </c>
      <c r="J1219" s="22" t="s">
        <v>42</v>
      </c>
      <c r="K1219" s="22">
        <v>5.18125120405282e+18</v>
      </c>
      <c r="L1219" s="22" t="s">
        <v>5661</v>
      </c>
      <c r="M1219" s="25"/>
    </row>
    <row r="1220" customHeight="1" spans="1:13">
      <c r="A1220" s="21">
        <v>46143</v>
      </c>
      <c r="B1220" s="22" t="s">
        <v>5485</v>
      </c>
      <c r="C1220" s="23">
        <v>46171</v>
      </c>
      <c r="D1220" s="22" t="s">
        <v>2232</v>
      </c>
      <c r="E1220" s="22" t="s">
        <v>2232</v>
      </c>
      <c r="F1220" s="22" t="s">
        <v>7</v>
      </c>
      <c r="G1220" s="22" t="s">
        <v>4109</v>
      </c>
      <c r="H1220" s="22" t="s">
        <v>11</v>
      </c>
      <c r="I1220" s="22" t="s">
        <v>5569</v>
      </c>
      <c r="J1220" s="22" t="s">
        <v>40</v>
      </c>
      <c r="K1220" s="22">
        <v>5.18125072404521e+18</v>
      </c>
      <c r="L1220" s="22" t="s">
        <v>1532</v>
      </c>
      <c r="M1220" s="25"/>
    </row>
    <row r="1221" customHeight="1" spans="1:13">
      <c r="A1221" s="21">
        <v>46143</v>
      </c>
      <c r="B1221" s="22" t="s">
        <v>5485</v>
      </c>
      <c r="C1221" s="23">
        <v>46171</v>
      </c>
      <c r="D1221" s="22" t="s">
        <v>2232</v>
      </c>
      <c r="E1221" s="22" t="s">
        <v>2232</v>
      </c>
      <c r="F1221" s="22" t="s">
        <v>7</v>
      </c>
      <c r="G1221" s="22" t="s">
        <v>4110</v>
      </c>
      <c r="H1221" s="22" t="s">
        <v>10</v>
      </c>
      <c r="I1221" s="22" t="s">
        <v>5569</v>
      </c>
      <c r="J1221" s="22" t="s">
        <v>40</v>
      </c>
      <c r="K1221" s="22">
        <v>5.18125072404521e+18</v>
      </c>
      <c r="L1221" s="22" t="s">
        <v>1532</v>
      </c>
      <c r="M1221" s="25"/>
    </row>
    <row r="1222" customHeight="1" spans="1:13">
      <c r="A1222" s="21">
        <v>46174</v>
      </c>
      <c r="B1222" s="22" t="s">
        <v>5487</v>
      </c>
      <c r="C1222" s="23">
        <v>46175</v>
      </c>
      <c r="D1222" s="28">
        <v>60998700</v>
      </c>
      <c r="E1222" s="22" t="s">
        <v>1172</v>
      </c>
      <c r="F1222" s="22" t="s">
        <v>7</v>
      </c>
      <c r="G1222" s="22" t="s">
        <v>4030</v>
      </c>
      <c r="H1222" s="22" t="s">
        <v>10</v>
      </c>
      <c r="I1222" s="22" t="s">
        <v>5569</v>
      </c>
      <c r="J1222" s="22" t="s">
        <v>42</v>
      </c>
      <c r="K1222" s="22">
        <v>5.18126012605575e+18</v>
      </c>
      <c r="L1222" s="22" t="s">
        <v>5662</v>
      </c>
      <c r="M1222" s="25"/>
    </row>
    <row r="1223" customHeight="1" spans="1:13">
      <c r="A1223" s="21">
        <v>46174</v>
      </c>
      <c r="B1223" s="22" t="s">
        <v>5487</v>
      </c>
      <c r="C1223" s="23">
        <v>46175</v>
      </c>
      <c r="D1223" s="22" t="s">
        <v>2232</v>
      </c>
      <c r="E1223" s="22" t="s">
        <v>2232</v>
      </c>
      <c r="F1223" s="22" t="s">
        <v>7</v>
      </c>
      <c r="G1223" s="22" t="s">
        <v>4120</v>
      </c>
      <c r="H1223" s="22" t="s">
        <v>11</v>
      </c>
      <c r="I1223" s="22" t="s">
        <v>5569</v>
      </c>
      <c r="J1223" s="22" t="s">
        <v>3577</v>
      </c>
      <c r="K1223" s="22">
        <v>5.18126012605575e+18</v>
      </c>
      <c r="L1223" s="22" t="s">
        <v>5662</v>
      </c>
      <c r="M1223" s="25"/>
    </row>
    <row r="1224" customHeight="1" spans="1:13">
      <c r="A1224" s="21">
        <v>46174</v>
      </c>
      <c r="B1224" s="22" t="s">
        <v>5487</v>
      </c>
      <c r="C1224" s="23">
        <v>46175</v>
      </c>
      <c r="D1224" s="22" t="s">
        <v>2232</v>
      </c>
      <c r="E1224" s="22" t="s">
        <v>2232</v>
      </c>
      <c r="F1224" s="22" t="s">
        <v>7</v>
      </c>
      <c r="G1224" s="22" t="s">
        <v>4121</v>
      </c>
      <c r="H1224" s="22" t="s">
        <v>11</v>
      </c>
      <c r="I1224" s="22" t="s">
        <v>5569</v>
      </c>
      <c r="J1224" s="22" t="s">
        <v>40</v>
      </c>
      <c r="K1224" s="22">
        <v>5.18126012605575e+18</v>
      </c>
      <c r="L1224" s="22" t="s">
        <v>5662</v>
      </c>
      <c r="M1224" s="25"/>
    </row>
    <row r="1225" customHeight="1" spans="1:13">
      <c r="A1225" s="21">
        <v>46174</v>
      </c>
      <c r="B1225" s="22" t="s">
        <v>5487</v>
      </c>
      <c r="C1225" s="23">
        <v>46175</v>
      </c>
      <c r="D1225" s="22" t="s">
        <v>2232</v>
      </c>
      <c r="E1225" s="22" t="s">
        <v>2232</v>
      </c>
      <c r="F1225" s="22" t="s">
        <v>7</v>
      </c>
      <c r="G1225" s="22" t="s">
        <v>4122</v>
      </c>
      <c r="H1225" s="22" t="s">
        <v>11</v>
      </c>
      <c r="I1225" s="22" t="s">
        <v>5569</v>
      </c>
      <c r="J1225" s="22" t="s">
        <v>3577</v>
      </c>
      <c r="K1225" s="22">
        <v>5.18126012605575e+18</v>
      </c>
      <c r="L1225" s="22" t="s">
        <v>5662</v>
      </c>
      <c r="M1225" s="25"/>
    </row>
    <row r="1226" customHeight="1" spans="1:13">
      <c r="A1226" s="21">
        <v>46174</v>
      </c>
      <c r="B1226" s="22" t="s">
        <v>5487</v>
      </c>
      <c r="C1226" s="23">
        <v>46175</v>
      </c>
      <c r="D1226" s="22" t="s">
        <v>2232</v>
      </c>
      <c r="E1226" s="22" t="s">
        <v>2232</v>
      </c>
      <c r="F1226" s="22" t="s">
        <v>7</v>
      </c>
      <c r="G1226" s="22" t="s">
        <v>4123</v>
      </c>
      <c r="H1226" s="22" t="s">
        <v>11</v>
      </c>
      <c r="I1226" s="22" t="s">
        <v>5569</v>
      </c>
      <c r="J1226" s="22" t="s">
        <v>40</v>
      </c>
      <c r="K1226" s="22">
        <v>5.18126012605575e+18</v>
      </c>
      <c r="L1226" s="22" t="s">
        <v>5662</v>
      </c>
      <c r="M1226" s="25"/>
    </row>
    <row r="1227" customHeight="1" spans="1:13">
      <c r="A1227" s="21">
        <v>46174</v>
      </c>
      <c r="B1227" s="22" t="s">
        <v>5487</v>
      </c>
      <c r="C1227" s="23">
        <v>46177</v>
      </c>
      <c r="D1227" s="22" t="s">
        <v>2232</v>
      </c>
      <c r="E1227" s="22" t="s">
        <v>2232</v>
      </c>
      <c r="F1227" s="22" t="s">
        <v>7</v>
      </c>
      <c r="G1227" s="22" t="s">
        <v>4124</v>
      </c>
      <c r="H1227" s="22" t="s">
        <v>10</v>
      </c>
      <c r="I1227" s="22" t="s">
        <v>5569</v>
      </c>
      <c r="J1227" s="22" t="s">
        <v>42</v>
      </c>
      <c r="K1227" s="22">
        <v>5.18125102105008e+18</v>
      </c>
      <c r="L1227" s="22" t="s">
        <v>5659</v>
      </c>
      <c r="M1227" s="25"/>
    </row>
    <row r="1228" customHeight="1" spans="1:13">
      <c r="A1228" s="21">
        <v>46174</v>
      </c>
      <c r="B1228" s="22" t="s">
        <v>5487</v>
      </c>
      <c r="C1228" s="23">
        <v>46182</v>
      </c>
      <c r="D1228" s="28">
        <v>100000000</v>
      </c>
      <c r="E1228" s="22" t="s">
        <v>1172</v>
      </c>
      <c r="F1228" s="22" t="s">
        <v>7</v>
      </c>
      <c r="G1228" s="22" t="s">
        <v>4024</v>
      </c>
      <c r="H1228" s="22" t="s">
        <v>10</v>
      </c>
      <c r="I1228" s="22" t="s">
        <v>5569</v>
      </c>
      <c r="J1228" s="22" t="s">
        <v>42</v>
      </c>
      <c r="K1228" s="22">
        <v>5.18126011505516e+18</v>
      </c>
      <c r="L1228" s="22" t="s">
        <v>5663</v>
      </c>
      <c r="M1228" s="25"/>
    </row>
    <row r="1229" customHeight="1" spans="1:13">
      <c r="A1229" s="21">
        <v>46174</v>
      </c>
      <c r="B1229" s="22" t="s">
        <v>5487</v>
      </c>
      <c r="C1229" s="23">
        <v>46185</v>
      </c>
      <c r="D1229" s="27">
        <v>48655</v>
      </c>
      <c r="E1229" s="22" t="s">
        <v>1172</v>
      </c>
      <c r="F1229" s="22" t="s">
        <v>7</v>
      </c>
      <c r="G1229" s="22" t="s">
        <v>4024</v>
      </c>
      <c r="H1229" s="22" t="s">
        <v>10</v>
      </c>
      <c r="I1229" s="22" t="s">
        <v>5569</v>
      </c>
      <c r="J1229" s="22" t="s">
        <v>42</v>
      </c>
      <c r="K1229" s="22">
        <v>5.1812605110634e+18</v>
      </c>
      <c r="L1229" s="22" t="s">
        <v>5664</v>
      </c>
      <c r="M1229" s="25"/>
    </row>
    <row r="1230" customHeight="1" spans="1:13">
      <c r="A1230" s="21">
        <v>46174</v>
      </c>
      <c r="B1230" s="22" t="s">
        <v>5487</v>
      </c>
      <c r="C1230" s="23">
        <v>46188</v>
      </c>
      <c r="D1230" s="22" t="s">
        <v>2232</v>
      </c>
      <c r="E1230" s="22" t="s">
        <v>2232</v>
      </c>
      <c r="F1230" s="22" t="s">
        <v>7</v>
      </c>
      <c r="G1230" s="22" t="s">
        <v>4131</v>
      </c>
      <c r="H1230" s="22" t="s">
        <v>10</v>
      </c>
      <c r="I1230" s="22" t="s">
        <v>5569</v>
      </c>
      <c r="J1230" s="22" t="s">
        <v>42</v>
      </c>
      <c r="K1230" s="22">
        <v>5.18125102105008e+18</v>
      </c>
      <c r="L1230" s="22" t="s">
        <v>5659</v>
      </c>
      <c r="M1230" s="25"/>
    </row>
    <row r="1231" customHeight="1" spans="1:13">
      <c r="A1231" s="21">
        <v>46174</v>
      </c>
      <c r="B1231" s="22" t="s">
        <v>5487</v>
      </c>
      <c r="C1231" s="23">
        <v>46188</v>
      </c>
      <c r="D1231" s="22" t="s">
        <v>2232</v>
      </c>
      <c r="E1231" s="22" t="s">
        <v>2232</v>
      </c>
      <c r="F1231" s="22" t="s">
        <v>7</v>
      </c>
      <c r="G1231" s="22" t="s">
        <v>4133</v>
      </c>
      <c r="H1231" s="22" t="s">
        <v>10</v>
      </c>
      <c r="I1231" s="22" t="s">
        <v>5569</v>
      </c>
      <c r="J1231" s="22" t="s">
        <v>42</v>
      </c>
      <c r="K1231" s="22">
        <v>5.18125102105008e+18</v>
      </c>
      <c r="L1231" s="22" t="s">
        <v>5659</v>
      </c>
      <c r="M1231" s="25"/>
    </row>
    <row r="1232" customHeight="1" spans="1:13">
      <c r="A1232" s="21">
        <v>46174</v>
      </c>
      <c r="B1232" s="22" t="s">
        <v>5489</v>
      </c>
      <c r="C1232" s="23">
        <v>46189</v>
      </c>
      <c r="D1232" s="22" t="s">
        <v>2232</v>
      </c>
      <c r="E1232" s="22" t="s">
        <v>2232</v>
      </c>
      <c r="F1232" s="22" t="s">
        <v>7</v>
      </c>
      <c r="G1232" s="22" t="s">
        <v>4136</v>
      </c>
      <c r="H1232" s="22" t="s">
        <v>11</v>
      </c>
      <c r="I1232" s="22" t="s">
        <v>5569</v>
      </c>
      <c r="J1232" s="22" t="s">
        <v>40</v>
      </c>
      <c r="K1232" s="22">
        <v>5.1812508180464e+18</v>
      </c>
      <c r="L1232" s="22" t="s">
        <v>5614</v>
      </c>
      <c r="M1232" s="25"/>
    </row>
    <row r="1233" customHeight="1" spans="1:13">
      <c r="A1233" s="21">
        <v>46174</v>
      </c>
      <c r="B1233" s="22" t="s">
        <v>5487</v>
      </c>
      <c r="C1233" s="23">
        <v>46188</v>
      </c>
      <c r="D1233" s="22" t="s">
        <v>2232</v>
      </c>
      <c r="E1233" s="22" t="s">
        <v>2232</v>
      </c>
      <c r="F1233" s="22" t="s">
        <v>7</v>
      </c>
      <c r="G1233" s="22" t="s">
        <v>5665</v>
      </c>
      <c r="H1233" s="22" t="s">
        <v>10</v>
      </c>
      <c r="I1233" s="22" t="s">
        <v>5569</v>
      </c>
      <c r="J1233" s="22" t="s">
        <v>42</v>
      </c>
      <c r="K1233" s="22">
        <v>5.18125102105008e+18</v>
      </c>
      <c r="L1233" s="22" t="s">
        <v>5659</v>
      </c>
      <c r="M1233" s="25"/>
    </row>
    <row r="1234" customHeight="1" spans="1:13">
      <c r="A1234" s="21">
        <v>46174</v>
      </c>
      <c r="B1234" s="22" t="s">
        <v>5489</v>
      </c>
      <c r="C1234" s="23">
        <v>46190</v>
      </c>
      <c r="D1234" s="22" t="s">
        <v>2232</v>
      </c>
      <c r="E1234" s="22" t="s">
        <v>2232</v>
      </c>
      <c r="F1234" s="22" t="s">
        <v>7</v>
      </c>
      <c r="G1234" s="22" t="s">
        <v>4138</v>
      </c>
      <c r="H1234" s="22" t="s">
        <v>11</v>
      </c>
      <c r="I1234" s="22" t="s">
        <v>5569</v>
      </c>
      <c r="J1234" s="22" t="s">
        <v>40</v>
      </c>
      <c r="K1234" s="22">
        <v>5.18125073104567e+18</v>
      </c>
      <c r="L1234" s="22" t="s">
        <v>4697</v>
      </c>
      <c r="M1234" s="25"/>
    </row>
    <row r="1235" customHeight="1" spans="1:13">
      <c r="A1235" s="21">
        <v>46174</v>
      </c>
      <c r="B1235" s="22" t="s">
        <v>5489</v>
      </c>
      <c r="C1235" s="23">
        <v>46190</v>
      </c>
      <c r="D1235" s="27">
        <v>59100000</v>
      </c>
      <c r="E1235" s="22" t="s">
        <v>1172</v>
      </c>
      <c r="F1235" s="22" t="s">
        <v>7</v>
      </c>
      <c r="G1235" s="22" t="s">
        <v>4024</v>
      </c>
      <c r="H1235" s="22" t="s">
        <v>10</v>
      </c>
      <c r="I1235" s="22" t="s">
        <v>5569</v>
      </c>
      <c r="J1235" s="22" t="s">
        <v>42</v>
      </c>
      <c r="K1235" s="22">
        <v>5.18125073104567e+18</v>
      </c>
      <c r="L1235" s="22" t="s">
        <v>4697</v>
      </c>
      <c r="M1235" s="25"/>
    </row>
    <row r="1236" customHeight="1" spans="1:13">
      <c r="A1236" s="21">
        <v>46174</v>
      </c>
      <c r="B1236" s="22" t="s">
        <v>5489</v>
      </c>
      <c r="C1236" s="23">
        <v>46190</v>
      </c>
      <c r="D1236" s="22" t="s">
        <v>2232</v>
      </c>
      <c r="E1236" s="22" t="s">
        <v>2232</v>
      </c>
      <c r="F1236" s="22" t="s">
        <v>7</v>
      </c>
      <c r="G1236" s="22" t="s">
        <v>4141</v>
      </c>
      <c r="H1236" s="22" t="s">
        <v>10</v>
      </c>
      <c r="I1236" s="22" t="s">
        <v>5569</v>
      </c>
      <c r="J1236" s="22" t="s">
        <v>42</v>
      </c>
      <c r="K1236" s="22">
        <v>5.18125073104567e+18</v>
      </c>
      <c r="L1236" s="22" t="s">
        <v>4697</v>
      </c>
      <c r="M1236" s="25"/>
    </row>
    <row r="1237" customHeight="1" spans="1:13">
      <c r="A1237" s="21">
        <v>46174</v>
      </c>
      <c r="B1237" s="22" t="s">
        <v>5489</v>
      </c>
      <c r="C1237" s="23">
        <v>46190</v>
      </c>
      <c r="D1237" s="22" t="s">
        <v>2232</v>
      </c>
      <c r="E1237" s="22" t="s">
        <v>2232</v>
      </c>
      <c r="F1237" s="22" t="s">
        <v>7</v>
      </c>
      <c r="G1237" s="22" t="s">
        <v>4143</v>
      </c>
      <c r="H1237" s="22" t="s">
        <v>11</v>
      </c>
      <c r="I1237" s="22" t="s">
        <v>5569</v>
      </c>
      <c r="J1237" s="22" t="s">
        <v>3577</v>
      </c>
      <c r="K1237" s="22">
        <v>5.18125073104567e+18</v>
      </c>
      <c r="L1237" s="22" t="s">
        <v>4697</v>
      </c>
      <c r="M1237" s="25"/>
    </row>
    <row r="1238" customHeight="1" spans="1:13">
      <c r="A1238" s="21">
        <v>46174</v>
      </c>
      <c r="B1238" s="22" t="s">
        <v>5489</v>
      </c>
      <c r="C1238" s="23">
        <v>46197</v>
      </c>
      <c r="D1238" s="22" t="s">
        <v>2232</v>
      </c>
      <c r="E1238" s="22" t="s">
        <v>2232</v>
      </c>
      <c r="F1238" s="22" t="s">
        <v>7</v>
      </c>
      <c r="G1238" s="22" t="s">
        <v>4145</v>
      </c>
      <c r="H1238" s="22" t="s">
        <v>11</v>
      </c>
      <c r="I1238" s="22" t="s">
        <v>5569</v>
      </c>
      <c r="J1238" s="22" t="s">
        <v>40</v>
      </c>
      <c r="K1238" s="22">
        <v>5.18125111205147e+18</v>
      </c>
      <c r="L1238" s="22" t="s">
        <v>5027</v>
      </c>
      <c r="M1238" s="25"/>
    </row>
    <row r="1239" customHeight="1" spans="1:13">
      <c r="A1239" s="21">
        <v>46174</v>
      </c>
      <c r="B1239" s="22" t="s">
        <v>5489</v>
      </c>
      <c r="C1239" s="23">
        <v>46198</v>
      </c>
      <c r="D1239" s="27">
        <v>10000000</v>
      </c>
      <c r="E1239" s="22" t="s">
        <v>1172</v>
      </c>
      <c r="F1239" s="22" t="s">
        <v>7</v>
      </c>
      <c r="G1239" s="22" t="s">
        <v>4024</v>
      </c>
      <c r="H1239" s="22" t="s">
        <v>10</v>
      </c>
      <c r="I1239" s="22" t="s">
        <v>5569</v>
      </c>
      <c r="J1239" s="22" t="s">
        <v>42</v>
      </c>
      <c r="K1239" s="22">
        <v>5.18126040605972e+18</v>
      </c>
      <c r="L1239" s="22" t="s">
        <v>5652</v>
      </c>
      <c r="M1239" s="25"/>
    </row>
    <row r="1240" customHeight="1" spans="1:13">
      <c r="A1240" s="21">
        <v>46174</v>
      </c>
      <c r="B1240" s="22" t="s">
        <v>5489</v>
      </c>
      <c r="C1240" s="23">
        <v>46198</v>
      </c>
      <c r="D1240" s="27">
        <v>5011900</v>
      </c>
      <c r="E1240" s="22" t="s">
        <v>1172</v>
      </c>
      <c r="F1240" s="22" t="s">
        <v>7</v>
      </c>
      <c r="G1240" s="22" t="s">
        <v>4024</v>
      </c>
      <c r="H1240" s="22" t="s">
        <v>10</v>
      </c>
      <c r="I1240" s="22" t="s">
        <v>5569</v>
      </c>
      <c r="J1240" s="22" t="s">
        <v>42</v>
      </c>
      <c r="K1240" s="22">
        <v>5.18126040605972e+18</v>
      </c>
      <c r="L1240" s="22" t="s">
        <v>5652</v>
      </c>
      <c r="M1240" s="25"/>
    </row>
    <row r="1241" customHeight="1" spans="1:13">
      <c r="A1241" s="21">
        <v>46204</v>
      </c>
      <c r="B1241" s="22" t="s">
        <v>5491</v>
      </c>
      <c r="C1241" s="23">
        <v>46204</v>
      </c>
      <c r="D1241" s="27">
        <v>49975355</v>
      </c>
      <c r="E1241" s="22" t="s">
        <v>1172</v>
      </c>
      <c r="F1241" s="22" t="s">
        <v>7</v>
      </c>
      <c r="G1241" s="22" t="s">
        <v>4024</v>
      </c>
      <c r="H1241" s="22" t="s">
        <v>10</v>
      </c>
      <c r="I1241" s="22" t="s">
        <v>5569</v>
      </c>
      <c r="J1241" s="22" t="s">
        <v>42</v>
      </c>
      <c r="K1241" s="22">
        <v>5.18126042606184e+18</v>
      </c>
      <c r="L1241" s="22" t="s">
        <v>5657</v>
      </c>
      <c r="M1241" s="25"/>
    </row>
    <row r="1242" customHeight="1" spans="1:13">
      <c r="A1242" s="21">
        <v>46204</v>
      </c>
      <c r="B1242" s="22" t="s">
        <v>5491</v>
      </c>
      <c r="C1242" s="23">
        <v>46204</v>
      </c>
      <c r="D1242" s="22" t="s">
        <v>2232</v>
      </c>
      <c r="E1242" s="22" t="s">
        <v>2232</v>
      </c>
      <c r="F1242" s="22" t="s">
        <v>7</v>
      </c>
      <c r="G1242" s="22" t="s">
        <v>4150</v>
      </c>
      <c r="H1242" s="22" t="s">
        <v>10</v>
      </c>
      <c r="I1242" s="22" t="s">
        <v>5569</v>
      </c>
      <c r="J1242" s="22" t="s">
        <v>42</v>
      </c>
      <c r="K1242" s="22">
        <v>5.18126042606184e+18</v>
      </c>
      <c r="L1242" s="22" t="s">
        <v>5657</v>
      </c>
      <c r="M1242" s="25"/>
    </row>
    <row r="1243" customHeight="1" spans="1:13">
      <c r="A1243" s="21">
        <v>45566</v>
      </c>
      <c r="B1243" s="22" t="s">
        <v>5501</v>
      </c>
      <c r="C1243" s="23">
        <v>45593</v>
      </c>
      <c r="D1243" s="24">
        <v>10450</v>
      </c>
      <c r="E1243" s="22" t="s">
        <v>173</v>
      </c>
      <c r="F1243" s="22" t="s">
        <v>5</v>
      </c>
      <c r="G1243" s="22" t="s">
        <v>4231</v>
      </c>
      <c r="H1243" s="22" t="s">
        <v>10</v>
      </c>
      <c r="I1243" s="22" t="s">
        <v>5</v>
      </c>
      <c r="J1243" s="22" t="s">
        <v>40</v>
      </c>
      <c r="K1243" s="24">
        <v>0</v>
      </c>
      <c r="L1243" s="26" t="e">
        <v>#N/A</v>
      </c>
      <c r="M1243" s="25"/>
    </row>
    <row r="1244" customHeight="1" spans="1:13">
      <c r="A1244" s="21">
        <v>45597</v>
      </c>
      <c r="B1244" s="22" t="s">
        <v>5472</v>
      </c>
      <c r="C1244" s="23">
        <v>45617</v>
      </c>
      <c r="D1244" s="24">
        <v>37.67</v>
      </c>
      <c r="E1244" s="22" t="s">
        <v>139</v>
      </c>
      <c r="F1244" s="22" t="s">
        <v>5</v>
      </c>
      <c r="G1244" s="22" t="s">
        <v>4248</v>
      </c>
      <c r="H1244" s="22" t="s">
        <v>10</v>
      </c>
      <c r="I1244" s="22" t="s">
        <v>5</v>
      </c>
      <c r="J1244" s="22" t="s">
        <v>40</v>
      </c>
      <c r="K1244" s="24">
        <v>0</v>
      </c>
      <c r="L1244" s="26" t="e">
        <v>#N/A</v>
      </c>
      <c r="M1244" s="25"/>
    </row>
    <row r="1245" customHeight="1" spans="1:13">
      <c r="A1245" s="21">
        <v>45627</v>
      </c>
      <c r="B1245" s="22" t="s">
        <v>5474</v>
      </c>
      <c r="C1245" s="23">
        <v>45629</v>
      </c>
      <c r="D1245" s="24">
        <v>158</v>
      </c>
      <c r="E1245" s="22" t="s">
        <v>139</v>
      </c>
      <c r="F1245" s="22" t="s">
        <v>5</v>
      </c>
      <c r="G1245" s="22" t="s">
        <v>4255</v>
      </c>
      <c r="H1245" s="22" t="s">
        <v>10</v>
      </c>
      <c r="I1245" s="22" t="s">
        <v>5</v>
      </c>
      <c r="J1245" s="22" t="s">
        <v>40</v>
      </c>
      <c r="K1245" s="24">
        <v>0</v>
      </c>
      <c r="L1245" s="26" t="e">
        <v>#N/A</v>
      </c>
      <c r="M1245" s="25"/>
    </row>
    <row r="1246" customHeight="1" spans="1:13">
      <c r="A1246" s="21">
        <v>45627</v>
      </c>
      <c r="B1246" s="22" t="s">
        <v>5474</v>
      </c>
      <c r="C1246" s="23">
        <v>45638</v>
      </c>
      <c r="D1246" s="24">
        <v>91.23</v>
      </c>
      <c r="E1246" s="22" t="s">
        <v>149</v>
      </c>
      <c r="F1246" s="22" t="s">
        <v>5</v>
      </c>
      <c r="G1246" s="22" t="s">
        <v>4258</v>
      </c>
      <c r="H1246" s="22" t="s">
        <v>10</v>
      </c>
      <c r="I1246" s="22" t="s">
        <v>5</v>
      </c>
      <c r="J1246" s="22" t="s">
        <v>40</v>
      </c>
      <c r="K1246" s="22" t="s">
        <v>1023</v>
      </c>
      <c r="L1246" s="22" t="s">
        <v>4260</v>
      </c>
      <c r="M1246" s="25"/>
    </row>
    <row r="1247" customHeight="1" spans="1:13">
      <c r="A1247" s="21">
        <v>45627</v>
      </c>
      <c r="B1247" s="22" t="s">
        <v>5474</v>
      </c>
      <c r="C1247" s="23">
        <v>45638</v>
      </c>
      <c r="D1247" s="24">
        <v>91.23</v>
      </c>
      <c r="E1247" s="22" t="s">
        <v>149</v>
      </c>
      <c r="F1247" s="22" t="s">
        <v>5</v>
      </c>
      <c r="G1247" s="22" t="s">
        <v>4263</v>
      </c>
      <c r="H1247" s="22" t="s">
        <v>10</v>
      </c>
      <c r="I1247" s="22" t="s">
        <v>5</v>
      </c>
      <c r="J1247" s="22" t="s">
        <v>40</v>
      </c>
      <c r="K1247" s="22" t="s">
        <v>1023</v>
      </c>
      <c r="L1247" s="22" t="s">
        <v>4260</v>
      </c>
      <c r="M1247" s="25"/>
    </row>
    <row r="1248" customHeight="1" spans="1:13">
      <c r="A1248" s="21">
        <v>45627</v>
      </c>
      <c r="B1248" s="22" t="s">
        <v>5474</v>
      </c>
      <c r="C1248" s="23">
        <v>45638</v>
      </c>
      <c r="D1248" s="24">
        <v>142</v>
      </c>
      <c r="E1248" s="22" t="s">
        <v>149</v>
      </c>
      <c r="F1248" s="22" t="s">
        <v>5</v>
      </c>
      <c r="G1248" s="22" t="s">
        <v>4265</v>
      </c>
      <c r="H1248" s="22" t="s">
        <v>10</v>
      </c>
      <c r="I1248" s="22" t="s">
        <v>5</v>
      </c>
      <c r="J1248" s="22" t="s">
        <v>40</v>
      </c>
      <c r="K1248" s="22" t="s">
        <v>1023</v>
      </c>
      <c r="L1248" s="22" t="s">
        <v>4260</v>
      </c>
      <c r="M1248" s="25"/>
    </row>
    <row r="1249" customHeight="1" spans="1:13">
      <c r="A1249" s="21">
        <v>45627</v>
      </c>
      <c r="B1249" s="22" t="s">
        <v>5474</v>
      </c>
      <c r="C1249" s="23">
        <v>45639</v>
      </c>
      <c r="D1249" s="24">
        <v>91.23</v>
      </c>
      <c r="E1249" s="22" t="s">
        <v>149</v>
      </c>
      <c r="F1249" s="22" t="s">
        <v>5</v>
      </c>
      <c r="G1249" s="22" t="s">
        <v>4272</v>
      </c>
      <c r="H1249" s="22" t="s">
        <v>10</v>
      </c>
      <c r="I1249" s="22" t="s">
        <v>5</v>
      </c>
      <c r="J1249" s="22" t="s">
        <v>40</v>
      </c>
      <c r="K1249" s="22" t="s">
        <v>1023</v>
      </c>
      <c r="L1249" s="22" t="s">
        <v>4260</v>
      </c>
      <c r="M1249" s="25"/>
    </row>
    <row r="1250" customHeight="1" spans="1:13">
      <c r="A1250" s="21">
        <v>45627</v>
      </c>
      <c r="B1250" s="22" t="s">
        <v>5474</v>
      </c>
      <c r="C1250" s="23">
        <v>45639</v>
      </c>
      <c r="D1250" s="24">
        <v>91.23</v>
      </c>
      <c r="E1250" s="22" t="s">
        <v>149</v>
      </c>
      <c r="F1250" s="22" t="s">
        <v>5</v>
      </c>
      <c r="G1250" s="22" t="s">
        <v>4274</v>
      </c>
      <c r="H1250" s="22" t="s">
        <v>10</v>
      </c>
      <c r="I1250" s="22" t="s">
        <v>5</v>
      </c>
      <c r="J1250" s="22" t="s">
        <v>40</v>
      </c>
      <c r="K1250" s="22" t="s">
        <v>1023</v>
      </c>
      <c r="L1250" s="22" t="s">
        <v>4260</v>
      </c>
      <c r="M1250" s="25"/>
    </row>
    <row r="1251" customHeight="1" spans="1:13">
      <c r="A1251" s="21">
        <v>45627</v>
      </c>
      <c r="B1251" s="22" t="s">
        <v>5474</v>
      </c>
      <c r="C1251" s="23">
        <v>45639</v>
      </c>
      <c r="D1251" s="24">
        <v>91.23</v>
      </c>
      <c r="E1251" s="22" t="s">
        <v>149</v>
      </c>
      <c r="F1251" s="22" t="s">
        <v>5</v>
      </c>
      <c r="G1251" s="22" t="s">
        <v>4276</v>
      </c>
      <c r="H1251" s="22" t="s">
        <v>10</v>
      </c>
      <c r="I1251" s="22" t="s">
        <v>5</v>
      </c>
      <c r="J1251" s="22" t="s">
        <v>40</v>
      </c>
      <c r="K1251" s="22" t="s">
        <v>1023</v>
      </c>
      <c r="L1251" s="22" t="s">
        <v>4260</v>
      </c>
      <c r="M1251" s="25"/>
    </row>
    <row r="1252" customHeight="1" spans="1:13">
      <c r="A1252" s="21">
        <v>45627</v>
      </c>
      <c r="B1252" s="22" t="s">
        <v>5474</v>
      </c>
      <c r="C1252" s="23">
        <v>45639</v>
      </c>
      <c r="D1252" s="24">
        <v>91.23</v>
      </c>
      <c r="E1252" s="22" t="s">
        <v>149</v>
      </c>
      <c r="F1252" s="22" t="s">
        <v>5</v>
      </c>
      <c r="G1252" s="22" t="s">
        <v>4278</v>
      </c>
      <c r="H1252" s="22" t="s">
        <v>10</v>
      </c>
      <c r="I1252" s="22" t="s">
        <v>5</v>
      </c>
      <c r="J1252" s="22" t="s">
        <v>40</v>
      </c>
      <c r="K1252" s="22" t="s">
        <v>1023</v>
      </c>
      <c r="L1252" s="22" t="s">
        <v>4260</v>
      </c>
      <c r="M1252" s="25"/>
    </row>
    <row r="1253" customHeight="1" spans="1:13">
      <c r="A1253" s="21">
        <v>45627</v>
      </c>
      <c r="B1253" s="22" t="s">
        <v>5474</v>
      </c>
      <c r="C1253" s="23">
        <v>45639</v>
      </c>
      <c r="D1253" s="24">
        <v>91.23</v>
      </c>
      <c r="E1253" s="22" t="s">
        <v>149</v>
      </c>
      <c r="F1253" s="22" t="s">
        <v>5</v>
      </c>
      <c r="G1253" s="22" t="s">
        <v>4280</v>
      </c>
      <c r="H1253" s="22" t="s">
        <v>10</v>
      </c>
      <c r="I1253" s="22" t="s">
        <v>5</v>
      </c>
      <c r="J1253" s="22" t="s">
        <v>40</v>
      </c>
      <c r="K1253" s="22" t="s">
        <v>1023</v>
      </c>
      <c r="L1253" s="22" t="s">
        <v>4260</v>
      </c>
      <c r="M1253" s="25"/>
    </row>
    <row r="1254" customHeight="1" spans="1:13">
      <c r="A1254" s="21">
        <v>45627</v>
      </c>
      <c r="B1254" s="22" t="s">
        <v>5475</v>
      </c>
      <c r="C1254" s="23">
        <v>45642</v>
      </c>
      <c r="D1254" s="24">
        <v>91.55</v>
      </c>
      <c r="E1254" s="22" t="s">
        <v>149</v>
      </c>
      <c r="F1254" s="22" t="s">
        <v>5</v>
      </c>
      <c r="G1254" s="22" t="s">
        <v>4284</v>
      </c>
      <c r="H1254" s="22" t="s">
        <v>10</v>
      </c>
      <c r="I1254" s="22" t="s">
        <v>5</v>
      </c>
      <c r="J1254" s="22" t="s">
        <v>40</v>
      </c>
      <c r="K1254" s="22" t="s">
        <v>1023</v>
      </c>
      <c r="L1254" s="22" t="s">
        <v>4260</v>
      </c>
      <c r="M1254" s="25"/>
    </row>
    <row r="1255" customHeight="1" spans="1:13">
      <c r="A1255" s="21">
        <v>45627</v>
      </c>
      <c r="B1255" s="22" t="s">
        <v>5475</v>
      </c>
      <c r="C1255" s="23">
        <v>45642</v>
      </c>
      <c r="D1255" s="24">
        <v>87.08</v>
      </c>
      <c r="E1255" s="22" t="s">
        <v>149</v>
      </c>
      <c r="F1255" s="22" t="s">
        <v>5</v>
      </c>
      <c r="G1255" s="22" t="s">
        <v>4287</v>
      </c>
      <c r="H1255" s="22" t="s">
        <v>10</v>
      </c>
      <c r="I1255" s="22" t="s">
        <v>5</v>
      </c>
      <c r="J1255" s="22" t="s">
        <v>40</v>
      </c>
      <c r="K1255" s="22" t="s">
        <v>1023</v>
      </c>
      <c r="L1255" s="22" t="s">
        <v>4260</v>
      </c>
      <c r="M1255" s="25"/>
    </row>
    <row r="1256" customHeight="1" spans="1:13">
      <c r="A1256" s="21">
        <v>45627</v>
      </c>
      <c r="B1256" s="22" t="s">
        <v>5475</v>
      </c>
      <c r="C1256" s="23">
        <v>45642</v>
      </c>
      <c r="D1256" s="24">
        <v>90.47</v>
      </c>
      <c r="E1256" s="22" t="s">
        <v>149</v>
      </c>
      <c r="F1256" s="22" t="s">
        <v>5</v>
      </c>
      <c r="G1256" s="22" t="s">
        <v>4289</v>
      </c>
      <c r="H1256" s="22" t="s">
        <v>10</v>
      </c>
      <c r="I1256" s="22" t="s">
        <v>5</v>
      </c>
      <c r="J1256" s="22" t="s">
        <v>40</v>
      </c>
      <c r="K1256" s="22" t="s">
        <v>1023</v>
      </c>
      <c r="L1256" s="22" t="s">
        <v>4260</v>
      </c>
      <c r="M1256" s="25"/>
    </row>
    <row r="1257" customHeight="1" spans="1:13">
      <c r="A1257" s="21">
        <v>45627</v>
      </c>
      <c r="B1257" s="22" t="s">
        <v>5475</v>
      </c>
      <c r="C1257" s="23">
        <v>45642</v>
      </c>
      <c r="D1257" s="24">
        <v>91.55</v>
      </c>
      <c r="E1257" s="22" t="s">
        <v>149</v>
      </c>
      <c r="F1257" s="22" t="s">
        <v>5</v>
      </c>
      <c r="G1257" s="22" t="s">
        <v>4291</v>
      </c>
      <c r="H1257" s="22" t="s">
        <v>10</v>
      </c>
      <c r="I1257" s="22" t="s">
        <v>5</v>
      </c>
      <c r="J1257" s="22" t="s">
        <v>40</v>
      </c>
      <c r="K1257" s="22" t="s">
        <v>1023</v>
      </c>
      <c r="L1257" s="22" t="s">
        <v>4260</v>
      </c>
      <c r="M1257" s="25"/>
    </row>
    <row r="1258" customHeight="1" spans="1:13">
      <c r="A1258" s="21">
        <v>45627</v>
      </c>
      <c r="B1258" s="22" t="s">
        <v>5475</v>
      </c>
      <c r="C1258" s="23">
        <v>45642</v>
      </c>
      <c r="D1258" s="24">
        <v>91.23</v>
      </c>
      <c r="E1258" s="22" t="s">
        <v>149</v>
      </c>
      <c r="F1258" s="22" t="s">
        <v>5</v>
      </c>
      <c r="G1258" s="22" t="s">
        <v>4294</v>
      </c>
      <c r="H1258" s="22" t="s">
        <v>10</v>
      </c>
      <c r="I1258" s="22" t="s">
        <v>5</v>
      </c>
      <c r="J1258" s="22" t="s">
        <v>40</v>
      </c>
      <c r="K1258" s="22" t="s">
        <v>1023</v>
      </c>
      <c r="L1258" s="22" t="s">
        <v>4260</v>
      </c>
      <c r="M1258" s="25"/>
    </row>
    <row r="1259" customHeight="1" spans="1:13">
      <c r="A1259" s="21">
        <v>45627</v>
      </c>
      <c r="B1259" s="22" t="s">
        <v>5475</v>
      </c>
      <c r="C1259" s="23">
        <v>45642</v>
      </c>
      <c r="D1259" s="24">
        <v>91.23</v>
      </c>
      <c r="E1259" s="22" t="s">
        <v>149</v>
      </c>
      <c r="F1259" s="22" t="s">
        <v>5</v>
      </c>
      <c r="G1259" s="22" t="s">
        <v>4296</v>
      </c>
      <c r="H1259" s="22" t="s">
        <v>10</v>
      </c>
      <c r="I1259" s="22" t="s">
        <v>5</v>
      </c>
      <c r="J1259" s="22" t="s">
        <v>40</v>
      </c>
      <c r="K1259" s="22" t="s">
        <v>1023</v>
      </c>
      <c r="L1259" s="22" t="s">
        <v>4260</v>
      </c>
      <c r="M1259" s="25"/>
    </row>
    <row r="1260" customHeight="1" spans="1:13">
      <c r="A1260" s="21">
        <v>45627</v>
      </c>
      <c r="B1260" s="22" t="s">
        <v>5475</v>
      </c>
      <c r="C1260" s="23">
        <v>45642</v>
      </c>
      <c r="D1260" s="24">
        <v>43.13</v>
      </c>
      <c r="E1260" s="22" t="s">
        <v>149</v>
      </c>
      <c r="F1260" s="22" t="s">
        <v>5</v>
      </c>
      <c r="G1260" s="22" t="s">
        <v>4298</v>
      </c>
      <c r="H1260" s="22" t="s">
        <v>10</v>
      </c>
      <c r="I1260" s="22" t="s">
        <v>5</v>
      </c>
      <c r="J1260" s="22" t="s">
        <v>40</v>
      </c>
      <c r="K1260" s="22" t="s">
        <v>1023</v>
      </c>
      <c r="L1260" s="22" t="s">
        <v>4260</v>
      </c>
      <c r="M1260" s="25"/>
    </row>
    <row r="1261" customHeight="1" spans="1:13">
      <c r="A1261" s="21">
        <v>45627</v>
      </c>
      <c r="B1261" s="22" t="s">
        <v>5475</v>
      </c>
      <c r="C1261" s="23">
        <v>45642</v>
      </c>
      <c r="D1261" s="24">
        <v>54.93</v>
      </c>
      <c r="E1261" s="22" t="s">
        <v>149</v>
      </c>
      <c r="F1261" s="22" t="s">
        <v>5</v>
      </c>
      <c r="G1261" s="22" t="s">
        <v>4300</v>
      </c>
      <c r="H1261" s="22" t="s">
        <v>10</v>
      </c>
      <c r="I1261" s="22" t="s">
        <v>5</v>
      </c>
      <c r="J1261" s="22" t="s">
        <v>40</v>
      </c>
      <c r="K1261" s="22" t="s">
        <v>1023</v>
      </c>
      <c r="L1261" s="22" t="s">
        <v>4260</v>
      </c>
      <c r="M1261" s="25"/>
    </row>
    <row r="1262" customHeight="1" spans="1:13">
      <c r="A1262" s="21">
        <v>45627</v>
      </c>
      <c r="B1262" s="22" t="s">
        <v>5475</v>
      </c>
      <c r="C1262" s="23">
        <v>45642</v>
      </c>
      <c r="D1262" s="24">
        <v>44.63</v>
      </c>
      <c r="E1262" s="22" t="s">
        <v>149</v>
      </c>
      <c r="F1262" s="22" t="s">
        <v>5</v>
      </c>
      <c r="G1262" s="22" t="s">
        <v>4302</v>
      </c>
      <c r="H1262" s="22" t="s">
        <v>10</v>
      </c>
      <c r="I1262" s="22" t="s">
        <v>5</v>
      </c>
      <c r="J1262" s="22" t="s">
        <v>40</v>
      </c>
      <c r="K1262" s="22" t="s">
        <v>1023</v>
      </c>
      <c r="L1262" s="22" t="s">
        <v>4260</v>
      </c>
      <c r="M1262" s="25"/>
    </row>
    <row r="1263" customHeight="1" spans="1:13">
      <c r="A1263" s="21">
        <v>45627</v>
      </c>
      <c r="B1263" s="22" t="s">
        <v>5475</v>
      </c>
      <c r="C1263" s="23">
        <v>45643</v>
      </c>
      <c r="D1263" s="24">
        <v>0.56</v>
      </c>
      <c r="E1263" s="22" t="s">
        <v>149</v>
      </c>
      <c r="F1263" s="22" t="s">
        <v>5</v>
      </c>
      <c r="G1263" s="22" t="s">
        <v>4304</v>
      </c>
      <c r="H1263" s="22" t="s">
        <v>10</v>
      </c>
      <c r="I1263" s="22" t="s">
        <v>5</v>
      </c>
      <c r="J1263" s="22" t="s">
        <v>40</v>
      </c>
      <c r="K1263" s="22" t="s">
        <v>1023</v>
      </c>
      <c r="L1263" s="22" t="s">
        <v>4260</v>
      </c>
      <c r="M1263" s="25"/>
    </row>
    <row r="1264" customHeight="1" spans="1:13">
      <c r="A1264" s="21">
        <v>45627</v>
      </c>
      <c r="B1264" s="22" t="s">
        <v>5475</v>
      </c>
      <c r="C1264" s="23">
        <v>45643</v>
      </c>
      <c r="D1264" s="24">
        <v>94.41</v>
      </c>
      <c r="E1264" s="22" t="s">
        <v>149</v>
      </c>
      <c r="F1264" s="22" t="s">
        <v>5</v>
      </c>
      <c r="G1264" s="22" t="s">
        <v>4308</v>
      </c>
      <c r="H1264" s="22" t="s">
        <v>10</v>
      </c>
      <c r="I1264" s="22" t="s">
        <v>5</v>
      </c>
      <c r="J1264" s="22" t="s">
        <v>40</v>
      </c>
      <c r="K1264" s="22" t="s">
        <v>1023</v>
      </c>
      <c r="L1264" s="22" t="s">
        <v>4260</v>
      </c>
      <c r="M1264" s="25"/>
    </row>
    <row r="1265" customHeight="1" spans="1:13">
      <c r="A1265" s="21">
        <v>45627</v>
      </c>
      <c r="B1265" s="22" t="s">
        <v>5475</v>
      </c>
      <c r="C1265" s="23">
        <v>45643</v>
      </c>
      <c r="D1265" s="24">
        <v>90.99</v>
      </c>
      <c r="E1265" s="22" t="s">
        <v>149</v>
      </c>
      <c r="F1265" s="22" t="s">
        <v>5</v>
      </c>
      <c r="G1265" s="22" t="s">
        <v>4310</v>
      </c>
      <c r="H1265" s="22" t="s">
        <v>10</v>
      </c>
      <c r="I1265" s="22" t="s">
        <v>5</v>
      </c>
      <c r="J1265" s="22" t="s">
        <v>40</v>
      </c>
      <c r="K1265" s="22" t="s">
        <v>1023</v>
      </c>
      <c r="L1265" s="22" t="s">
        <v>4260</v>
      </c>
      <c r="M1265" s="25"/>
    </row>
    <row r="1266" customHeight="1" spans="1:13">
      <c r="A1266" s="21">
        <v>45627</v>
      </c>
      <c r="B1266" s="22" t="s">
        <v>5475</v>
      </c>
      <c r="C1266" s="23">
        <v>45646</v>
      </c>
      <c r="D1266" s="24">
        <v>250</v>
      </c>
      <c r="E1266" s="22" t="s">
        <v>139</v>
      </c>
      <c r="F1266" s="22" t="s">
        <v>5</v>
      </c>
      <c r="G1266" s="22" t="s">
        <v>4312</v>
      </c>
      <c r="H1266" s="22" t="s">
        <v>10</v>
      </c>
      <c r="I1266" s="22" t="s">
        <v>5</v>
      </c>
      <c r="J1266" s="22" t="s">
        <v>40</v>
      </c>
      <c r="K1266" s="22" t="s">
        <v>4314</v>
      </c>
      <c r="L1266" s="22" t="s">
        <v>1166</v>
      </c>
      <c r="M1266" s="25"/>
    </row>
    <row r="1267" customHeight="1" spans="1:13">
      <c r="A1267" s="21">
        <v>45658</v>
      </c>
      <c r="B1267" s="22" t="s">
        <v>5476</v>
      </c>
      <c r="C1267" s="23">
        <v>45660</v>
      </c>
      <c r="D1267" s="24">
        <v>3432</v>
      </c>
      <c r="E1267" s="22" t="s">
        <v>149</v>
      </c>
      <c r="F1267" s="22" t="s">
        <v>5</v>
      </c>
      <c r="G1267" s="22" t="s">
        <v>4316</v>
      </c>
      <c r="H1267" s="22" t="s">
        <v>10</v>
      </c>
      <c r="I1267" s="22" t="s">
        <v>5</v>
      </c>
      <c r="J1267" s="22" t="s">
        <v>40</v>
      </c>
      <c r="K1267" s="22" t="s">
        <v>4318</v>
      </c>
      <c r="L1267" s="22" t="s">
        <v>1553</v>
      </c>
      <c r="M1267" s="25"/>
    </row>
    <row r="1268" customHeight="1" spans="1:13">
      <c r="A1268" s="21">
        <v>45658</v>
      </c>
      <c r="B1268" s="22" t="s">
        <v>5476</v>
      </c>
      <c r="C1268" s="23">
        <v>45659</v>
      </c>
      <c r="D1268" s="24">
        <v>265380</v>
      </c>
      <c r="E1268" s="22" t="s">
        <v>1172</v>
      </c>
      <c r="F1268" s="22" t="s">
        <v>5</v>
      </c>
      <c r="G1268" s="22"/>
      <c r="H1268" s="22" t="s">
        <v>10</v>
      </c>
      <c r="I1268" s="22" t="s">
        <v>5</v>
      </c>
      <c r="J1268" s="22" t="s">
        <v>42</v>
      </c>
      <c r="K1268" s="22" t="s">
        <v>4324</v>
      </c>
      <c r="L1268" s="22" t="s">
        <v>4322</v>
      </c>
      <c r="M1268" s="25"/>
    </row>
    <row r="1269" customHeight="1" spans="1:13">
      <c r="A1269" s="21">
        <v>45658</v>
      </c>
      <c r="B1269" s="22" t="s">
        <v>5476</v>
      </c>
      <c r="C1269" s="23">
        <v>45660</v>
      </c>
      <c r="D1269" s="24">
        <v>100274.46</v>
      </c>
      <c r="E1269" s="22" t="s">
        <v>303</v>
      </c>
      <c r="F1269" s="22" t="s">
        <v>5</v>
      </c>
      <c r="G1269" s="22" t="s">
        <v>4325</v>
      </c>
      <c r="H1269" s="22" t="s">
        <v>10</v>
      </c>
      <c r="I1269" s="22" t="s">
        <v>5</v>
      </c>
      <c r="J1269" s="22" t="s">
        <v>40</v>
      </c>
      <c r="K1269" s="22" t="s">
        <v>4318</v>
      </c>
      <c r="L1269" s="22" t="s">
        <v>1553</v>
      </c>
      <c r="M1269" s="25"/>
    </row>
    <row r="1270" customHeight="1" spans="1:13">
      <c r="A1270" s="21">
        <v>45658</v>
      </c>
      <c r="B1270" s="22" t="s">
        <v>5476</v>
      </c>
      <c r="C1270" s="23">
        <v>45665</v>
      </c>
      <c r="D1270" s="24">
        <v>150</v>
      </c>
      <c r="E1270" s="22" t="s">
        <v>139</v>
      </c>
      <c r="F1270" s="22" t="s">
        <v>5</v>
      </c>
      <c r="G1270" s="22" t="s">
        <v>4331</v>
      </c>
      <c r="H1270" s="22" t="s">
        <v>10</v>
      </c>
      <c r="I1270" s="22" t="s">
        <v>5</v>
      </c>
      <c r="J1270" s="22" t="s">
        <v>40</v>
      </c>
      <c r="K1270" s="22" t="s">
        <v>4334</v>
      </c>
      <c r="L1270" s="22" t="s">
        <v>4332</v>
      </c>
      <c r="M1270" s="25"/>
    </row>
    <row r="1271" customHeight="1" spans="1:13">
      <c r="A1271" s="21">
        <v>45658</v>
      </c>
      <c r="B1271" s="22" t="s">
        <v>5476</v>
      </c>
      <c r="C1271" s="23">
        <v>45667</v>
      </c>
      <c r="D1271" s="24">
        <v>20</v>
      </c>
      <c r="E1271" s="22" t="s">
        <v>139</v>
      </c>
      <c r="F1271" s="22" t="s">
        <v>5</v>
      </c>
      <c r="G1271" s="22" t="s">
        <v>4335</v>
      </c>
      <c r="H1271" s="22" t="s">
        <v>10</v>
      </c>
      <c r="I1271" s="22" t="s">
        <v>5</v>
      </c>
      <c r="J1271" s="22" t="s">
        <v>40</v>
      </c>
      <c r="K1271" s="22" t="s">
        <v>4337</v>
      </c>
      <c r="L1271" s="22" t="s">
        <v>1432</v>
      </c>
      <c r="M1271" s="25"/>
    </row>
    <row r="1272" customHeight="1" spans="1:13">
      <c r="A1272" s="21">
        <v>45658</v>
      </c>
      <c r="B1272" s="22" t="s">
        <v>5476</v>
      </c>
      <c r="C1272" s="23">
        <v>45671</v>
      </c>
      <c r="D1272" s="24">
        <v>2540</v>
      </c>
      <c r="E1272" s="22" t="s">
        <v>173</v>
      </c>
      <c r="F1272" s="22" t="s">
        <v>5</v>
      </c>
      <c r="G1272" s="22" t="s">
        <v>4338</v>
      </c>
      <c r="H1272" s="22" t="s">
        <v>10</v>
      </c>
      <c r="I1272" s="22" t="s">
        <v>5</v>
      </c>
      <c r="J1272" s="22" t="s">
        <v>40</v>
      </c>
      <c r="K1272" s="22" t="s">
        <v>4342</v>
      </c>
      <c r="L1272" s="22" t="s">
        <v>4340</v>
      </c>
      <c r="M1272" s="25"/>
    </row>
    <row r="1273" customHeight="1" spans="1:13">
      <c r="A1273" s="21">
        <v>45658</v>
      </c>
      <c r="B1273" s="22" t="s">
        <v>5477</v>
      </c>
      <c r="C1273" s="23">
        <v>45674</v>
      </c>
      <c r="D1273" s="24">
        <v>53.04</v>
      </c>
      <c r="E1273" s="22" t="s">
        <v>139</v>
      </c>
      <c r="F1273" s="22" t="s">
        <v>5</v>
      </c>
      <c r="G1273" s="22" t="s">
        <v>5666</v>
      </c>
      <c r="H1273" s="22" t="s">
        <v>10</v>
      </c>
      <c r="I1273" s="22" t="s">
        <v>5</v>
      </c>
      <c r="J1273" s="22" t="s">
        <v>40</v>
      </c>
      <c r="K1273" s="22" t="s">
        <v>4346</v>
      </c>
      <c r="L1273" s="22" t="s">
        <v>2257</v>
      </c>
      <c r="M1273" s="25"/>
    </row>
    <row r="1274" customHeight="1" spans="1:13">
      <c r="A1274" s="21">
        <v>45658</v>
      </c>
      <c r="B1274" s="22" t="s">
        <v>5477</v>
      </c>
      <c r="C1274" s="23">
        <v>45674</v>
      </c>
      <c r="D1274" s="24">
        <v>108</v>
      </c>
      <c r="E1274" s="22" t="s">
        <v>139</v>
      </c>
      <c r="F1274" s="22" t="s">
        <v>5</v>
      </c>
      <c r="G1274" s="22" t="s">
        <v>4348</v>
      </c>
      <c r="H1274" s="22" t="s">
        <v>10</v>
      </c>
      <c r="I1274" s="22" t="s">
        <v>5</v>
      </c>
      <c r="J1274" s="22" t="s">
        <v>40</v>
      </c>
      <c r="K1274" s="22" t="s">
        <v>4346</v>
      </c>
      <c r="L1274" s="22" t="s">
        <v>2257</v>
      </c>
      <c r="M1274" s="25"/>
    </row>
    <row r="1275" customHeight="1" spans="1:13">
      <c r="A1275" s="21">
        <v>45658</v>
      </c>
      <c r="B1275" s="22" t="s">
        <v>5477</v>
      </c>
      <c r="C1275" s="23">
        <v>45684</v>
      </c>
      <c r="D1275" s="24">
        <v>20000</v>
      </c>
      <c r="E1275" s="22" t="s">
        <v>173</v>
      </c>
      <c r="F1275" s="22" t="s">
        <v>5</v>
      </c>
      <c r="G1275" s="22" t="s">
        <v>4350</v>
      </c>
      <c r="H1275" s="22" t="s">
        <v>11</v>
      </c>
      <c r="I1275" s="22" t="s">
        <v>5</v>
      </c>
      <c r="J1275" s="22" t="s">
        <v>39</v>
      </c>
      <c r="K1275" s="22" t="s">
        <v>4354</v>
      </c>
      <c r="L1275" s="22" t="s">
        <v>4352</v>
      </c>
      <c r="M1275" s="25"/>
    </row>
    <row r="1276" customHeight="1" spans="1:13">
      <c r="A1276" s="21">
        <v>45689</v>
      </c>
      <c r="B1276" s="22" t="s">
        <v>5478</v>
      </c>
      <c r="C1276" s="23">
        <v>45694</v>
      </c>
      <c r="D1276" s="24">
        <v>940.99</v>
      </c>
      <c r="E1276" s="22" t="s">
        <v>139</v>
      </c>
      <c r="F1276" s="22" t="s">
        <v>5</v>
      </c>
      <c r="G1276" s="22" t="s">
        <v>5667</v>
      </c>
      <c r="H1276" s="22" t="s">
        <v>10</v>
      </c>
      <c r="I1276" s="22" t="s">
        <v>5</v>
      </c>
      <c r="J1276" s="22" t="s">
        <v>40</v>
      </c>
      <c r="K1276" s="22" t="s">
        <v>4346</v>
      </c>
      <c r="L1276" s="22" t="s">
        <v>2257</v>
      </c>
      <c r="M1276" s="25"/>
    </row>
    <row r="1277" customHeight="1" spans="1:13">
      <c r="A1277" s="21">
        <v>45689</v>
      </c>
      <c r="B1277" s="22" t="s">
        <v>5478</v>
      </c>
      <c r="C1277" s="23">
        <v>45700</v>
      </c>
      <c r="D1277" s="24">
        <v>1500</v>
      </c>
      <c r="E1277" s="22" t="s">
        <v>139</v>
      </c>
      <c r="F1277" s="22" t="s">
        <v>5</v>
      </c>
      <c r="G1277" s="22" t="s">
        <v>4361</v>
      </c>
      <c r="H1277" s="22" t="s">
        <v>10</v>
      </c>
      <c r="I1277" s="22" t="s">
        <v>5</v>
      </c>
      <c r="J1277" s="22" t="s">
        <v>40</v>
      </c>
      <c r="K1277" s="22" t="s">
        <v>4363</v>
      </c>
      <c r="L1277" s="22" t="s">
        <v>4332</v>
      </c>
      <c r="M1277" s="25"/>
    </row>
    <row r="1278" customHeight="1" spans="1:13">
      <c r="A1278" s="21">
        <v>45689</v>
      </c>
      <c r="B1278" s="22" t="s">
        <v>5478</v>
      </c>
      <c r="C1278" s="23">
        <v>45702</v>
      </c>
      <c r="D1278" s="24">
        <v>370</v>
      </c>
      <c r="E1278" s="22" t="s">
        <v>149</v>
      </c>
      <c r="F1278" s="22" t="s">
        <v>5</v>
      </c>
      <c r="G1278" s="22" t="s">
        <v>4366</v>
      </c>
      <c r="H1278" s="22" t="s">
        <v>10</v>
      </c>
      <c r="I1278" s="22" t="s">
        <v>5</v>
      </c>
      <c r="J1278" s="22" t="s">
        <v>40</v>
      </c>
      <c r="K1278" s="22" t="s">
        <v>4368</v>
      </c>
      <c r="L1278" s="22" t="s">
        <v>4251</v>
      </c>
      <c r="M1278" s="25"/>
    </row>
    <row r="1279" customHeight="1" spans="1:13">
      <c r="A1279" s="21">
        <v>45689</v>
      </c>
      <c r="B1279" s="22" t="s">
        <v>5479</v>
      </c>
      <c r="C1279" s="23">
        <v>45705</v>
      </c>
      <c r="D1279" s="24">
        <v>100</v>
      </c>
      <c r="E1279" s="22" t="s">
        <v>139</v>
      </c>
      <c r="F1279" s="22" t="s">
        <v>5</v>
      </c>
      <c r="G1279" s="22" t="s">
        <v>4369</v>
      </c>
      <c r="H1279" s="22" t="s">
        <v>10</v>
      </c>
      <c r="I1279" s="22" t="s">
        <v>5</v>
      </c>
      <c r="J1279" s="22" t="s">
        <v>40</v>
      </c>
      <c r="K1279" s="22" t="s">
        <v>4371</v>
      </c>
      <c r="L1279" s="22" t="s">
        <v>1155</v>
      </c>
      <c r="M1279" s="25"/>
    </row>
    <row r="1280" customHeight="1" spans="1:13">
      <c r="A1280" s="21">
        <v>45689</v>
      </c>
      <c r="B1280" s="22" t="s">
        <v>5479</v>
      </c>
      <c r="C1280" s="23">
        <v>45706</v>
      </c>
      <c r="D1280" s="24">
        <v>16800</v>
      </c>
      <c r="E1280" s="22" t="s">
        <v>303</v>
      </c>
      <c r="F1280" s="22" t="s">
        <v>5</v>
      </c>
      <c r="G1280" s="22" t="s">
        <v>4373</v>
      </c>
      <c r="H1280" s="22" t="s">
        <v>10</v>
      </c>
      <c r="I1280" s="22" t="s">
        <v>5</v>
      </c>
      <c r="J1280" s="22" t="s">
        <v>40</v>
      </c>
      <c r="K1280" s="22" t="s">
        <v>4378</v>
      </c>
      <c r="L1280" s="22" t="s">
        <v>4375</v>
      </c>
      <c r="M1280" s="25"/>
    </row>
    <row r="1281" customHeight="1" spans="1:13">
      <c r="A1281" s="21">
        <v>45689</v>
      </c>
      <c r="B1281" s="22" t="s">
        <v>5479</v>
      </c>
      <c r="C1281" s="23">
        <v>45708</v>
      </c>
      <c r="D1281" s="24">
        <v>28.72</v>
      </c>
      <c r="E1281" s="22" t="s">
        <v>149</v>
      </c>
      <c r="F1281" s="22" t="s">
        <v>5</v>
      </c>
      <c r="G1281" s="22" t="s">
        <v>4379</v>
      </c>
      <c r="H1281" s="22" t="s">
        <v>10</v>
      </c>
      <c r="I1281" s="22" t="s">
        <v>5</v>
      </c>
      <c r="J1281" s="22" t="s">
        <v>40</v>
      </c>
      <c r="K1281" s="22" t="s">
        <v>1023</v>
      </c>
      <c r="L1281" s="22" t="s">
        <v>4381</v>
      </c>
      <c r="M1281" s="25"/>
    </row>
    <row r="1282" customHeight="1" spans="1:13">
      <c r="A1282" s="21">
        <v>45689</v>
      </c>
      <c r="B1282" s="22" t="s">
        <v>5479</v>
      </c>
      <c r="C1282" s="23">
        <v>45709</v>
      </c>
      <c r="D1282" s="24">
        <v>629.1</v>
      </c>
      <c r="E1282" s="22" t="s">
        <v>149</v>
      </c>
      <c r="F1282" s="22" t="s">
        <v>5</v>
      </c>
      <c r="G1282" s="22" t="s">
        <v>4385</v>
      </c>
      <c r="H1282" s="22" t="s">
        <v>10</v>
      </c>
      <c r="I1282" s="22" t="s">
        <v>5</v>
      </c>
      <c r="J1282" s="22" t="s">
        <v>40</v>
      </c>
      <c r="K1282" s="22" t="s">
        <v>4387</v>
      </c>
      <c r="L1282" s="22" t="s">
        <v>4251</v>
      </c>
      <c r="M1282" s="25"/>
    </row>
    <row r="1283" customHeight="1" spans="1:13">
      <c r="A1283" s="21">
        <v>45689</v>
      </c>
      <c r="B1283" s="22" t="s">
        <v>5479</v>
      </c>
      <c r="C1283" s="23">
        <v>45709</v>
      </c>
      <c r="D1283" s="24">
        <v>629.1</v>
      </c>
      <c r="E1283" s="22" t="s">
        <v>149</v>
      </c>
      <c r="F1283" s="22" t="s">
        <v>5</v>
      </c>
      <c r="G1283" s="22" t="s">
        <v>4389</v>
      </c>
      <c r="H1283" s="22" t="s">
        <v>10</v>
      </c>
      <c r="I1283" s="22" t="s">
        <v>5</v>
      </c>
      <c r="J1283" s="22" t="s">
        <v>40</v>
      </c>
      <c r="K1283" s="22" t="s">
        <v>4387</v>
      </c>
      <c r="L1283" s="22" t="s">
        <v>4251</v>
      </c>
      <c r="M1283" s="25"/>
    </row>
    <row r="1284" customHeight="1" spans="1:13">
      <c r="A1284" s="21">
        <v>45689</v>
      </c>
      <c r="B1284" s="22" t="s">
        <v>5479</v>
      </c>
      <c r="C1284" s="23">
        <v>45709</v>
      </c>
      <c r="D1284" s="24">
        <v>27.81</v>
      </c>
      <c r="E1284" s="22" t="s">
        <v>149</v>
      </c>
      <c r="F1284" s="22" t="s">
        <v>5</v>
      </c>
      <c r="G1284" s="22" t="s">
        <v>4392</v>
      </c>
      <c r="H1284" s="22" t="s">
        <v>10</v>
      </c>
      <c r="I1284" s="22" t="s">
        <v>5</v>
      </c>
      <c r="J1284" s="22" t="s">
        <v>40</v>
      </c>
      <c r="K1284" s="22" t="s">
        <v>4387</v>
      </c>
      <c r="L1284" s="22" t="s">
        <v>4251</v>
      </c>
      <c r="M1284" s="25"/>
    </row>
    <row r="1285" customHeight="1" spans="1:13">
      <c r="A1285" s="21">
        <v>45689</v>
      </c>
      <c r="B1285" s="22" t="s">
        <v>5479</v>
      </c>
      <c r="C1285" s="23">
        <v>45709</v>
      </c>
      <c r="D1285" s="24">
        <v>80</v>
      </c>
      <c r="E1285" s="22" t="s">
        <v>139</v>
      </c>
      <c r="F1285" s="22" t="s">
        <v>5</v>
      </c>
      <c r="G1285" s="22" t="s">
        <v>4397</v>
      </c>
      <c r="H1285" s="22" t="s">
        <v>10</v>
      </c>
      <c r="I1285" s="22" t="s">
        <v>5</v>
      </c>
      <c r="J1285" s="22" t="s">
        <v>40</v>
      </c>
      <c r="K1285" s="22" t="s">
        <v>4387</v>
      </c>
      <c r="L1285" s="22" t="s">
        <v>4251</v>
      </c>
      <c r="M1285" s="25"/>
    </row>
    <row r="1286" customHeight="1" spans="1:13">
      <c r="A1286" s="21">
        <v>45689</v>
      </c>
      <c r="B1286" s="22" t="s">
        <v>5479</v>
      </c>
      <c r="C1286" s="23">
        <v>45713</v>
      </c>
      <c r="D1286" s="24">
        <v>110</v>
      </c>
      <c r="E1286" s="22" t="s">
        <v>149</v>
      </c>
      <c r="F1286" s="22" t="s">
        <v>5</v>
      </c>
      <c r="G1286" s="22" t="s">
        <v>4403</v>
      </c>
      <c r="H1286" s="22" t="s">
        <v>10</v>
      </c>
      <c r="I1286" s="22" t="s">
        <v>5</v>
      </c>
      <c r="J1286" s="22" t="s">
        <v>40</v>
      </c>
      <c r="K1286" s="22" t="s">
        <v>4405</v>
      </c>
      <c r="L1286" s="22" t="s">
        <v>4251</v>
      </c>
      <c r="M1286" s="25"/>
    </row>
    <row r="1287" customHeight="1" spans="1:13">
      <c r="A1287" s="21">
        <v>45689</v>
      </c>
      <c r="B1287" s="22" t="s">
        <v>5479</v>
      </c>
      <c r="C1287" s="23">
        <v>45714</v>
      </c>
      <c r="D1287" s="24">
        <v>65</v>
      </c>
      <c r="E1287" s="22" t="s">
        <v>149</v>
      </c>
      <c r="F1287" s="22" t="s">
        <v>5</v>
      </c>
      <c r="G1287" s="22" t="s">
        <v>4407</v>
      </c>
      <c r="H1287" s="22" t="s">
        <v>10</v>
      </c>
      <c r="I1287" s="22" t="s">
        <v>5</v>
      </c>
      <c r="J1287" s="22" t="s">
        <v>40</v>
      </c>
      <c r="K1287" s="22" t="s">
        <v>1016</v>
      </c>
      <c r="L1287" s="22" t="s">
        <v>4409</v>
      </c>
      <c r="M1287" s="25"/>
    </row>
    <row r="1288" customHeight="1" spans="1:13">
      <c r="A1288" s="21">
        <v>45717</v>
      </c>
      <c r="B1288" s="22" t="s">
        <v>5480</v>
      </c>
      <c r="C1288" s="23">
        <v>45720</v>
      </c>
      <c r="D1288" s="24">
        <v>9692.5</v>
      </c>
      <c r="E1288" s="22" t="s">
        <v>303</v>
      </c>
      <c r="F1288" s="22" t="s">
        <v>5</v>
      </c>
      <c r="G1288" s="22" t="s">
        <v>4412</v>
      </c>
      <c r="H1288" s="22" t="s">
        <v>10</v>
      </c>
      <c r="I1288" s="22" t="s">
        <v>5</v>
      </c>
      <c r="J1288" s="22" t="s">
        <v>40</v>
      </c>
      <c r="K1288" s="22" t="s">
        <v>4414</v>
      </c>
      <c r="L1288" s="22" t="s">
        <v>4375</v>
      </c>
      <c r="M1288" s="25"/>
    </row>
    <row r="1289" customHeight="1" spans="1:13">
      <c r="A1289" s="21">
        <v>45717</v>
      </c>
      <c r="B1289" s="22" t="s">
        <v>5480</v>
      </c>
      <c r="C1289" s="23">
        <v>45728</v>
      </c>
      <c r="D1289" s="24">
        <v>760</v>
      </c>
      <c r="E1289" s="22" t="s">
        <v>149</v>
      </c>
      <c r="F1289" s="22" t="s">
        <v>5</v>
      </c>
      <c r="G1289" s="22" t="s">
        <v>4415</v>
      </c>
      <c r="H1289" s="22" t="s">
        <v>10</v>
      </c>
      <c r="I1289" s="22" t="s">
        <v>5</v>
      </c>
      <c r="J1289" s="22" t="s">
        <v>40</v>
      </c>
      <c r="K1289" s="22" t="s">
        <v>4419</v>
      </c>
      <c r="L1289" s="22" t="s">
        <v>4417</v>
      </c>
      <c r="M1289" s="25"/>
    </row>
    <row r="1290" customHeight="1" spans="1:13">
      <c r="A1290" s="21">
        <v>45717</v>
      </c>
      <c r="B1290" s="22" t="s">
        <v>5480</v>
      </c>
      <c r="C1290" s="23">
        <v>45728</v>
      </c>
      <c r="D1290" s="24">
        <v>260</v>
      </c>
      <c r="E1290" s="22" t="s">
        <v>149</v>
      </c>
      <c r="F1290" s="22" t="s">
        <v>5</v>
      </c>
      <c r="G1290" s="22" t="s">
        <v>4421</v>
      </c>
      <c r="H1290" s="22" t="s">
        <v>10</v>
      </c>
      <c r="I1290" s="22" t="s">
        <v>5</v>
      </c>
      <c r="J1290" s="22" t="s">
        <v>40</v>
      </c>
      <c r="K1290" s="22" t="s">
        <v>4419</v>
      </c>
      <c r="L1290" s="22" t="s">
        <v>4417</v>
      </c>
      <c r="M1290" s="25"/>
    </row>
    <row r="1291" customHeight="1" spans="1:13">
      <c r="A1291" s="21">
        <v>45717</v>
      </c>
      <c r="B1291" s="22" t="s">
        <v>5480</v>
      </c>
      <c r="C1291" s="23">
        <v>45728</v>
      </c>
      <c r="D1291" s="24">
        <v>750</v>
      </c>
      <c r="E1291" s="22" t="s">
        <v>149</v>
      </c>
      <c r="F1291" s="22" t="s">
        <v>5</v>
      </c>
      <c r="G1291" s="22" t="s">
        <v>4423</v>
      </c>
      <c r="H1291" s="22" t="s">
        <v>10</v>
      </c>
      <c r="I1291" s="22" t="s">
        <v>5</v>
      </c>
      <c r="J1291" s="22" t="s">
        <v>40</v>
      </c>
      <c r="K1291" s="22" t="s">
        <v>4419</v>
      </c>
      <c r="L1291" s="22" t="s">
        <v>4417</v>
      </c>
      <c r="M1291" s="25"/>
    </row>
    <row r="1292" customHeight="1" spans="1:13">
      <c r="A1292" s="21">
        <v>45717</v>
      </c>
      <c r="B1292" s="22" t="s">
        <v>5481</v>
      </c>
      <c r="C1292" s="23">
        <v>45735</v>
      </c>
      <c r="D1292" s="24">
        <v>280</v>
      </c>
      <c r="E1292" s="22" t="s">
        <v>139</v>
      </c>
      <c r="F1292" s="22" t="s">
        <v>5</v>
      </c>
      <c r="G1292" s="22" t="s">
        <v>4425</v>
      </c>
      <c r="H1292" s="22" t="s">
        <v>10</v>
      </c>
      <c r="I1292" s="22" t="s">
        <v>5</v>
      </c>
      <c r="J1292" s="22" t="s">
        <v>40</v>
      </c>
      <c r="K1292" s="24">
        <v>0</v>
      </c>
      <c r="L1292" s="26" t="e">
        <v>#N/A</v>
      </c>
      <c r="M1292" s="25"/>
    </row>
    <row r="1293" customHeight="1" spans="1:13">
      <c r="A1293" s="21">
        <v>45717</v>
      </c>
      <c r="B1293" s="22" t="s">
        <v>5481</v>
      </c>
      <c r="C1293" s="23">
        <v>45734</v>
      </c>
      <c r="D1293" s="24">
        <v>566</v>
      </c>
      <c r="E1293" s="22" t="s">
        <v>139</v>
      </c>
      <c r="F1293" s="22" t="s">
        <v>5</v>
      </c>
      <c r="G1293" s="22" t="s">
        <v>4428</v>
      </c>
      <c r="H1293" s="22" t="s">
        <v>10</v>
      </c>
      <c r="I1293" s="22" t="s">
        <v>5</v>
      </c>
      <c r="J1293" s="22" t="s">
        <v>40</v>
      </c>
      <c r="K1293" s="22" t="s">
        <v>4430</v>
      </c>
      <c r="L1293" s="22" t="s">
        <v>4332</v>
      </c>
      <c r="M1293" s="25"/>
    </row>
    <row r="1294" customHeight="1" spans="1:13">
      <c r="A1294" s="21">
        <v>45717</v>
      </c>
      <c r="B1294" s="22" t="s">
        <v>5481</v>
      </c>
      <c r="C1294" s="23">
        <v>45734</v>
      </c>
      <c r="D1294" s="24">
        <v>318</v>
      </c>
      <c r="E1294" s="22" t="s">
        <v>139</v>
      </c>
      <c r="F1294" s="22" t="s">
        <v>5</v>
      </c>
      <c r="G1294" s="22" t="s">
        <v>4432</v>
      </c>
      <c r="H1294" s="22" t="s">
        <v>10</v>
      </c>
      <c r="I1294" s="22" t="s">
        <v>5</v>
      </c>
      <c r="J1294" s="22" t="s">
        <v>40</v>
      </c>
      <c r="K1294" s="22" t="s">
        <v>4430</v>
      </c>
      <c r="L1294" s="22" t="s">
        <v>4332</v>
      </c>
      <c r="M1294" s="25"/>
    </row>
    <row r="1295" customHeight="1" spans="1:13">
      <c r="A1295" s="21">
        <v>45717</v>
      </c>
      <c r="B1295" s="22" t="s">
        <v>5481</v>
      </c>
      <c r="C1295" s="23">
        <v>45734</v>
      </c>
      <c r="D1295" s="24">
        <v>300</v>
      </c>
      <c r="E1295" s="22" t="s">
        <v>139</v>
      </c>
      <c r="F1295" s="22" t="s">
        <v>5</v>
      </c>
      <c r="G1295" s="22" t="s">
        <v>4434</v>
      </c>
      <c r="H1295" s="22" t="s">
        <v>10</v>
      </c>
      <c r="I1295" s="22" t="s">
        <v>5</v>
      </c>
      <c r="J1295" s="22" t="s">
        <v>40</v>
      </c>
      <c r="K1295" s="22" t="s">
        <v>4430</v>
      </c>
      <c r="L1295" s="22" t="s">
        <v>4332</v>
      </c>
      <c r="M1295" s="25"/>
    </row>
    <row r="1296" customHeight="1" spans="1:13">
      <c r="A1296" s="21">
        <v>45717</v>
      </c>
      <c r="B1296" s="22" t="s">
        <v>5481</v>
      </c>
      <c r="C1296" s="23">
        <v>45734</v>
      </c>
      <c r="D1296" s="24">
        <v>510</v>
      </c>
      <c r="E1296" s="22" t="s">
        <v>139</v>
      </c>
      <c r="F1296" s="22" t="s">
        <v>5</v>
      </c>
      <c r="G1296" s="22" t="s">
        <v>4436</v>
      </c>
      <c r="H1296" s="22" t="s">
        <v>10</v>
      </c>
      <c r="I1296" s="22" t="s">
        <v>5</v>
      </c>
      <c r="J1296" s="22" t="s">
        <v>40</v>
      </c>
      <c r="K1296" s="22" t="s">
        <v>4430</v>
      </c>
      <c r="L1296" s="22" t="s">
        <v>4332</v>
      </c>
      <c r="M1296" s="25"/>
    </row>
    <row r="1297" customHeight="1" spans="1:13">
      <c r="A1297" s="21">
        <v>45717</v>
      </c>
      <c r="B1297" s="22" t="s">
        <v>5481</v>
      </c>
      <c r="C1297" s="23">
        <v>45734</v>
      </c>
      <c r="D1297" s="24">
        <v>400</v>
      </c>
      <c r="E1297" s="22" t="s">
        <v>139</v>
      </c>
      <c r="F1297" s="22" t="s">
        <v>5</v>
      </c>
      <c r="G1297" s="22" t="s">
        <v>4438</v>
      </c>
      <c r="H1297" s="22" t="s">
        <v>10</v>
      </c>
      <c r="I1297" s="22" t="s">
        <v>5</v>
      </c>
      <c r="J1297" s="22" t="s">
        <v>40</v>
      </c>
      <c r="K1297" s="22" t="s">
        <v>4430</v>
      </c>
      <c r="L1297" s="22" t="s">
        <v>4332</v>
      </c>
      <c r="M1297" s="25"/>
    </row>
    <row r="1298" customHeight="1" spans="1:13">
      <c r="A1298" s="21">
        <v>45717</v>
      </c>
      <c r="B1298" s="22" t="s">
        <v>5481</v>
      </c>
      <c r="C1298" s="23">
        <v>45734</v>
      </c>
      <c r="D1298" s="24">
        <v>452</v>
      </c>
      <c r="E1298" s="22" t="s">
        <v>139</v>
      </c>
      <c r="F1298" s="22" t="s">
        <v>5</v>
      </c>
      <c r="G1298" s="22" t="s">
        <v>4440</v>
      </c>
      <c r="H1298" s="22" t="s">
        <v>10</v>
      </c>
      <c r="I1298" s="22" t="s">
        <v>5</v>
      </c>
      <c r="J1298" s="22" t="s">
        <v>40</v>
      </c>
      <c r="K1298" s="22" t="s">
        <v>4430</v>
      </c>
      <c r="L1298" s="22" t="s">
        <v>4332</v>
      </c>
      <c r="M1298" s="25"/>
    </row>
    <row r="1299" customHeight="1" spans="1:13">
      <c r="A1299" s="21">
        <v>45717</v>
      </c>
      <c r="B1299" s="22" t="s">
        <v>5481</v>
      </c>
      <c r="C1299" s="23">
        <v>45734</v>
      </c>
      <c r="D1299" s="24">
        <v>215</v>
      </c>
      <c r="E1299" s="22" t="s">
        <v>139</v>
      </c>
      <c r="F1299" s="22" t="s">
        <v>5</v>
      </c>
      <c r="G1299" s="22" t="s">
        <v>4442</v>
      </c>
      <c r="H1299" s="22" t="s">
        <v>10</v>
      </c>
      <c r="I1299" s="22" t="s">
        <v>5</v>
      </c>
      <c r="J1299" s="22" t="s">
        <v>40</v>
      </c>
      <c r="K1299" s="22" t="s">
        <v>4430</v>
      </c>
      <c r="L1299" s="22" t="s">
        <v>4332</v>
      </c>
      <c r="M1299" s="25"/>
    </row>
    <row r="1300" customHeight="1" spans="1:13">
      <c r="A1300" s="21">
        <v>45717</v>
      </c>
      <c r="B1300" s="22" t="s">
        <v>5481</v>
      </c>
      <c r="C1300" s="23">
        <v>45742</v>
      </c>
      <c r="D1300" s="24">
        <v>68.02</v>
      </c>
      <c r="E1300" s="22" t="s">
        <v>149</v>
      </c>
      <c r="F1300" s="22" t="s">
        <v>5</v>
      </c>
      <c r="G1300" s="22" t="s">
        <v>4444</v>
      </c>
      <c r="H1300" s="22" t="s">
        <v>10</v>
      </c>
      <c r="I1300" s="22" t="s">
        <v>5</v>
      </c>
      <c r="J1300" s="22" t="s">
        <v>40</v>
      </c>
      <c r="K1300" s="22" t="s">
        <v>4446</v>
      </c>
      <c r="L1300" s="22" t="s">
        <v>1230</v>
      </c>
      <c r="M1300" s="25"/>
    </row>
    <row r="1301" customHeight="1" spans="1:13">
      <c r="A1301" s="21">
        <v>45717</v>
      </c>
      <c r="B1301" s="22" t="s">
        <v>5481</v>
      </c>
      <c r="C1301" s="23">
        <v>45743</v>
      </c>
      <c r="D1301" s="27">
        <v>5200</v>
      </c>
      <c r="E1301" s="22" t="s">
        <v>173</v>
      </c>
      <c r="F1301" s="22" t="s">
        <v>5</v>
      </c>
      <c r="G1301" s="22" t="s">
        <v>5668</v>
      </c>
      <c r="H1301" s="22" t="s">
        <v>12</v>
      </c>
      <c r="I1301" s="22" t="s">
        <v>5</v>
      </c>
      <c r="J1301" s="22" t="s">
        <v>39</v>
      </c>
      <c r="K1301" s="22" t="s">
        <v>4450</v>
      </c>
      <c r="L1301" s="22" t="s">
        <v>1160</v>
      </c>
      <c r="M1301" s="25"/>
    </row>
    <row r="1302" customHeight="1" spans="1:13">
      <c r="A1302" s="21">
        <v>45717</v>
      </c>
      <c r="B1302" s="22" t="s">
        <v>5481</v>
      </c>
      <c r="C1302" s="23">
        <v>45743</v>
      </c>
      <c r="D1302" s="27">
        <v>19800</v>
      </c>
      <c r="E1302" s="22" t="s">
        <v>173</v>
      </c>
      <c r="F1302" s="22" t="s">
        <v>5</v>
      </c>
      <c r="G1302" s="22" t="s">
        <v>5669</v>
      </c>
      <c r="H1302" s="22" t="s">
        <v>12</v>
      </c>
      <c r="I1302" s="22" t="s">
        <v>5</v>
      </c>
      <c r="J1302" s="22" t="s">
        <v>39</v>
      </c>
      <c r="K1302" s="22" t="s">
        <v>4450</v>
      </c>
      <c r="L1302" s="22" t="s">
        <v>1160</v>
      </c>
      <c r="M1302" s="25"/>
    </row>
    <row r="1303" customHeight="1" spans="1:13">
      <c r="A1303" s="21">
        <v>45748</v>
      </c>
      <c r="B1303" s="22" t="s">
        <v>5482</v>
      </c>
      <c r="C1303" s="23">
        <v>45751</v>
      </c>
      <c r="D1303" s="24">
        <v>139</v>
      </c>
      <c r="E1303" s="22" t="s">
        <v>149</v>
      </c>
      <c r="F1303" s="22" t="s">
        <v>5</v>
      </c>
      <c r="G1303" s="22" t="s">
        <v>4453</v>
      </c>
      <c r="H1303" s="22" t="s">
        <v>10</v>
      </c>
      <c r="I1303" s="22" t="s">
        <v>5</v>
      </c>
      <c r="J1303" s="22" t="s">
        <v>40</v>
      </c>
      <c r="K1303" s="22" t="s">
        <v>4455</v>
      </c>
      <c r="L1303" s="22" t="s">
        <v>4417</v>
      </c>
      <c r="M1303" s="25"/>
    </row>
    <row r="1304" customHeight="1" spans="1:13">
      <c r="A1304" s="21">
        <v>45748</v>
      </c>
      <c r="B1304" s="22" t="s">
        <v>5483</v>
      </c>
      <c r="C1304" s="23">
        <v>45770</v>
      </c>
      <c r="D1304" s="27">
        <v>4110</v>
      </c>
      <c r="E1304" s="22" t="s">
        <v>149</v>
      </c>
      <c r="F1304" s="22" t="s">
        <v>5</v>
      </c>
      <c r="G1304" s="22" t="s">
        <v>4456</v>
      </c>
      <c r="H1304" s="22" t="s">
        <v>11</v>
      </c>
      <c r="I1304" s="22" t="s">
        <v>5</v>
      </c>
      <c r="J1304" s="22" t="s">
        <v>40</v>
      </c>
      <c r="K1304" s="22" t="s">
        <v>4460</v>
      </c>
      <c r="L1304" s="22" t="s">
        <v>4458</v>
      </c>
      <c r="M1304" s="25"/>
    </row>
    <row r="1305" customHeight="1" spans="1:13">
      <c r="A1305" s="21">
        <v>45778</v>
      </c>
      <c r="B1305" s="22" t="s">
        <v>5484</v>
      </c>
      <c r="C1305" s="23">
        <v>45782</v>
      </c>
      <c r="D1305" s="24">
        <v>170</v>
      </c>
      <c r="E1305" s="22" t="s">
        <v>149</v>
      </c>
      <c r="F1305" s="22" t="s">
        <v>5</v>
      </c>
      <c r="G1305" s="22" t="s">
        <v>4463</v>
      </c>
      <c r="H1305" s="22" t="s">
        <v>10</v>
      </c>
      <c r="I1305" s="22" t="s">
        <v>5</v>
      </c>
      <c r="J1305" s="22" t="s">
        <v>40</v>
      </c>
      <c r="K1305" s="22" t="s">
        <v>4467</v>
      </c>
      <c r="L1305" s="22" t="s">
        <v>4465</v>
      </c>
      <c r="M1305" s="25"/>
    </row>
    <row r="1306" customHeight="1" spans="1:13">
      <c r="A1306" s="21">
        <v>45778</v>
      </c>
      <c r="B1306" s="22" t="s">
        <v>5484</v>
      </c>
      <c r="C1306" s="23">
        <v>45784</v>
      </c>
      <c r="D1306" s="24">
        <v>9994.93</v>
      </c>
      <c r="E1306" s="22" t="s">
        <v>173</v>
      </c>
      <c r="F1306" s="22" t="s">
        <v>5</v>
      </c>
      <c r="G1306" s="22" t="s">
        <v>4469</v>
      </c>
      <c r="H1306" s="22" t="s">
        <v>11</v>
      </c>
      <c r="I1306" s="22" t="s">
        <v>5</v>
      </c>
      <c r="J1306" s="22" t="s">
        <v>39</v>
      </c>
      <c r="K1306" s="22" t="s">
        <v>4471</v>
      </c>
      <c r="L1306" s="22" t="s">
        <v>2845</v>
      </c>
      <c r="M1306" s="25"/>
    </row>
    <row r="1307" customHeight="1" spans="1:13">
      <c r="A1307" s="21">
        <v>45778</v>
      </c>
      <c r="B1307" s="22" t="s">
        <v>5484</v>
      </c>
      <c r="C1307" s="23">
        <v>45784</v>
      </c>
      <c r="D1307" s="24">
        <v>10114.96</v>
      </c>
      <c r="E1307" s="22" t="s">
        <v>173</v>
      </c>
      <c r="F1307" s="22" t="s">
        <v>5</v>
      </c>
      <c r="G1307" s="22" t="s">
        <v>4473</v>
      </c>
      <c r="H1307" s="22" t="s">
        <v>11</v>
      </c>
      <c r="I1307" s="22" t="s">
        <v>5</v>
      </c>
      <c r="J1307" s="22" t="s">
        <v>39</v>
      </c>
      <c r="K1307" s="22" t="s">
        <v>4471</v>
      </c>
      <c r="L1307" s="22" t="s">
        <v>2845</v>
      </c>
      <c r="M1307" s="25"/>
    </row>
    <row r="1308" customHeight="1" spans="1:13">
      <c r="A1308" s="21">
        <v>45778</v>
      </c>
      <c r="B1308" s="22" t="s">
        <v>5484</v>
      </c>
      <c r="C1308" s="23">
        <v>45789</v>
      </c>
      <c r="D1308" s="24">
        <v>500</v>
      </c>
      <c r="E1308" s="22" t="s">
        <v>149</v>
      </c>
      <c r="F1308" s="22" t="s">
        <v>5</v>
      </c>
      <c r="G1308" s="22" t="s">
        <v>4475</v>
      </c>
      <c r="H1308" s="22" t="s">
        <v>10</v>
      </c>
      <c r="I1308" s="22" t="s">
        <v>5</v>
      </c>
      <c r="J1308" s="22" t="s">
        <v>40</v>
      </c>
      <c r="K1308" s="22" t="s">
        <v>4477</v>
      </c>
      <c r="L1308" s="22" t="s">
        <v>1432</v>
      </c>
      <c r="M1308" s="25"/>
    </row>
    <row r="1309" customHeight="1" spans="1:13">
      <c r="A1309" s="21">
        <v>45778</v>
      </c>
      <c r="B1309" s="22" t="s">
        <v>5484</v>
      </c>
      <c r="C1309" s="23">
        <v>45791</v>
      </c>
      <c r="D1309" s="24">
        <v>82.74</v>
      </c>
      <c r="E1309" s="22" t="s">
        <v>149</v>
      </c>
      <c r="F1309" s="22" t="s">
        <v>5</v>
      </c>
      <c r="G1309" s="22" t="s">
        <v>4478</v>
      </c>
      <c r="H1309" s="22" t="s">
        <v>10</v>
      </c>
      <c r="I1309" s="22" t="s">
        <v>5</v>
      </c>
      <c r="J1309" s="22" t="s">
        <v>40</v>
      </c>
      <c r="K1309" s="22" t="s">
        <v>1023</v>
      </c>
      <c r="L1309" s="22" t="s">
        <v>4381</v>
      </c>
      <c r="M1309" s="25"/>
    </row>
    <row r="1310" customHeight="1" spans="1:13">
      <c r="A1310" s="21">
        <v>45778</v>
      </c>
      <c r="B1310" s="22" t="s">
        <v>5485</v>
      </c>
      <c r="C1310" s="23">
        <v>45793</v>
      </c>
      <c r="D1310" s="24">
        <v>310</v>
      </c>
      <c r="E1310" s="22" t="s">
        <v>139</v>
      </c>
      <c r="F1310" s="22" t="s">
        <v>5</v>
      </c>
      <c r="G1310" s="22" t="s">
        <v>4483</v>
      </c>
      <c r="H1310" s="22" t="s">
        <v>10</v>
      </c>
      <c r="I1310" s="22" t="s">
        <v>5</v>
      </c>
      <c r="J1310" s="22" t="s">
        <v>40</v>
      </c>
      <c r="K1310" s="24">
        <v>0</v>
      </c>
      <c r="L1310" s="26" t="e">
        <v>#N/A</v>
      </c>
      <c r="M1310" s="25"/>
    </row>
    <row r="1311" customHeight="1" spans="1:13">
      <c r="A1311" s="21">
        <v>45778</v>
      </c>
      <c r="B1311" s="22" t="s">
        <v>5485</v>
      </c>
      <c r="C1311" s="23">
        <v>45793</v>
      </c>
      <c r="D1311" s="24">
        <v>75</v>
      </c>
      <c r="E1311" s="22" t="s">
        <v>139</v>
      </c>
      <c r="F1311" s="22" t="s">
        <v>5</v>
      </c>
      <c r="G1311" s="22" t="s">
        <v>4486</v>
      </c>
      <c r="H1311" s="22" t="s">
        <v>10</v>
      </c>
      <c r="I1311" s="22" t="s">
        <v>5</v>
      </c>
      <c r="J1311" s="22" t="s">
        <v>40</v>
      </c>
      <c r="K1311" s="24">
        <v>0</v>
      </c>
      <c r="L1311" s="26" t="e">
        <v>#N/A</v>
      </c>
      <c r="M1311" s="25"/>
    </row>
    <row r="1312" customHeight="1" spans="1:13">
      <c r="A1312" s="21">
        <v>45778</v>
      </c>
      <c r="B1312" s="22" t="s">
        <v>5485</v>
      </c>
      <c r="C1312" s="23">
        <v>45793</v>
      </c>
      <c r="D1312" s="24">
        <v>83.36</v>
      </c>
      <c r="E1312" s="22" t="s">
        <v>149</v>
      </c>
      <c r="F1312" s="22" t="s">
        <v>5</v>
      </c>
      <c r="G1312" s="22" t="s">
        <v>4488</v>
      </c>
      <c r="H1312" s="22" t="s">
        <v>10</v>
      </c>
      <c r="I1312" s="22" t="s">
        <v>5</v>
      </c>
      <c r="J1312" s="22" t="s">
        <v>40</v>
      </c>
      <c r="K1312" s="24">
        <v>0</v>
      </c>
      <c r="L1312" s="26" t="e">
        <v>#N/A</v>
      </c>
      <c r="M1312" s="25"/>
    </row>
    <row r="1313" customHeight="1" spans="1:13">
      <c r="A1313" s="21">
        <v>45778</v>
      </c>
      <c r="B1313" s="22" t="s">
        <v>5485</v>
      </c>
      <c r="C1313" s="23">
        <v>45797</v>
      </c>
      <c r="D1313" s="24">
        <v>22500</v>
      </c>
      <c r="E1313" s="22" t="s">
        <v>173</v>
      </c>
      <c r="F1313" s="22" t="s">
        <v>5</v>
      </c>
      <c r="G1313" s="22" t="s">
        <v>2857</v>
      </c>
      <c r="H1313" s="22" t="s">
        <v>12</v>
      </c>
      <c r="I1313" s="22" t="s">
        <v>5</v>
      </c>
      <c r="J1313" s="22" t="s">
        <v>39</v>
      </c>
      <c r="K1313" s="22" t="s">
        <v>4491</v>
      </c>
      <c r="L1313" s="22" t="s">
        <v>2859</v>
      </c>
      <c r="M1313" s="25"/>
    </row>
    <row r="1314" customHeight="1" spans="1:13">
      <c r="A1314" s="21">
        <v>45778</v>
      </c>
      <c r="B1314" s="22" t="s">
        <v>5485</v>
      </c>
      <c r="C1314" s="23">
        <v>45799</v>
      </c>
      <c r="D1314" s="24">
        <v>100</v>
      </c>
      <c r="E1314" s="22" t="s">
        <v>139</v>
      </c>
      <c r="F1314" s="22" t="s">
        <v>5</v>
      </c>
      <c r="G1314" s="22" t="s">
        <v>4492</v>
      </c>
      <c r="H1314" s="22" t="s">
        <v>10</v>
      </c>
      <c r="I1314" s="22" t="s">
        <v>5</v>
      </c>
      <c r="J1314" s="22" t="s">
        <v>40</v>
      </c>
      <c r="K1314" s="22" t="s">
        <v>4494</v>
      </c>
      <c r="L1314" s="22" t="s">
        <v>1447</v>
      </c>
      <c r="M1314" s="25"/>
    </row>
    <row r="1315" customHeight="1" spans="1:13">
      <c r="A1315" s="21">
        <v>45778</v>
      </c>
      <c r="B1315" s="22" t="s">
        <v>5485</v>
      </c>
      <c r="C1315" s="23">
        <v>45799</v>
      </c>
      <c r="D1315" s="24">
        <v>300</v>
      </c>
      <c r="E1315" s="22" t="s">
        <v>139</v>
      </c>
      <c r="F1315" s="22" t="s">
        <v>5</v>
      </c>
      <c r="G1315" s="22" t="s">
        <v>4495</v>
      </c>
      <c r="H1315" s="22" t="s">
        <v>10</v>
      </c>
      <c r="I1315" s="22" t="s">
        <v>5</v>
      </c>
      <c r="J1315" s="22" t="s">
        <v>40</v>
      </c>
      <c r="K1315" s="22" t="s">
        <v>4494</v>
      </c>
      <c r="L1315" s="22" t="s">
        <v>1447</v>
      </c>
      <c r="M1315" s="25"/>
    </row>
    <row r="1316" customHeight="1" spans="1:13">
      <c r="A1316" s="21">
        <v>45809</v>
      </c>
      <c r="B1316" s="22" t="s">
        <v>5487</v>
      </c>
      <c r="C1316" s="23">
        <v>45812</v>
      </c>
      <c r="D1316" s="27">
        <v>103078.45</v>
      </c>
      <c r="E1316" s="22" t="s">
        <v>1567</v>
      </c>
      <c r="F1316" s="22" t="s">
        <v>5</v>
      </c>
      <c r="G1316" s="22" t="s">
        <v>5670</v>
      </c>
      <c r="H1316" s="22" t="s">
        <v>11</v>
      </c>
      <c r="I1316" s="22" t="s">
        <v>5</v>
      </c>
      <c r="J1316" s="22" t="s">
        <v>39</v>
      </c>
      <c r="K1316" s="22" t="s">
        <v>4503</v>
      </c>
      <c r="L1316" s="22" t="s">
        <v>2845</v>
      </c>
      <c r="M1316" s="25"/>
    </row>
    <row r="1317" customHeight="1" spans="1:13">
      <c r="A1317" s="21">
        <v>45809</v>
      </c>
      <c r="B1317" s="22" t="s">
        <v>5487</v>
      </c>
      <c r="C1317" s="23">
        <v>45812</v>
      </c>
      <c r="D1317" s="27">
        <v>71609.27</v>
      </c>
      <c r="E1317" s="22" t="s">
        <v>1567</v>
      </c>
      <c r="F1317" s="22" t="s">
        <v>5</v>
      </c>
      <c r="G1317" s="22" t="s">
        <v>5671</v>
      </c>
      <c r="H1317" s="22" t="s">
        <v>11</v>
      </c>
      <c r="I1317" s="22" t="s">
        <v>5</v>
      </c>
      <c r="J1317" s="22" t="s">
        <v>39</v>
      </c>
      <c r="K1317" s="22" t="s">
        <v>4503</v>
      </c>
      <c r="L1317" s="22" t="s">
        <v>2845</v>
      </c>
      <c r="M1317" s="25"/>
    </row>
    <row r="1318" customHeight="1" spans="1:13">
      <c r="A1318" s="21">
        <v>45809</v>
      </c>
      <c r="B1318" s="22" t="s">
        <v>5487</v>
      </c>
      <c r="C1318" s="23">
        <v>45812</v>
      </c>
      <c r="D1318" s="27">
        <v>50000</v>
      </c>
      <c r="E1318" s="22" t="s">
        <v>1567</v>
      </c>
      <c r="F1318" s="22" t="s">
        <v>5</v>
      </c>
      <c r="G1318" s="22" t="s">
        <v>5672</v>
      </c>
      <c r="H1318" s="22" t="s">
        <v>11</v>
      </c>
      <c r="I1318" s="22" t="s">
        <v>5</v>
      </c>
      <c r="J1318" s="22" t="s">
        <v>39</v>
      </c>
      <c r="K1318" s="22" t="s">
        <v>4503</v>
      </c>
      <c r="L1318" s="22" t="s">
        <v>2845</v>
      </c>
      <c r="M1318" s="25"/>
    </row>
    <row r="1319" customHeight="1" spans="1:13">
      <c r="A1319" s="21">
        <v>45809</v>
      </c>
      <c r="B1319" s="22" t="s">
        <v>5487</v>
      </c>
      <c r="C1319" s="23">
        <v>45813</v>
      </c>
      <c r="D1319" s="24">
        <v>9983.43</v>
      </c>
      <c r="E1319" s="22" t="s">
        <v>173</v>
      </c>
      <c r="F1319" s="22" t="s">
        <v>5</v>
      </c>
      <c r="G1319" s="22" t="s">
        <v>4514</v>
      </c>
      <c r="H1319" s="22" t="s">
        <v>10</v>
      </c>
      <c r="I1319" s="22" t="s">
        <v>5</v>
      </c>
      <c r="J1319" s="22" t="s">
        <v>40</v>
      </c>
      <c r="K1319" s="22" t="s">
        <v>4517</v>
      </c>
      <c r="L1319" s="22" t="s">
        <v>1553</v>
      </c>
      <c r="M1319" s="25"/>
    </row>
    <row r="1320" customHeight="1" spans="1:13">
      <c r="A1320" s="21">
        <v>45809</v>
      </c>
      <c r="B1320" s="22" t="s">
        <v>5487</v>
      </c>
      <c r="C1320" s="23">
        <v>45818</v>
      </c>
      <c r="D1320" s="27">
        <v>23577.58</v>
      </c>
      <c r="E1320" s="22" t="s">
        <v>149</v>
      </c>
      <c r="F1320" s="22" t="s">
        <v>5</v>
      </c>
      <c r="G1320" s="22" t="s">
        <v>4519</v>
      </c>
      <c r="H1320" s="22" t="s">
        <v>11</v>
      </c>
      <c r="I1320" s="22" t="s">
        <v>5</v>
      </c>
      <c r="J1320" s="22" t="s">
        <v>39</v>
      </c>
      <c r="K1320" s="22" t="s">
        <v>4503</v>
      </c>
      <c r="L1320" s="22" t="s">
        <v>2845</v>
      </c>
      <c r="M1320" s="25"/>
    </row>
    <row r="1321" customHeight="1" spans="1:13">
      <c r="A1321" s="21">
        <v>45809</v>
      </c>
      <c r="B1321" s="22" t="s">
        <v>5489</v>
      </c>
      <c r="C1321" s="23">
        <v>45832</v>
      </c>
      <c r="D1321" s="24">
        <v>0</v>
      </c>
      <c r="E1321" s="24">
        <v>0</v>
      </c>
      <c r="F1321" s="22" t="s">
        <v>5</v>
      </c>
      <c r="G1321" s="22" t="s">
        <v>4523</v>
      </c>
      <c r="H1321" s="22" t="s">
        <v>10</v>
      </c>
      <c r="I1321" s="22" t="s">
        <v>5</v>
      </c>
      <c r="J1321" s="22" t="s">
        <v>40</v>
      </c>
      <c r="K1321" s="24">
        <v>0</v>
      </c>
      <c r="L1321" s="26" t="e">
        <v>#N/A</v>
      </c>
      <c r="M1321" s="25"/>
    </row>
    <row r="1322" customHeight="1" spans="1:13">
      <c r="A1322" s="21">
        <v>45809</v>
      </c>
      <c r="B1322" s="22" t="s">
        <v>5489</v>
      </c>
      <c r="C1322" s="23">
        <v>45833</v>
      </c>
      <c r="D1322" s="24">
        <v>59.14</v>
      </c>
      <c r="E1322" s="22" t="s">
        <v>149</v>
      </c>
      <c r="F1322" s="22" t="s">
        <v>5</v>
      </c>
      <c r="G1322" s="22" t="s">
        <v>4524</v>
      </c>
      <c r="H1322" s="22" t="s">
        <v>10</v>
      </c>
      <c r="I1322" s="22" t="s">
        <v>5</v>
      </c>
      <c r="J1322" s="22" t="s">
        <v>40</v>
      </c>
      <c r="K1322" s="22" t="s">
        <v>1023</v>
      </c>
      <c r="L1322" s="22" t="s">
        <v>4381</v>
      </c>
      <c r="M1322" s="25"/>
    </row>
    <row r="1323" customHeight="1" spans="1:13">
      <c r="A1323" s="21">
        <v>45809</v>
      </c>
      <c r="B1323" s="22" t="s">
        <v>5489</v>
      </c>
      <c r="C1323" s="23">
        <v>45833</v>
      </c>
      <c r="D1323" s="24">
        <v>32560</v>
      </c>
      <c r="E1323" s="22" t="s">
        <v>149</v>
      </c>
      <c r="F1323" s="22" t="s">
        <v>5</v>
      </c>
      <c r="G1323" s="22" t="s">
        <v>4529</v>
      </c>
      <c r="H1323" s="22" t="s">
        <v>11</v>
      </c>
      <c r="I1323" s="22" t="s">
        <v>5</v>
      </c>
      <c r="J1323" s="22" t="s">
        <v>40</v>
      </c>
      <c r="K1323" s="22" t="s">
        <v>1023</v>
      </c>
      <c r="L1323" s="22" t="s">
        <v>4381</v>
      </c>
      <c r="M1323" s="25"/>
    </row>
    <row r="1324" customHeight="1" spans="1:13">
      <c r="A1324" s="21">
        <v>45809</v>
      </c>
      <c r="B1324" s="22" t="s">
        <v>5489</v>
      </c>
      <c r="C1324" s="23">
        <v>45833</v>
      </c>
      <c r="D1324" s="24">
        <v>99190</v>
      </c>
      <c r="E1324" s="22" t="s">
        <v>149</v>
      </c>
      <c r="F1324" s="22" t="s">
        <v>5</v>
      </c>
      <c r="G1324" s="22" t="s">
        <v>4532</v>
      </c>
      <c r="H1324" s="22" t="s">
        <v>11</v>
      </c>
      <c r="I1324" s="22" t="s">
        <v>5</v>
      </c>
      <c r="J1324" s="22" t="s">
        <v>40</v>
      </c>
      <c r="K1324" s="22" t="s">
        <v>1023</v>
      </c>
      <c r="L1324" s="22" t="s">
        <v>4381</v>
      </c>
      <c r="M1324" s="25"/>
    </row>
    <row r="1325" customHeight="1" spans="1:13">
      <c r="A1325" s="21">
        <v>45809</v>
      </c>
      <c r="B1325" s="22" t="s">
        <v>5489</v>
      </c>
      <c r="C1325" s="23">
        <v>45833</v>
      </c>
      <c r="D1325" s="24">
        <v>99930</v>
      </c>
      <c r="E1325" s="22" t="s">
        <v>149</v>
      </c>
      <c r="F1325" s="22" t="s">
        <v>5</v>
      </c>
      <c r="G1325" s="22" t="s">
        <v>4537</v>
      </c>
      <c r="H1325" s="22" t="s">
        <v>11</v>
      </c>
      <c r="I1325" s="22" t="s">
        <v>5</v>
      </c>
      <c r="J1325" s="22" t="s">
        <v>40</v>
      </c>
      <c r="K1325" s="22" t="s">
        <v>1023</v>
      </c>
      <c r="L1325" s="22" t="s">
        <v>4381</v>
      </c>
      <c r="M1325" s="25"/>
    </row>
    <row r="1326" customHeight="1" spans="1:13">
      <c r="A1326" s="21">
        <v>45809</v>
      </c>
      <c r="B1326" s="22" t="s">
        <v>5489</v>
      </c>
      <c r="C1326" s="23">
        <v>45833</v>
      </c>
      <c r="D1326" s="24">
        <v>30</v>
      </c>
      <c r="E1326" s="22" t="s">
        <v>149</v>
      </c>
      <c r="F1326" s="22" t="s">
        <v>5</v>
      </c>
      <c r="G1326" s="22" t="s">
        <v>4539</v>
      </c>
      <c r="H1326" s="22" t="s">
        <v>11</v>
      </c>
      <c r="I1326" s="22" t="s">
        <v>5</v>
      </c>
      <c r="J1326" s="22" t="s">
        <v>40</v>
      </c>
      <c r="K1326" s="22" t="s">
        <v>1023</v>
      </c>
      <c r="L1326" s="22" t="s">
        <v>4381</v>
      </c>
      <c r="M1326" s="25"/>
    </row>
    <row r="1327" customHeight="1" spans="1:13">
      <c r="A1327" s="21">
        <v>45809</v>
      </c>
      <c r="B1327" s="22" t="s">
        <v>5489</v>
      </c>
      <c r="C1327" s="23">
        <v>45833</v>
      </c>
      <c r="D1327" s="24">
        <v>99666</v>
      </c>
      <c r="E1327" s="22" t="s">
        <v>149</v>
      </c>
      <c r="F1327" s="22" t="s">
        <v>5</v>
      </c>
      <c r="G1327" s="22" t="s">
        <v>4545</v>
      </c>
      <c r="H1327" s="22" t="s">
        <v>11</v>
      </c>
      <c r="I1327" s="22" t="s">
        <v>5</v>
      </c>
      <c r="J1327" s="22" t="s">
        <v>40</v>
      </c>
      <c r="K1327" s="22" t="s">
        <v>1023</v>
      </c>
      <c r="L1327" s="22" t="s">
        <v>4381</v>
      </c>
      <c r="M1327" s="25"/>
    </row>
    <row r="1328" customHeight="1" spans="1:13">
      <c r="A1328" s="21">
        <v>45809</v>
      </c>
      <c r="B1328" s="22" t="s">
        <v>5489</v>
      </c>
      <c r="C1328" s="23">
        <v>45833</v>
      </c>
      <c r="D1328" s="24">
        <v>95260</v>
      </c>
      <c r="E1328" s="22" t="s">
        <v>149</v>
      </c>
      <c r="F1328" s="22" t="s">
        <v>5</v>
      </c>
      <c r="G1328" s="22" t="s">
        <v>4547</v>
      </c>
      <c r="H1328" s="22" t="s">
        <v>11</v>
      </c>
      <c r="I1328" s="22" t="s">
        <v>5</v>
      </c>
      <c r="J1328" s="22" t="s">
        <v>40</v>
      </c>
      <c r="K1328" s="22" t="s">
        <v>1023</v>
      </c>
      <c r="L1328" s="22" t="s">
        <v>4381</v>
      </c>
      <c r="M1328" s="25"/>
    </row>
    <row r="1329" customHeight="1" spans="1:13">
      <c r="A1329" s="21">
        <v>45809</v>
      </c>
      <c r="B1329" s="22" t="s">
        <v>5489</v>
      </c>
      <c r="C1329" s="23">
        <v>45833</v>
      </c>
      <c r="D1329" s="24">
        <v>99550</v>
      </c>
      <c r="E1329" s="22" t="s">
        <v>149</v>
      </c>
      <c r="F1329" s="22" t="s">
        <v>5</v>
      </c>
      <c r="G1329" s="22" t="s">
        <v>4550</v>
      </c>
      <c r="H1329" s="22" t="s">
        <v>11</v>
      </c>
      <c r="I1329" s="22" t="s">
        <v>5</v>
      </c>
      <c r="J1329" s="22" t="s">
        <v>40</v>
      </c>
      <c r="K1329" s="22" t="s">
        <v>1023</v>
      </c>
      <c r="L1329" s="22" t="s">
        <v>4381</v>
      </c>
      <c r="M1329" s="25"/>
    </row>
    <row r="1330" customHeight="1" spans="1:13">
      <c r="A1330" s="21">
        <v>45809</v>
      </c>
      <c r="B1330" s="22" t="s">
        <v>5489</v>
      </c>
      <c r="C1330" s="23">
        <v>45838</v>
      </c>
      <c r="D1330" s="24">
        <v>304.29</v>
      </c>
      <c r="E1330" s="22" t="s">
        <v>149</v>
      </c>
      <c r="F1330" s="22" t="s">
        <v>5</v>
      </c>
      <c r="G1330" s="22" t="s">
        <v>4552</v>
      </c>
      <c r="H1330" s="22" t="s">
        <v>10</v>
      </c>
      <c r="I1330" s="22" t="s">
        <v>5</v>
      </c>
      <c r="J1330" s="22" t="s">
        <v>40</v>
      </c>
      <c r="K1330" s="22" t="s">
        <v>1023</v>
      </c>
      <c r="L1330" s="22" t="s">
        <v>4260</v>
      </c>
      <c r="M1330" s="25"/>
    </row>
    <row r="1331" customHeight="1" spans="1:13">
      <c r="A1331" s="21">
        <v>45839</v>
      </c>
      <c r="B1331" s="22" t="s">
        <v>5491</v>
      </c>
      <c r="C1331" s="23">
        <v>45839</v>
      </c>
      <c r="D1331" s="24">
        <v>19998</v>
      </c>
      <c r="E1331" s="22" t="s">
        <v>149</v>
      </c>
      <c r="F1331" s="22" t="s">
        <v>5</v>
      </c>
      <c r="G1331" s="22" t="s">
        <v>4558</v>
      </c>
      <c r="H1331" s="22" t="s">
        <v>10</v>
      </c>
      <c r="I1331" s="22" t="s">
        <v>5</v>
      </c>
      <c r="J1331" s="22" t="s">
        <v>40</v>
      </c>
      <c r="K1331" s="22" t="s">
        <v>4560</v>
      </c>
      <c r="L1331" s="22" t="s">
        <v>666</v>
      </c>
      <c r="M1331" s="25"/>
    </row>
    <row r="1332" customHeight="1" spans="1:13">
      <c r="A1332" s="21">
        <v>45839</v>
      </c>
      <c r="B1332" s="22" t="s">
        <v>5491</v>
      </c>
      <c r="C1332" s="23">
        <v>45840</v>
      </c>
      <c r="D1332" s="27">
        <v>13000</v>
      </c>
      <c r="E1332" s="22" t="s">
        <v>149</v>
      </c>
      <c r="F1332" s="22" t="s">
        <v>5</v>
      </c>
      <c r="G1332" s="22" t="s">
        <v>4561</v>
      </c>
      <c r="H1332" s="22" t="s">
        <v>11</v>
      </c>
      <c r="I1332" s="22" t="s">
        <v>5</v>
      </c>
      <c r="J1332" s="22" t="s">
        <v>40</v>
      </c>
      <c r="K1332" s="22" t="s">
        <v>4565</v>
      </c>
      <c r="L1332" s="22" t="s">
        <v>4563</v>
      </c>
      <c r="M1332" s="25"/>
    </row>
    <row r="1333" customHeight="1" spans="1:13">
      <c r="A1333" s="21">
        <v>45839</v>
      </c>
      <c r="B1333" s="22" t="s">
        <v>5491</v>
      </c>
      <c r="C1333" s="23">
        <v>45841</v>
      </c>
      <c r="D1333" s="24">
        <v>1400</v>
      </c>
      <c r="E1333" s="22" t="s">
        <v>173</v>
      </c>
      <c r="F1333" s="22" t="s">
        <v>5</v>
      </c>
      <c r="G1333" s="22" t="s">
        <v>4567</v>
      </c>
      <c r="H1333" s="22" t="s">
        <v>12</v>
      </c>
      <c r="I1333" s="22" t="s">
        <v>5</v>
      </c>
      <c r="J1333" s="22" t="s">
        <v>39</v>
      </c>
      <c r="K1333" s="22" t="s">
        <v>4571</v>
      </c>
      <c r="L1333" s="22" t="s">
        <v>4569</v>
      </c>
      <c r="M1333" s="25"/>
    </row>
    <row r="1334" customHeight="1" spans="1:13">
      <c r="A1334" s="21">
        <v>45839</v>
      </c>
      <c r="B1334" s="22" t="s">
        <v>5491</v>
      </c>
      <c r="C1334" s="23">
        <v>45847</v>
      </c>
      <c r="D1334" s="27">
        <v>15000</v>
      </c>
      <c r="E1334" s="22" t="s">
        <v>149</v>
      </c>
      <c r="F1334" s="22" t="s">
        <v>5</v>
      </c>
      <c r="G1334" s="22" t="s">
        <v>4573</v>
      </c>
      <c r="H1334" s="22" t="s">
        <v>11</v>
      </c>
      <c r="I1334" s="22" t="s">
        <v>5</v>
      </c>
      <c r="J1334" s="22" t="s">
        <v>40</v>
      </c>
      <c r="K1334" s="22" t="s">
        <v>4577</v>
      </c>
      <c r="L1334" s="22" t="s">
        <v>4575</v>
      </c>
      <c r="M1334" s="25"/>
    </row>
    <row r="1335" customHeight="1" spans="1:13">
      <c r="A1335" s="21">
        <v>45839</v>
      </c>
      <c r="B1335" s="22" t="s">
        <v>5492</v>
      </c>
      <c r="C1335" s="23">
        <v>45855</v>
      </c>
      <c r="D1335" s="24">
        <v>8.28</v>
      </c>
      <c r="E1335" s="22" t="s">
        <v>149</v>
      </c>
      <c r="F1335" s="22" t="s">
        <v>5</v>
      </c>
      <c r="G1335" s="22" t="s">
        <v>4579</v>
      </c>
      <c r="H1335" s="22" t="s">
        <v>10</v>
      </c>
      <c r="I1335" s="22" t="s">
        <v>5</v>
      </c>
      <c r="J1335" s="22" t="s">
        <v>40</v>
      </c>
      <c r="K1335" s="22" t="s">
        <v>1023</v>
      </c>
      <c r="L1335" s="22" t="s">
        <v>4260</v>
      </c>
      <c r="M1335" s="25"/>
    </row>
    <row r="1336" customHeight="1" spans="1:13">
      <c r="A1336" s="21">
        <v>45839</v>
      </c>
      <c r="B1336" s="22" t="s">
        <v>5492</v>
      </c>
      <c r="C1336" s="23">
        <v>45855</v>
      </c>
      <c r="D1336" s="24">
        <v>4500</v>
      </c>
      <c r="E1336" s="22" t="s">
        <v>149</v>
      </c>
      <c r="F1336" s="22" t="s">
        <v>5</v>
      </c>
      <c r="G1336" s="22" t="s">
        <v>4581</v>
      </c>
      <c r="H1336" s="22" t="s">
        <v>10</v>
      </c>
      <c r="I1336" s="22" t="s">
        <v>5</v>
      </c>
      <c r="J1336" s="22" t="s">
        <v>40</v>
      </c>
      <c r="K1336" s="22" t="s">
        <v>1023</v>
      </c>
      <c r="L1336" s="22" t="s">
        <v>4260</v>
      </c>
      <c r="M1336" s="25"/>
    </row>
    <row r="1337" customHeight="1" spans="1:13">
      <c r="A1337" s="21">
        <v>45839</v>
      </c>
      <c r="B1337" s="22" t="s">
        <v>5492</v>
      </c>
      <c r="C1337" s="23">
        <v>45855</v>
      </c>
      <c r="D1337" s="24">
        <v>4.33</v>
      </c>
      <c r="E1337" s="22" t="s">
        <v>149</v>
      </c>
      <c r="F1337" s="22" t="s">
        <v>5</v>
      </c>
      <c r="G1337" s="22" t="s">
        <v>4585</v>
      </c>
      <c r="H1337" s="22" t="s">
        <v>10</v>
      </c>
      <c r="I1337" s="22" t="s">
        <v>5</v>
      </c>
      <c r="J1337" s="22" t="s">
        <v>40</v>
      </c>
      <c r="K1337" s="22" t="s">
        <v>1023</v>
      </c>
      <c r="L1337" s="22" t="s">
        <v>4260</v>
      </c>
      <c r="M1337" s="25"/>
    </row>
    <row r="1338" customHeight="1" spans="1:13">
      <c r="A1338" s="21">
        <v>45839</v>
      </c>
      <c r="B1338" s="22" t="s">
        <v>5492</v>
      </c>
      <c r="C1338" s="23">
        <v>45859</v>
      </c>
      <c r="D1338" s="24">
        <v>1651</v>
      </c>
      <c r="E1338" s="22" t="s">
        <v>173</v>
      </c>
      <c r="F1338" s="22" t="s">
        <v>5</v>
      </c>
      <c r="G1338" s="22" t="s">
        <v>4587</v>
      </c>
      <c r="H1338" s="22" t="s">
        <v>11</v>
      </c>
      <c r="I1338" s="22" t="s">
        <v>5</v>
      </c>
      <c r="J1338" s="22" t="s">
        <v>39</v>
      </c>
      <c r="K1338" s="22" t="s">
        <v>4589</v>
      </c>
      <c r="L1338" s="22" t="s">
        <v>2908</v>
      </c>
      <c r="M1338" s="25"/>
    </row>
    <row r="1339" customHeight="1" spans="1:13">
      <c r="A1339" s="21">
        <v>45839</v>
      </c>
      <c r="B1339" s="22" t="s">
        <v>5492</v>
      </c>
      <c r="C1339" s="23">
        <v>45859</v>
      </c>
      <c r="D1339" s="24">
        <v>111</v>
      </c>
      <c r="E1339" s="22" t="s">
        <v>139</v>
      </c>
      <c r="F1339" s="22" t="s">
        <v>5</v>
      </c>
      <c r="G1339" s="22" t="s">
        <v>4592</v>
      </c>
      <c r="H1339" s="22" t="s">
        <v>10</v>
      </c>
      <c r="I1339" s="22" t="s">
        <v>5</v>
      </c>
      <c r="J1339" s="22" t="s">
        <v>40</v>
      </c>
      <c r="K1339" s="22" t="s">
        <v>4589</v>
      </c>
      <c r="L1339" s="22" t="s">
        <v>2908</v>
      </c>
      <c r="M1339" s="25"/>
    </row>
    <row r="1340" customHeight="1" spans="1:13">
      <c r="A1340" s="21">
        <v>45839</v>
      </c>
      <c r="B1340" s="22" t="s">
        <v>5492</v>
      </c>
      <c r="C1340" s="23">
        <v>45859</v>
      </c>
      <c r="D1340" s="24">
        <v>500</v>
      </c>
      <c r="E1340" s="22" t="s">
        <v>149</v>
      </c>
      <c r="F1340" s="22" t="s">
        <v>5</v>
      </c>
      <c r="G1340" s="22" t="s">
        <v>4595</v>
      </c>
      <c r="H1340" s="22" t="s">
        <v>11</v>
      </c>
      <c r="I1340" s="22" t="s">
        <v>5</v>
      </c>
      <c r="J1340" s="22" t="s">
        <v>40</v>
      </c>
      <c r="K1340" s="22" t="s">
        <v>4589</v>
      </c>
      <c r="L1340" s="22" t="s">
        <v>2908</v>
      </c>
      <c r="M1340" s="25"/>
    </row>
    <row r="1341" customHeight="1" spans="1:13">
      <c r="A1341" s="21">
        <v>45839</v>
      </c>
      <c r="B1341" s="22" t="s">
        <v>5492</v>
      </c>
      <c r="C1341" s="23">
        <v>45861</v>
      </c>
      <c r="D1341" s="24">
        <v>3000</v>
      </c>
      <c r="E1341" s="22" t="s">
        <v>149</v>
      </c>
      <c r="F1341" s="22" t="s">
        <v>5</v>
      </c>
      <c r="G1341" s="22" t="s">
        <v>4602</v>
      </c>
      <c r="H1341" s="22" t="s">
        <v>10</v>
      </c>
      <c r="I1341" s="22" t="s">
        <v>5</v>
      </c>
      <c r="J1341" s="22" t="s">
        <v>40</v>
      </c>
      <c r="K1341" s="22" t="s">
        <v>4604</v>
      </c>
      <c r="L1341" s="22" t="s">
        <v>666</v>
      </c>
      <c r="M1341" s="25"/>
    </row>
    <row r="1342" customHeight="1" spans="1:13">
      <c r="A1342" s="21">
        <v>45839</v>
      </c>
      <c r="B1342" s="22" t="s">
        <v>5492</v>
      </c>
      <c r="C1342" s="23">
        <v>45862</v>
      </c>
      <c r="D1342" s="27">
        <v>10000</v>
      </c>
      <c r="E1342" s="22" t="s">
        <v>149</v>
      </c>
      <c r="F1342" s="22" t="s">
        <v>5</v>
      </c>
      <c r="G1342" s="22" t="s">
        <v>4605</v>
      </c>
      <c r="H1342" s="22" t="s">
        <v>11</v>
      </c>
      <c r="I1342" s="22" t="s">
        <v>5</v>
      </c>
      <c r="J1342" s="22" t="s">
        <v>40</v>
      </c>
      <c r="K1342" s="22" t="s">
        <v>4609</v>
      </c>
      <c r="L1342" s="22" t="s">
        <v>4607</v>
      </c>
      <c r="M1342" s="25"/>
    </row>
    <row r="1343" customHeight="1" spans="1:13">
      <c r="A1343" s="21">
        <v>45839</v>
      </c>
      <c r="B1343" s="22" t="s">
        <v>5492</v>
      </c>
      <c r="C1343" s="23">
        <v>45862</v>
      </c>
      <c r="D1343" s="24">
        <v>19998</v>
      </c>
      <c r="E1343" s="22" t="s">
        <v>149</v>
      </c>
      <c r="F1343" s="22" t="s">
        <v>5</v>
      </c>
      <c r="G1343" s="22" t="s">
        <v>4611</v>
      </c>
      <c r="H1343" s="22" t="s">
        <v>11</v>
      </c>
      <c r="I1343" s="22" t="s">
        <v>5</v>
      </c>
      <c r="J1343" s="22" t="s">
        <v>40</v>
      </c>
      <c r="K1343" s="22" t="s">
        <v>4609</v>
      </c>
      <c r="L1343" s="22" t="s">
        <v>4607</v>
      </c>
      <c r="M1343" s="25"/>
    </row>
    <row r="1344" customHeight="1" spans="1:13">
      <c r="A1344" s="21">
        <v>45839</v>
      </c>
      <c r="B1344" s="22" t="s">
        <v>5492</v>
      </c>
      <c r="C1344" s="23">
        <v>45862</v>
      </c>
      <c r="D1344" s="24">
        <v>19880</v>
      </c>
      <c r="E1344" s="22" t="s">
        <v>149</v>
      </c>
      <c r="F1344" s="22" t="s">
        <v>5</v>
      </c>
      <c r="G1344" s="22" t="s">
        <v>4613</v>
      </c>
      <c r="H1344" s="22" t="s">
        <v>11</v>
      </c>
      <c r="I1344" s="22" t="s">
        <v>5</v>
      </c>
      <c r="J1344" s="22" t="s">
        <v>40</v>
      </c>
      <c r="K1344" s="22" t="s">
        <v>4609</v>
      </c>
      <c r="L1344" s="22" t="s">
        <v>4607</v>
      </c>
      <c r="M1344" s="25"/>
    </row>
    <row r="1345" customHeight="1" spans="1:13">
      <c r="A1345" s="21">
        <v>45839</v>
      </c>
      <c r="B1345" s="22" t="s">
        <v>5492</v>
      </c>
      <c r="C1345" s="23">
        <v>45869</v>
      </c>
      <c r="D1345" s="24">
        <v>500</v>
      </c>
      <c r="E1345" s="22" t="s">
        <v>149</v>
      </c>
      <c r="F1345" s="22" t="s">
        <v>5</v>
      </c>
      <c r="G1345" s="22" t="s">
        <v>4615</v>
      </c>
      <c r="H1345" s="22" t="s">
        <v>10</v>
      </c>
      <c r="I1345" s="22" t="s">
        <v>5</v>
      </c>
      <c r="J1345" s="22" t="s">
        <v>40</v>
      </c>
      <c r="K1345" s="22" t="s">
        <v>1023</v>
      </c>
      <c r="L1345" s="22" t="s">
        <v>4260</v>
      </c>
      <c r="M1345" s="25"/>
    </row>
    <row r="1346" customHeight="1" spans="1:13">
      <c r="A1346" s="21">
        <v>45870</v>
      </c>
      <c r="B1346" s="22" t="s">
        <v>5493</v>
      </c>
      <c r="C1346" s="23">
        <v>45875</v>
      </c>
      <c r="D1346" s="24">
        <v>100</v>
      </c>
      <c r="E1346" s="22" t="s">
        <v>139</v>
      </c>
      <c r="F1346" s="22" t="s">
        <v>5</v>
      </c>
      <c r="G1346" s="22" t="s">
        <v>4619</v>
      </c>
      <c r="H1346" s="22" t="s">
        <v>10</v>
      </c>
      <c r="I1346" s="22" t="s">
        <v>5</v>
      </c>
      <c r="J1346" s="22" t="s">
        <v>40</v>
      </c>
      <c r="K1346" s="22" t="s">
        <v>4621</v>
      </c>
      <c r="L1346" s="22" t="s">
        <v>1447</v>
      </c>
      <c r="M1346" s="25"/>
    </row>
    <row r="1347" customHeight="1" spans="1:13">
      <c r="A1347" s="21">
        <v>45870</v>
      </c>
      <c r="B1347" s="22" t="s">
        <v>5493</v>
      </c>
      <c r="C1347" s="23">
        <v>45875</v>
      </c>
      <c r="D1347" s="24">
        <v>80</v>
      </c>
      <c r="E1347" s="22" t="s">
        <v>139</v>
      </c>
      <c r="F1347" s="22" t="s">
        <v>5</v>
      </c>
      <c r="G1347" s="22" t="s">
        <v>4623</v>
      </c>
      <c r="H1347" s="22" t="s">
        <v>10</v>
      </c>
      <c r="I1347" s="22" t="s">
        <v>5</v>
      </c>
      <c r="J1347" s="22" t="s">
        <v>40</v>
      </c>
      <c r="K1347" s="22" t="s">
        <v>4621</v>
      </c>
      <c r="L1347" s="22" t="s">
        <v>1447</v>
      </c>
      <c r="M1347" s="25"/>
    </row>
    <row r="1348" customHeight="1" spans="1:13">
      <c r="A1348" s="21">
        <v>45870</v>
      </c>
      <c r="B1348" s="22" t="s">
        <v>5493</v>
      </c>
      <c r="C1348" s="23">
        <v>45876</v>
      </c>
      <c r="D1348" s="24">
        <v>320</v>
      </c>
      <c r="E1348" s="22" t="s">
        <v>149</v>
      </c>
      <c r="F1348" s="22" t="s">
        <v>5</v>
      </c>
      <c r="G1348" s="22" t="s">
        <v>4627</v>
      </c>
      <c r="H1348" s="22" t="s">
        <v>10</v>
      </c>
      <c r="I1348" s="22" t="s">
        <v>5</v>
      </c>
      <c r="J1348" s="22" t="s">
        <v>40</v>
      </c>
      <c r="K1348" s="22" t="s">
        <v>1446</v>
      </c>
      <c r="L1348" s="22" t="s">
        <v>1447</v>
      </c>
      <c r="M1348" s="25"/>
    </row>
    <row r="1349" customHeight="1" spans="1:13">
      <c r="A1349" s="21">
        <v>45870</v>
      </c>
      <c r="B1349" s="22" t="s">
        <v>5493</v>
      </c>
      <c r="C1349" s="23">
        <v>45876</v>
      </c>
      <c r="D1349" s="24">
        <v>3025</v>
      </c>
      <c r="E1349" s="22" t="s">
        <v>303</v>
      </c>
      <c r="F1349" s="22" t="s">
        <v>5</v>
      </c>
      <c r="G1349" s="22" t="s">
        <v>4630</v>
      </c>
      <c r="H1349" s="22" t="s">
        <v>10</v>
      </c>
      <c r="I1349" s="22" t="s">
        <v>5</v>
      </c>
      <c r="J1349" s="22" t="s">
        <v>40</v>
      </c>
      <c r="K1349" s="22" t="s">
        <v>1446</v>
      </c>
      <c r="L1349" s="22" t="s">
        <v>1447</v>
      </c>
      <c r="M1349" s="25"/>
    </row>
    <row r="1350" customHeight="1" spans="1:13">
      <c r="A1350" s="21">
        <v>45870</v>
      </c>
      <c r="B1350" s="22" t="s">
        <v>5493</v>
      </c>
      <c r="C1350" s="23">
        <v>45883</v>
      </c>
      <c r="D1350" s="24">
        <v>23</v>
      </c>
      <c r="E1350" s="22" t="s">
        <v>149</v>
      </c>
      <c r="F1350" s="22" t="s">
        <v>5</v>
      </c>
      <c r="G1350" s="22" t="s">
        <v>4637</v>
      </c>
      <c r="H1350" s="22" t="s">
        <v>10</v>
      </c>
      <c r="I1350" s="22" t="s">
        <v>5</v>
      </c>
      <c r="J1350" s="22" t="s">
        <v>40</v>
      </c>
      <c r="K1350" s="22" t="s">
        <v>1016</v>
      </c>
      <c r="L1350" s="22" t="s">
        <v>4409</v>
      </c>
      <c r="M1350" s="25"/>
    </row>
    <row r="1351" customHeight="1" spans="1:13">
      <c r="A1351" s="21">
        <v>45870</v>
      </c>
      <c r="B1351" s="22" t="s">
        <v>5493</v>
      </c>
      <c r="C1351" s="23">
        <v>45883</v>
      </c>
      <c r="D1351" s="24">
        <v>22</v>
      </c>
      <c r="E1351" s="22" t="s">
        <v>149</v>
      </c>
      <c r="F1351" s="22" t="s">
        <v>5</v>
      </c>
      <c r="G1351" s="22" t="s">
        <v>4641</v>
      </c>
      <c r="H1351" s="22" t="s">
        <v>10</v>
      </c>
      <c r="I1351" s="22" t="s">
        <v>5</v>
      </c>
      <c r="J1351" s="22" t="s">
        <v>40</v>
      </c>
      <c r="K1351" s="22" t="s">
        <v>1016</v>
      </c>
      <c r="L1351" s="22" t="s">
        <v>4409</v>
      </c>
      <c r="M1351" s="25"/>
    </row>
    <row r="1352" customHeight="1" spans="1:13">
      <c r="A1352" s="21">
        <v>45870</v>
      </c>
      <c r="B1352" s="22" t="s">
        <v>5495</v>
      </c>
      <c r="C1352" s="23">
        <v>45888</v>
      </c>
      <c r="D1352" s="27">
        <v>1365</v>
      </c>
      <c r="E1352" s="22" t="s">
        <v>173</v>
      </c>
      <c r="F1352" s="22" t="s">
        <v>5</v>
      </c>
      <c r="G1352" s="22" t="s">
        <v>4643</v>
      </c>
      <c r="H1352" s="22" t="s">
        <v>11</v>
      </c>
      <c r="I1352" s="22" t="s">
        <v>5</v>
      </c>
      <c r="J1352" s="22" t="s">
        <v>39</v>
      </c>
      <c r="K1352" s="22" t="s">
        <v>4645</v>
      </c>
      <c r="L1352" s="22" t="s">
        <v>2942</v>
      </c>
      <c r="M1352" s="25"/>
    </row>
    <row r="1353" customHeight="1" spans="1:13">
      <c r="A1353" s="21">
        <v>45870</v>
      </c>
      <c r="B1353" s="22" t="s">
        <v>5495</v>
      </c>
      <c r="C1353" s="23">
        <v>45891</v>
      </c>
      <c r="D1353" s="24">
        <v>157.6</v>
      </c>
      <c r="E1353" s="22" t="s">
        <v>149</v>
      </c>
      <c r="F1353" s="22" t="s">
        <v>5</v>
      </c>
      <c r="G1353" s="22" t="s">
        <v>4648</v>
      </c>
      <c r="H1353" s="22" t="s">
        <v>10</v>
      </c>
      <c r="I1353" s="22" t="s">
        <v>5</v>
      </c>
      <c r="J1353" s="22" t="s">
        <v>40</v>
      </c>
      <c r="K1353" s="22" t="s">
        <v>1016</v>
      </c>
      <c r="L1353" s="22" t="s">
        <v>4409</v>
      </c>
      <c r="M1353" s="25"/>
    </row>
    <row r="1354" customHeight="1" spans="1:13">
      <c r="A1354" s="21">
        <v>45870</v>
      </c>
      <c r="B1354" s="22" t="s">
        <v>5495</v>
      </c>
      <c r="C1354" s="23">
        <v>45891</v>
      </c>
      <c r="D1354" s="24">
        <v>120</v>
      </c>
      <c r="E1354" s="22" t="s">
        <v>149</v>
      </c>
      <c r="F1354" s="22" t="s">
        <v>5</v>
      </c>
      <c r="G1354" s="22" t="s">
        <v>4652</v>
      </c>
      <c r="H1354" s="22" t="s">
        <v>10</v>
      </c>
      <c r="I1354" s="22" t="s">
        <v>5</v>
      </c>
      <c r="J1354" s="22" t="s">
        <v>40</v>
      </c>
      <c r="K1354" s="22" t="s">
        <v>1016</v>
      </c>
      <c r="L1354" s="22" t="s">
        <v>4409</v>
      </c>
      <c r="M1354" s="25"/>
    </row>
    <row r="1355" customHeight="1" spans="1:13">
      <c r="A1355" s="21">
        <v>45870</v>
      </c>
      <c r="B1355" s="22" t="s">
        <v>5495</v>
      </c>
      <c r="C1355" s="23">
        <v>45896</v>
      </c>
      <c r="D1355" s="24">
        <v>100</v>
      </c>
      <c r="E1355" s="22" t="s">
        <v>139</v>
      </c>
      <c r="F1355" s="22" t="s">
        <v>5</v>
      </c>
      <c r="G1355" s="22" t="s">
        <v>4656</v>
      </c>
      <c r="H1355" s="22" t="s">
        <v>10</v>
      </c>
      <c r="I1355" s="22" t="s">
        <v>5</v>
      </c>
      <c r="J1355" s="22" t="s">
        <v>40</v>
      </c>
      <c r="K1355" s="22" t="s">
        <v>4494</v>
      </c>
      <c r="L1355" s="22" t="s">
        <v>1447</v>
      </c>
      <c r="M1355" s="25"/>
    </row>
    <row r="1356" customHeight="1" spans="1:13">
      <c r="A1356" s="21">
        <v>45870</v>
      </c>
      <c r="B1356" s="22" t="s">
        <v>5495</v>
      </c>
      <c r="C1356" s="23">
        <v>45897</v>
      </c>
      <c r="D1356" s="24">
        <v>10000</v>
      </c>
      <c r="E1356" s="22" t="s">
        <v>149</v>
      </c>
      <c r="F1356" s="22" t="s">
        <v>5</v>
      </c>
      <c r="G1356" s="22" t="s">
        <v>4658</v>
      </c>
      <c r="H1356" s="22" t="s">
        <v>11</v>
      </c>
      <c r="I1356" s="22" t="s">
        <v>5</v>
      </c>
      <c r="J1356" s="22" t="s">
        <v>40</v>
      </c>
      <c r="K1356" s="22" t="s">
        <v>4660</v>
      </c>
      <c r="L1356" s="22" t="s">
        <v>2960</v>
      </c>
      <c r="M1356" s="25"/>
    </row>
    <row r="1357" customHeight="1" spans="1:13">
      <c r="A1357" s="21">
        <v>45870</v>
      </c>
      <c r="B1357" s="22" t="s">
        <v>5495</v>
      </c>
      <c r="C1357" s="23">
        <v>45897</v>
      </c>
      <c r="D1357" s="27">
        <v>9850</v>
      </c>
      <c r="E1357" s="22" t="s">
        <v>149</v>
      </c>
      <c r="F1357" s="22" t="s">
        <v>5</v>
      </c>
      <c r="G1357" s="22" t="s">
        <v>4662</v>
      </c>
      <c r="H1357" s="22" t="s">
        <v>11</v>
      </c>
      <c r="I1357" s="22" t="s">
        <v>5</v>
      </c>
      <c r="J1357" s="22" t="s">
        <v>40</v>
      </c>
      <c r="K1357" s="22" t="s">
        <v>4660</v>
      </c>
      <c r="L1357" s="22" t="s">
        <v>2960</v>
      </c>
      <c r="M1357" s="25"/>
    </row>
    <row r="1358" customHeight="1" spans="1:13">
      <c r="A1358" s="21">
        <v>45901</v>
      </c>
      <c r="B1358" s="22" t="s">
        <v>5497</v>
      </c>
      <c r="C1358" s="23">
        <v>45901</v>
      </c>
      <c r="D1358" s="24">
        <v>300</v>
      </c>
      <c r="E1358" s="22" t="s">
        <v>173</v>
      </c>
      <c r="F1358" s="22" t="s">
        <v>5</v>
      </c>
      <c r="G1358" s="22" t="s">
        <v>4664</v>
      </c>
      <c r="H1358" s="22" t="s">
        <v>12</v>
      </c>
      <c r="I1358" s="22" t="s">
        <v>5</v>
      </c>
      <c r="J1358" s="22" t="s">
        <v>39</v>
      </c>
      <c r="K1358" s="22" t="s">
        <v>4571</v>
      </c>
      <c r="L1358" s="22" t="s">
        <v>4569</v>
      </c>
      <c r="M1358" s="25"/>
    </row>
    <row r="1359" customHeight="1" spans="1:13">
      <c r="A1359" s="21">
        <v>45901</v>
      </c>
      <c r="B1359" s="22" t="s">
        <v>5497</v>
      </c>
      <c r="C1359" s="23">
        <v>45901</v>
      </c>
      <c r="D1359" s="24">
        <v>20000</v>
      </c>
      <c r="E1359" s="22" t="s">
        <v>149</v>
      </c>
      <c r="F1359" s="22" t="s">
        <v>5</v>
      </c>
      <c r="G1359" s="22" t="s">
        <v>4670</v>
      </c>
      <c r="H1359" s="22" t="s">
        <v>11</v>
      </c>
      <c r="I1359" s="22" t="s">
        <v>5</v>
      </c>
      <c r="J1359" s="22" t="s">
        <v>40</v>
      </c>
      <c r="K1359" s="22" t="s">
        <v>4571</v>
      </c>
      <c r="L1359" s="22" t="s">
        <v>4569</v>
      </c>
      <c r="M1359" s="25"/>
    </row>
    <row r="1360" customHeight="1" spans="1:13">
      <c r="A1360" s="21">
        <v>45901</v>
      </c>
      <c r="B1360" s="22" t="s">
        <v>5497</v>
      </c>
      <c r="C1360" s="23">
        <v>45901</v>
      </c>
      <c r="D1360" s="24">
        <v>19400</v>
      </c>
      <c r="E1360" s="22" t="s">
        <v>149</v>
      </c>
      <c r="F1360" s="22" t="s">
        <v>5</v>
      </c>
      <c r="G1360" s="22" t="s">
        <v>4672</v>
      </c>
      <c r="H1360" s="22" t="s">
        <v>11</v>
      </c>
      <c r="I1360" s="22" t="s">
        <v>5</v>
      </c>
      <c r="J1360" s="22" t="s">
        <v>40</v>
      </c>
      <c r="K1360" s="22" t="s">
        <v>4571</v>
      </c>
      <c r="L1360" s="22" t="s">
        <v>4569</v>
      </c>
      <c r="M1360" s="25"/>
    </row>
    <row r="1361" customHeight="1" spans="1:13">
      <c r="A1361" s="21">
        <v>45901</v>
      </c>
      <c r="B1361" s="22" t="s">
        <v>5497</v>
      </c>
      <c r="C1361" s="23">
        <v>45904</v>
      </c>
      <c r="D1361" s="24">
        <v>330.1</v>
      </c>
      <c r="E1361" s="22" t="s">
        <v>173</v>
      </c>
      <c r="F1361" s="22" t="s">
        <v>5</v>
      </c>
      <c r="G1361" s="22" t="s">
        <v>4674</v>
      </c>
      <c r="H1361" s="22" t="s">
        <v>11</v>
      </c>
      <c r="I1361" s="22" t="s">
        <v>5</v>
      </c>
      <c r="J1361" s="22" t="s">
        <v>39</v>
      </c>
      <c r="K1361" s="22" t="s">
        <v>4676</v>
      </c>
      <c r="L1361" s="22" t="s">
        <v>2919</v>
      </c>
      <c r="M1361" s="25"/>
    </row>
    <row r="1362" customHeight="1" spans="1:13">
      <c r="A1362" s="21">
        <v>45901</v>
      </c>
      <c r="B1362" s="22" t="s">
        <v>5497</v>
      </c>
      <c r="C1362" s="23">
        <v>45908</v>
      </c>
      <c r="D1362" s="24">
        <v>8168</v>
      </c>
      <c r="E1362" s="22" t="s">
        <v>173</v>
      </c>
      <c r="F1362" s="22" t="s">
        <v>5</v>
      </c>
      <c r="G1362" s="22" t="s">
        <v>4678</v>
      </c>
      <c r="H1362" s="22" t="s">
        <v>11</v>
      </c>
      <c r="I1362" s="22" t="s">
        <v>5</v>
      </c>
      <c r="J1362" s="22" t="s">
        <v>39</v>
      </c>
      <c r="K1362" s="22" t="s">
        <v>4680</v>
      </c>
      <c r="L1362" s="22" t="s">
        <v>2908</v>
      </c>
      <c r="M1362" s="25"/>
    </row>
    <row r="1363" customHeight="1" spans="1:13">
      <c r="A1363" s="21">
        <v>45901</v>
      </c>
      <c r="B1363" s="22" t="s">
        <v>5497</v>
      </c>
      <c r="C1363" s="23">
        <v>45909</v>
      </c>
      <c r="D1363" s="24">
        <v>9.05</v>
      </c>
      <c r="E1363" s="22" t="s">
        <v>149</v>
      </c>
      <c r="F1363" s="22" t="s">
        <v>5</v>
      </c>
      <c r="G1363" s="22" t="s">
        <v>4683</v>
      </c>
      <c r="H1363" s="22" t="s">
        <v>10</v>
      </c>
      <c r="I1363" s="22" t="s">
        <v>5</v>
      </c>
      <c r="J1363" s="22" t="s">
        <v>40</v>
      </c>
      <c r="K1363" s="22" t="s">
        <v>1023</v>
      </c>
      <c r="L1363" s="22" t="s">
        <v>4260</v>
      </c>
      <c r="M1363" s="25"/>
    </row>
    <row r="1364" customHeight="1" spans="1:13">
      <c r="A1364" s="21">
        <v>45901</v>
      </c>
      <c r="B1364" s="22" t="s">
        <v>5497</v>
      </c>
      <c r="C1364" s="23">
        <v>45909</v>
      </c>
      <c r="D1364" s="24">
        <v>8.3</v>
      </c>
      <c r="E1364" s="22" t="s">
        <v>149</v>
      </c>
      <c r="F1364" s="22" t="s">
        <v>5</v>
      </c>
      <c r="G1364" s="22" t="s">
        <v>4686</v>
      </c>
      <c r="H1364" s="22" t="s">
        <v>10</v>
      </c>
      <c r="I1364" s="22" t="s">
        <v>5</v>
      </c>
      <c r="J1364" s="22" t="s">
        <v>40</v>
      </c>
      <c r="K1364" s="22" t="s">
        <v>1023</v>
      </c>
      <c r="L1364" s="22" t="s">
        <v>4260</v>
      </c>
      <c r="M1364" s="25"/>
    </row>
    <row r="1365" customHeight="1" spans="1:13">
      <c r="A1365" s="21">
        <v>45901</v>
      </c>
      <c r="B1365" s="22" t="s">
        <v>5497</v>
      </c>
      <c r="C1365" s="23">
        <v>45911</v>
      </c>
      <c r="D1365" s="24">
        <v>12.51</v>
      </c>
      <c r="E1365" s="22" t="s">
        <v>149</v>
      </c>
      <c r="F1365" s="22" t="s">
        <v>5</v>
      </c>
      <c r="G1365" s="22" t="s">
        <v>4688</v>
      </c>
      <c r="H1365" s="22" t="s">
        <v>10</v>
      </c>
      <c r="I1365" s="22" t="s">
        <v>5</v>
      </c>
      <c r="J1365" s="22" t="s">
        <v>40</v>
      </c>
      <c r="K1365" s="22" t="s">
        <v>1023</v>
      </c>
      <c r="L1365" s="22" t="s">
        <v>4260</v>
      </c>
      <c r="M1365" s="25"/>
    </row>
    <row r="1366" customHeight="1" spans="1:13">
      <c r="A1366" s="21">
        <v>45901</v>
      </c>
      <c r="B1366" s="22" t="s">
        <v>5499</v>
      </c>
      <c r="C1366" s="23">
        <v>45916</v>
      </c>
      <c r="D1366" s="24">
        <v>9.3</v>
      </c>
      <c r="E1366" s="22" t="s">
        <v>149</v>
      </c>
      <c r="F1366" s="22" t="s">
        <v>5</v>
      </c>
      <c r="G1366" s="22" t="s">
        <v>4690</v>
      </c>
      <c r="H1366" s="22" t="s">
        <v>10</v>
      </c>
      <c r="I1366" s="22" t="s">
        <v>5</v>
      </c>
      <c r="J1366" s="22" t="s">
        <v>40</v>
      </c>
      <c r="K1366" s="22" t="s">
        <v>1023</v>
      </c>
      <c r="L1366" s="22" t="s">
        <v>4260</v>
      </c>
      <c r="M1366" s="25"/>
    </row>
    <row r="1367" customHeight="1" spans="1:13">
      <c r="A1367" s="21">
        <v>45901</v>
      </c>
      <c r="B1367" s="22" t="s">
        <v>5499</v>
      </c>
      <c r="C1367" s="23">
        <v>45925</v>
      </c>
      <c r="D1367" s="28">
        <v>10050</v>
      </c>
      <c r="E1367" s="22" t="s">
        <v>149</v>
      </c>
      <c r="F1367" s="22" t="s">
        <v>5</v>
      </c>
      <c r="G1367" s="22" t="s">
        <v>4695</v>
      </c>
      <c r="H1367" s="22" t="s">
        <v>11</v>
      </c>
      <c r="I1367" s="22" t="s">
        <v>5</v>
      </c>
      <c r="J1367" s="22" t="s">
        <v>40</v>
      </c>
      <c r="K1367" s="22" t="s">
        <v>4699</v>
      </c>
      <c r="L1367" s="22" t="s">
        <v>4697</v>
      </c>
      <c r="M1367" s="25"/>
    </row>
    <row r="1368" customHeight="1" spans="1:13">
      <c r="A1368" s="21">
        <v>45931</v>
      </c>
      <c r="B1368" s="22" t="s">
        <v>5500</v>
      </c>
      <c r="C1368" s="23">
        <v>45933</v>
      </c>
      <c r="D1368" s="24">
        <v>83.698</v>
      </c>
      <c r="E1368" s="22" t="s">
        <v>303</v>
      </c>
      <c r="F1368" s="22" t="s">
        <v>5</v>
      </c>
      <c r="G1368" s="22" t="s">
        <v>4700</v>
      </c>
      <c r="H1368" s="22" t="s">
        <v>10</v>
      </c>
      <c r="I1368" s="22" t="s">
        <v>5</v>
      </c>
      <c r="J1368" s="22" t="s">
        <v>40</v>
      </c>
      <c r="K1368" s="24">
        <v>0</v>
      </c>
      <c r="L1368" s="26" t="e">
        <v>#N/A</v>
      </c>
      <c r="M1368" s="25"/>
    </row>
    <row r="1369" customHeight="1" spans="1:13">
      <c r="A1369" s="21">
        <v>45931</v>
      </c>
      <c r="B1369" s="22" t="s">
        <v>5500</v>
      </c>
      <c r="C1369" s="23">
        <v>45937</v>
      </c>
      <c r="D1369" s="24">
        <v>400</v>
      </c>
      <c r="E1369" s="22" t="s">
        <v>149</v>
      </c>
      <c r="F1369" s="22" t="s">
        <v>5</v>
      </c>
      <c r="G1369" s="22" t="s">
        <v>4703</v>
      </c>
      <c r="H1369" s="22" t="s">
        <v>10</v>
      </c>
      <c r="I1369" s="22" t="s">
        <v>5</v>
      </c>
      <c r="J1369" s="22" t="s">
        <v>40</v>
      </c>
      <c r="K1369" s="22" t="s">
        <v>4705</v>
      </c>
      <c r="L1369" s="22" t="s">
        <v>1275</v>
      </c>
      <c r="M1369" s="25"/>
    </row>
    <row r="1370" customHeight="1" spans="1:13">
      <c r="A1370" s="21">
        <v>45931</v>
      </c>
      <c r="B1370" s="22" t="s">
        <v>5500</v>
      </c>
      <c r="C1370" s="23">
        <v>45937</v>
      </c>
      <c r="D1370" s="24">
        <v>400</v>
      </c>
      <c r="E1370" s="22" t="s">
        <v>149</v>
      </c>
      <c r="F1370" s="22" t="s">
        <v>5</v>
      </c>
      <c r="G1370" s="22" t="s">
        <v>4706</v>
      </c>
      <c r="H1370" s="22" t="s">
        <v>10</v>
      </c>
      <c r="I1370" s="22" t="s">
        <v>5</v>
      </c>
      <c r="J1370" s="22" t="s">
        <v>40</v>
      </c>
      <c r="K1370" s="22" t="s">
        <v>4705</v>
      </c>
      <c r="L1370" s="22" t="s">
        <v>1275</v>
      </c>
      <c r="M1370" s="25"/>
    </row>
    <row r="1371" customHeight="1" spans="1:13">
      <c r="A1371" s="21">
        <v>45931</v>
      </c>
      <c r="B1371" s="22" t="s">
        <v>5501</v>
      </c>
      <c r="C1371" s="23">
        <v>45946</v>
      </c>
      <c r="D1371" s="24">
        <v>7174240</v>
      </c>
      <c r="E1371" s="22" t="s">
        <v>1172</v>
      </c>
      <c r="F1371" s="22" t="s">
        <v>5</v>
      </c>
      <c r="G1371" s="22" t="s">
        <v>4708</v>
      </c>
      <c r="H1371" s="22" t="s">
        <v>10</v>
      </c>
      <c r="I1371" s="22" t="s">
        <v>5</v>
      </c>
      <c r="J1371" s="22" t="s">
        <v>42</v>
      </c>
      <c r="K1371" s="22" t="s">
        <v>4713</v>
      </c>
      <c r="L1371" s="22" t="s">
        <v>4710</v>
      </c>
      <c r="M1371" s="25"/>
    </row>
    <row r="1372" customHeight="1" spans="1:13">
      <c r="A1372" s="21">
        <v>45931</v>
      </c>
      <c r="B1372" s="22" t="s">
        <v>5501</v>
      </c>
      <c r="C1372" s="23">
        <v>45950</v>
      </c>
      <c r="D1372" s="24">
        <v>140</v>
      </c>
      <c r="E1372" s="22" t="s">
        <v>149</v>
      </c>
      <c r="F1372" s="22" t="s">
        <v>5</v>
      </c>
      <c r="G1372" s="22" t="s">
        <v>4716</v>
      </c>
      <c r="H1372" s="22" t="s">
        <v>10</v>
      </c>
      <c r="I1372" s="22" t="s">
        <v>5</v>
      </c>
      <c r="J1372" s="22" t="s">
        <v>40</v>
      </c>
      <c r="K1372" s="22" t="s">
        <v>4720</v>
      </c>
      <c r="L1372" s="22" t="s">
        <v>4718</v>
      </c>
      <c r="M1372" s="25"/>
    </row>
    <row r="1373" customHeight="1" spans="1:13">
      <c r="A1373" s="21">
        <v>45931</v>
      </c>
      <c r="B1373" s="22" t="s">
        <v>5501</v>
      </c>
      <c r="C1373" s="23">
        <v>45951</v>
      </c>
      <c r="D1373" s="24">
        <v>220</v>
      </c>
      <c r="E1373" s="22" t="s">
        <v>149</v>
      </c>
      <c r="F1373" s="22" t="s">
        <v>5</v>
      </c>
      <c r="G1373" s="22" t="s">
        <v>4722</v>
      </c>
      <c r="H1373" s="22" t="s">
        <v>10</v>
      </c>
      <c r="I1373" s="22" t="s">
        <v>5</v>
      </c>
      <c r="J1373" s="22" t="s">
        <v>40</v>
      </c>
      <c r="K1373" s="22" t="s">
        <v>4724</v>
      </c>
      <c r="L1373" s="22" t="s">
        <v>1275</v>
      </c>
      <c r="M1373" s="25"/>
    </row>
    <row r="1374" customHeight="1" spans="1:13">
      <c r="A1374" s="21">
        <v>45931</v>
      </c>
      <c r="B1374" s="22" t="s">
        <v>5501</v>
      </c>
      <c r="C1374" s="23">
        <v>45959</v>
      </c>
      <c r="D1374" s="24">
        <v>55</v>
      </c>
      <c r="E1374" s="22" t="s">
        <v>149</v>
      </c>
      <c r="F1374" s="22" t="s">
        <v>5</v>
      </c>
      <c r="G1374" s="22" t="s">
        <v>4726</v>
      </c>
      <c r="H1374" s="22" t="s">
        <v>10</v>
      </c>
      <c r="I1374" s="22" t="s">
        <v>5</v>
      </c>
      <c r="J1374" s="22" t="s">
        <v>40</v>
      </c>
      <c r="K1374" s="22" t="s">
        <v>1016</v>
      </c>
      <c r="L1374" s="22" t="s">
        <v>4409</v>
      </c>
      <c r="M1374" s="25"/>
    </row>
    <row r="1375" customHeight="1" spans="1:13">
      <c r="A1375" s="21">
        <v>45962</v>
      </c>
      <c r="B1375" s="22" t="s">
        <v>5502</v>
      </c>
      <c r="C1375" s="23">
        <v>45962</v>
      </c>
      <c r="D1375" s="24">
        <v>11900</v>
      </c>
      <c r="E1375" s="22" t="s">
        <v>149</v>
      </c>
      <c r="F1375" s="22" t="s">
        <v>5</v>
      </c>
      <c r="G1375" s="22" t="s">
        <v>5673</v>
      </c>
      <c r="H1375" s="22" t="s">
        <v>11</v>
      </c>
      <c r="I1375" s="22" t="s">
        <v>5</v>
      </c>
      <c r="J1375" s="22" t="s">
        <v>40</v>
      </c>
      <c r="K1375" s="22" t="s">
        <v>4734</v>
      </c>
      <c r="L1375" s="22" t="s">
        <v>4732</v>
      </c>
      <c r="M1375" s="25"/>
    </row>
    <row r="1376" customHeight="1" spans="1:13">
      <c r="A1376" s="21">
        <v>45962</v>
      </c>
      <c r="B1376" s="22" t="s">
        <v>5502</v>
      </c>
      <c r="C1376" s="23">
        <v>45962</v>
      </c>
      <c r="D1376" s="24">
        <v>23400</v>
      </c>
      <c r="E1376" s="22" t="s">
        <v>149</v>
      </c>
      <c r="F1376" s="22" t="s">
        <v>5</v>
      </c>
      <c r="G1376" s="22" t="s">
        <v>4736</v>
      </c>
      <c r="H1376" s="22" t="s">
        <v>11</v>
      </c>
      <c r="I1376" s="22" t="s">
        <v>5</v>
      </c>
      <c r="J1376" s="22" t="s">
        <v>40</v>
      </c>
      <c r="K1376" s="22" t="s">
        <v>4734</v>
      </c>
      <c r="L1376" s="22" t="s">
        <v>4732</v>
      </c>
      <c r="M1376" s="25"/>
    </row>
    <row r="1377" customHeight="1" spans="1:13">
      <c r="A1377" s="21">
        <v>45962</v>
      </c>
      <c r="B1377" s="22" t="s">
        <v>5502</v>
      </c>
      <c r="C1377" s="23">
        <v>45971</v>
      </c>
      <c r="D1377" s="24">
        <v>330</v>
      </c>
      <c r="E1377" s="22" t="s">
        <v>149</v>
      </c>
      <c r="F1377" s="22" t="s">
        <v>5</v>
      </c>
      <c r="G1377" s="22" t="s">
        <v>4740</v>
      </c>
      <c r="H1377" s="22" t="s">
        <v>10</v>
      </c>
      <c r="I1377" s="22" t="s">
        <v>5</v>
      </c>
      <c r="J1377" s="22" t="s">
        <v>40</v>
      </c>
      <c r="K1377" s="22" t="s">
        <v>1016</v>
      </c>
      <c r="L1377" s="22" t="s">
        <v>4409</v>
      </c>
      <c r="M1377" s="25"/>
    </row>
    <row r="1378" customHeight="1" spans="1:13">
      <c r="A1378" s="21">
        <v>45962</v>
      </c>
      <c r="B1378" s="22" t="s">
        <v>5502</v>
      </c>
      <c r="C1378" s="23">
        <v>45971</v>
      </c>
      <c r="D1378" s="24">
        <v>140</v>
      </c>
      <c r="E1378" s="22" t="s">
        <v>149</v>
      </c>
      <c r="F1378" s="22" t="s">
        <v>5</v>
      </c>
      <c r="G1378" s="22" t="s">
        <v>4744</v>
      </c>
      <c r="H1378" s="22" t="s">
        <v>10</v>
      </c>
      <c r="I1378" s="22" t="s">
        <v>5</v>
      </c>
      <c r="J1378" s="22" t="s">
        <v>40</v>
      </c>
      <c r="K1378" s="22" t="s">
        <v>1016</v>
      </c>
      <c r="L1378" s="22" t="s">
        <v>4409</v>
      </c>
      <c r="M1378" s="25"/>
    </row>
    <row r="1379" customHeight="1" spans="1:13">
      <c r="A1379" s="21">
        <v>45962</v>
      </c>
      <c r="B1379" s="22" t="s">
        <v>5502</v>
      </c>
      <c r="C1379" s="23">
        <v>45972</v>
      </c>
      <c r="D1379" s="27">
        <v>4160</v>
      </c>
      <c r="E1379" s="22" t="s">
        <v>173</v>
      </c>
      <c r="F1379" s="22" t="s">
        <v>5</v>
      </c>
      <c r="G1379" s="22" t="s">
        <v>2996</v>
      </c>
      <c r="H1379" s="22" t="s">
        <v>11</v>
      </c>
      <c r="I1379" s="22" t="s">
        <v>5</v>
      </c>
      <c r="J1379" s="22" t="s">
        <v>39</v>
      </c>
      <c r="K1379" s="22" t="s">
        <v>4749</v>
      </c>
      <c r="L1379" s="22" t="s">
        <v>2998</v>
      </c>
      <c r="M1379" s="25"/>
    </row>
    <row r="1380" customHeight="1" spans="1:13">
      <c r="A1380" s="21">
        <v>45962</v>
      </c>
      <c r="B1380" s="22" t="s">
        <v>5502</v>
      </c>
      <c r="C1380" s="23">
        <v>45972</v>
      </c>
      <c r="D1380" s="24">
        <v>60</v>
      </c>
      <c r="E1380" s="22" t="s">
        <v>149</v>
      </c>
      <c r="F1380" s="22" t="s">
        <v>5</v>
      </c>
      <c r="G1380" s="22" t="s">
        <v>4750</v>
      </c>
      <c r="H1380" s="22" t="s">
        <v>10</v>
      </c>
      <c r="I1380" s="22" t="s">
        <v>5</v>
      </c>
      <c r="J1380" s="22" t="s">
        <v>40</v>
      </c>
      <c r="K1380" s="22" t="s">
        <v>4749</v>
      </c>
      <c r="L1380" s="22" t="s">
        <v>2998</v>
      </c>
      <c r="M1380" s="25"/>
    </row>
    <row r="1381" customHeight="1" spans="1:13">
      <c r="A1381" s="21">
        <v>45962</v>
      </c>
      <c r="B1381" s="22" t="s">
        <v>5502</v>
      </c>
      <c r="C1381" s="23">
        <v>45972</v>
      </c>
      <c r="D1381" s="24">
        <v>55.56</v>
      </c>
      <c r="E1381" s="22" t="s">
        <v>149</v>
      </c>
      <c r="F1381" s="22" t="s">
        <v>5</v>
      </c>
      <c r="G1381" s="22" t="s">
        <v>4752</v>
      </c>
      <c r="H1381" s="22" t="s">
        <v>10</v>
      </c>
      <c r="I1381" s="22" t="s">
        <v>5</v>
      </c>
      <c r="J1381" s="22" t="s">
        <v>40</v>
      </c>
      <c r="K1381" s="22" t="s">
        <v>4749</v>
      </c>
      <c r="L1381" s="22" t="s">
        <v>2998</v>
      </c>
      <c r="M1381" s="25"/>
    </row>
    <row r="1382" customHeight="1" spans="1:13">
      <c r="A1382" s="21">
        <v>45962</v>
      </c>
      <c r="B1382" s="22" t="s">
        <v>5502</v>
      </c>
      <c r="C1382" s="23">
        <v>45974</v>
      </c>
      <c r="D1382" s="24">
        <v>80</v>
      </c>
      <c r="E1382" s="22" t="s">
        <v>149</v>
      </c>
      <c r="F1382" s="22" t="s">
        <v>5</v>
      </c>
      <c r="G1382" s="22" t="s">
        <v>4754</v>
      </c>
      <c r="H1382" s="22" t="s">
        <v>10</v>
      </c>
      <c r="I1382" s="22" t="s">
        <v>5</v>
      </c>
      <c r="J1382" s="22" t="s">
        <v>40</v>
      </c>
      <c r="K1382" s="22" t="s">
        <v>4758</v>
      </c>
      <c r="L1382" s="22" t="s">
        <v>4756</v>
      </c>
      <c r="M1382" s="25"/>
    </row>
    <row r="1383" customHeight="1" spans="1:13">
      <c r="A1383" s="21">
        <v>45962</v>
      </c>
      <c r="B1383" s="22" t="s">
        <v>5502</v>
      </c>
      <c r="C1383" s="23">
        <v>45975</v>
      </c>
      <c r="D1383" s="24">
        <v>98760</v>
      </c>
      <c r="E1383" s="22" t="s">
        <v>173</v>
      </c>
      <c r="F1383" s="22" t="s">
        <v>5</v>
      </c>
      <c r="G1383" s="22" t="s">
        <v>4759</v>
      </c>
      <c r="H1383" s="22" t="s">
        <v>12</v>
      </c>
      <c r="I1383" s="22" t="s">
        <v>5</v>
      </c>
      <c r="J1383" s="22" t="s">
        <v>39</v>
      </c>
      <c r="K1383" s="22" t="s">
        <v>4763</v>
      </c>
      <c r="L1383" s="22" t="s">
        <v>4761</v>
      </c>
      <c r="M1383" s="25"/>
    </row>
    <row r="1384" customHeight="1" spans="1:13">
      <c r="A1384" s="21">
        <v>45962</v>
      </c>
      <c r="B1384" s="22" t="s">
        <v>5502</v>
      </c>
      <c r="C1384" s="23">
        <v>45975</v>
      </c>
      <c r="D1384" s="24">
        <v>51900</v>
      </c>
      <c r="E1384" s="22" t="s">
        <v>173</v>
      </c>
      <c r="F1384" s="22" t="s">
        <v>5</v>
      </c>
      <c r="G1384" s="22" t="s">
        <v>4759</v>
      </c>
      <c r="H1384" s="22" t="s">
        <v>12</v>
      </c>
      <c r="I1384" s="22" t="s">
        <v>5</v>
      </c>
      <c r="J1384" s="22" t="s">
        <v>39</v>
      </c>
      <c r="K1384" s="22" t="s">
        <v>4763</v>
      </c>
      <c r="L1384" s="22" t="s">
        <v>4761</v>
      </c>
      <c r="M1384" s="25"/>
    </row>
    <row r="1385" customHeight="1" spans="1:13">
      <c r="A1385" s="21">
        <v>45962</v>
      </c>
      <c r="B1385" s="22" t="s">
        <v>5502</v>
      </c>
      <c r="C1385" s="23">
        <v>45975</v>
      </c>
      <c r="D1385" s="24">
        <v>98580</v>
      </c>
      <c r="E1385" s="22" t="s">
        <v>173</v>
      </c>
      <c r="F1385" s="22" t="s">
        <v>5</v>
      </c>
      <c r="G1385" s="22" t="s">
        <v>4759</v>
      </c>
      <c r="H1385" s="22" t="s">
        <v>12</v>
      </c>
      <c r="I1385" s="22" t="s">
        <v>5</v>
      </c>
      <c r="J1385" s="22" t="s">
        <v>39</v>
      </c>
      <c r="K1385" s="22" t="s">
        <v>4763</v>
      </c>
      <c r="L1385" s="22" t="s">
        <v>4761</v>
      </c>
      <c r="M1385" s="25"/>
    </row>
    <row r="1386" customHeight="1" spans="1:13">
      <c r="A1386" s="21">
        <v>45962</v>
      </c>
      <c r="B1386" s="22" t="s">
        <v>5472</v>
      </c>
      <c r="C1386" s="23">
        <v>45978</v>
      </c>
      <c r="D1386" s="24">
        <v>95000</v>
      </c>
      <c r="E1386" s="22" t="s">
        <v>173</v>
      </c>
      <c r="F1386" s="22" t="s">
        <v>5</v>
      </c>
      <c r="G1386" s="22" t="s">
        <v>4766</v>
      </c>
      <c r="H1386" s="22" t="s">
        <v>12</v>
      </c>
      <c r="I1386" s="22" t="s">
        <v>5</v>
      </c>
      <c r="J1386" s="22" t="s">
        <v>39</v>
      </c>
      <c r="K1386" s="22" t="s">
        <v>4763</v>
      </c>
      <c r="L1386" s="22" t="s">
        <v>4761</v>
      </c>
      <c r="M1386" s="25"/>
    </row>
    <row r="1387" customHeight="1" spans="1:13">
      <c r="A1387" s="21">
        <v>45962</v>
      </c>
      <c r="B1387" s="22" t="s">
        <v>5472</v>
      </c>
      <c r="C1387" s="23">
        <v>45982</v>
      </c>
      <c r="D1387" s="27">
        <v>1382</v>
      </c>
      <c r="E1387" s="22" t="s">
        <v>173</v>
      </c>
      <c r="F1387" s="22" t="s">
        <v>5</v>
      </c>
      <c r="G1387" s="22" t="s">
        <v>5674</v>
      </c>
      <c r="H1387" s="22" t="s">
        <v>11</v>
      </c>
      <c r="I1387" s="22" t="s">
        <v>5</v>
      </c>
      <c r="J1387" s="22" t="s">
        <v>39</v>
      </c>
      <c r="K1387" s="22" t="s">
        <v>4770</v>
      </c>
      <c r="L1387" s="22" t="s">
        <v>2908</v>
      </c>
      <c r="M1387" s="25"/>
    </row>
    <row r="1388" customHeight="1" spans="1:13">
      <c r="A1388" s="21">
        <v>45962</v>
      </c>
      <c r="B1388" s="22" t="s">
        <v>5472</v>
      </c>
      <c r="C1388" s="23">
        <v>45987</v>
      </c>
      <c r="D1388" s="24">
        <v>55.99</v>
      </c>
      <c r="E1388" s="22" t="s">
        <v>149</v>
      </c>
      <c r="F1388" s="22" t="s">
        <v>5</v>
      </c>
      <c r="G1388" s="22" t="s">
        <v>4771</v>
      </c>
      <c r="H1388" s="22" t="s">
        <v>10</v>
      </c>
      <c r="I1388" s="22" t="s">
        <v>5</v>
      </c>
      <c r="J1388" s="22" t="s">
        <v>40</v>
      </c>
      <c r="K1388" s="22" t="s">
        <v>1016</v>
      </c>
      <c r="L1388" s="22" t="s">
        <v>4409</v>
      </c>
      <c r="M1388" s="25"/>
    </row>
    <row r="1389" customHeight="1" spans="1:13">
      <c r="A1389" s="21">
        <v>45962</v>
      </c>
      <c r="B1389" s="22" t="s">
        <v>5472</v>
      </c>
      <c r="C1389" s="23">
        <v>45987</v>
      </c>
      <c r="D1389" s="24">
        <v>59.99</v>
      </c>
      <c r="E1389" s="22" t="s">
        <v>149</v>
      </c>
      <c r="F1389" s="22" t="s">
        <v>5</v>
      </c>
      <c r="G1389" s="22" t="s">
        <v>4775</v>
      </c>
      <c r="H1389" s="22" t="s">
        <v>10</v>
      </c>
      <c r="I1389" s="22" t="s">
        <v>5</v>
      </c>
      <c r="J1389" s="22" t="s">
        <v>40</v>
      </c>
      <c r="K1389" s="22" t="s">
        <v>1016</v>
      </c>
      <c r="L1389" s="22" t="s">
        <v>4409</v>
      </c>
      <c r="M1389" s="25"/>
    </row>
    <row r="1390" customHeight="1" spans="1:13">
      <c r="A1390" s="21">
        <v>45962</v>
      </c>
      <c r="B1390" s="22" t="s">
        <v>5472</v>
      </c>
      <c r="C1390" s="23">
        <v>45987</v>
      </c>
      <c r="D1390" s="24">
        <v>45</v>
      </c>
      <c r="E1390" s="22" t="s">
        <v>149</v>
      </c>
      <c r="F1390" s="22" t="s">
        <v>5</v>
      </c>
      <c r="G1390" s="22" t="s">
        <v>4777</v>
      </c>
      <c r="H1390" s="22" t="s">
        <v>10</v>
      </c>
      <c r="I1390" s="22" t="s">
        <v>5</v>
      </c>
      <c r="J1390" s="22" t="s">
        <v>40</v>
      </c>
      <c r="K1390" s="22" t="s">
        <v>1016</v>
      </c>
      <c r="L1390" s="22" t="s">
        <v>4409</v>
      </c>
      <c r="M1390" s="25"/>
    </row>
    <row r="1391" customHeight="1" spans="1:13">
      <c r="A1391" s="21">
        <v>45992</v>
      </c>
      <c r="B1391" s="22" t="s">
        <v>5474</v>
      </c>
      <c r="C1391" s="23">
        <v>45993</v>
      </c>
      <c r="D1391" s="24">
        <v>150</v>
      </c>
      <c r="E1391" s="22" t="s">
        <v>149</v>
      </c>
      <c r="F1391" s="22" t="s">
        <v>5</v>
      </c>
      <c r="G1391" s="22" t="s">
        <v>4779</v>
      </c>
      <c r="H1391" s="22" t="s">
        <v>10</v>
      </c>
      <c r="I1391" s="22" t="s">
        <v>5</v>
      </c>
      <c r="J1391" s="22" t="s">
        <v>40</v>
      </c>
      <c r="K1391" s="22" t="s">
        <v>4781</v>
      </c>
      <c r="L1391" s="22" t="s">
        <v>1432</v>
      </c>
      <c r="M1391" s="25"/>
    </row>
    <row r="1392" customHeight="1" spans="1:13">
      <c r="A1392" s="21">
        <v>45992</v>
      </c>
      <c r="B1392" s="22" t="s">
        <v>5474</v>
      </c>
      <c r="C1392" s="23">
        <v>45993</v>
      </c>
      <c r="D1392" s="24">
        <v>187</v>
      </c>
      <c r="E1392" s="22" t="s">
        <v>139</v>
      </c>
      <c r="F1392" s="22" t="s">
        <v>5</v>
      </c>
      <c r="G1392" s="22" t="s">
        <v>4782</v>
      </c>
      <c r="H1392" s="22" t="s">
        <v>10</v>
      </c>
      <c r="I1392" s="22" t="s">
        <v>5</v>
      </c>
      <c r="J1392" s="22" t="s">
        <v>40</v>
      </c>
      <c r="K1392" s="22" t="s">
        <v>4781</v>
      </c>
      <c r="L1392" s="22" t="s">
        <v>1432</v>
      </c>
      <c r="M1392" s="25"/>
    </row>
    <row r="1393" customHeight="1" spans="1:13">
      <c r="A1393" s="21">
        <v>45992</v>
      </c>
      <c r="B1393" s="22" t="s">
        <v>5474</v>
      </c>
      <c r="C1393" s="23">
        <v>45995</v>
      </c>
      <c r="D1393" s="27">
        <v>129000</v>
      </c>
      <c r="E1393" s="22" t="s">
        <v>149</v>
      </c>
      <c r="F1393" s="22" t="s">
        <v>5</v>
      </c>
      <c r="G1393" s="22" t="s">
        <v>4786</v>
      </c>
      <c r="H1393" s="22" t="s">
        <v>11</v>
      </c>
      <c r="I1393" s="22" t="s">
        <v>5</v>
      </c>
      <c r="J1393" s="22" t="s">
        <v>40</v>
      </c>
      <c r="K1393" s="22" t="s">
        <v>4788</v>
      </c>
      <c r="L1393" s="22" t="s">
        <v>3027</v>
      </c>
      <c r="M1393" s="25"/>
    </row>
    <row r="1394" customHeight="1" spans="1:13">
      <c r="A1394" s="21">
        <v>45992</v>
      </c>
      <c r="B1394" s="22" t="s">
        <v>5474</v>
      </c>
      <c r="C1394" s="23">
        <v>45995</v>
      </c>
      <c r="D1394" s="27">
        <v>40998</v>
      </c>
      <c r="E1394" s="22" t="s">
        <v>149</v>
      </c>
      <c r="F1394" s="22" t="s">
        <v>5</v>
      </c>
      <c r="G1394" s="22" t="s">
        <v>4789</v>
      </c>
      <c r="H1394" s="22" t="s">
        <v>11</v>
      </c>
      <c r="I1394" s="22" t="s">
        <v>5</v>
      </c>
      <c r="J1394" s="22" t="s">
        <v>40</v>
      </c>
      <c r="K1394" s="22" t="s">
        <v>4788</v>
      </c>
      <c r="L1394" s="22" t="s">
        <v>3027</v>
      </c>
      <c r="M1394" s="25"/>
    </row>
    <row r="1395" customHeight="1" spans="1:13">
      <c r="A1395" s="21">
        <v>45992</v>
      </c>
      <c r="B1395" s="22" t="s">
        <v>5474</v>
      </c>
      <c r="C1395" s="23">
        <v>45995</v>
      </c>
      <c r="D1395" s="24">
        <v>92.34</v>
      </c>
      <c r="E1395" s="22" t="s">
        <v>149</v>
      </c>
      <c r="F1395" s="22" t="s">
        <v>5</v>
      </c>
      <c r="G1395" s="22" t="s">
        <v>4791</v>
      </c>
      <c r="H1395" s="22" t="s">
        <v>10</v>
      </c>
      <c r="I1395" s="22" t="s">
        <v>5</v>
      </c>
      <c r="J1395" s="22" t="s">
        <v>40</v>
      </c>
      <c r="K1395" s="22" t="s">
        <v>4788</v>
      </c>
      <c r="L1395" s="22" t="s">
        <v>3027</v>
      </c>
      <c r="M1395" s="25"/>
    </row>
    <row r="1396" customHeight="1" spans="1:13">
      <c r="A1396" s="21">
        <v>45992</v>
      </c>
      <c r="B1396" s="22" t="s">
        <v>5474</v>
      </c>
      <c r="C1396" s="23">
        <v>45996</v>
      </c>
      <c r="D1396" s="24">
        <v>1100</v>
      </c>
      <c r="E1396" s="22" t="s">
        <v>149</v>
      </c>
      <c r="F1396" s="22" t="s">
        <v>5</v>
      </c>
      <c r="G1396" s="22" t="s">
        <v>4794</v>
      </c>
      <c r="H1396" s="22" t="s">
        <v>10</v>
      </c>
      <c r="I1396" s="22" t="s">
        <v>5</v>
      </c>
      <c r="J1396" s="22" t="s">
        <v>40</v>
      </c>
      <c r="K1396" s="22" t="s">
        <v>1023</v>
      </c>
      <c r="L1396" s="22" t="s">
        <v>4260</v>
      </c>
      <c r="M1396" s="25"/>
    </row>
    <row r="1397" customHeight="1" spans="1:13">
      <c r="A1397" s="21">
        <v>45992</v>
      </c>
      <c r="B1397" s="22" t="s">
        <v>5474</v>
      </c>
      <c r="C1397" s="23">
        <v>45996</v>
      </c>
      <c r="D1397" s="24">
        <v>13807.5</v>
      </c>
      <c r="E1397" s="22" t="s">
        <v>303</v>
      </c>
      <c r="F1397" s="22" t="s">
        <v>5</v>
      </c>
      <c r="G1397" s="22" t="s">
        <v>4796</v>
      </c>
      <c r="H1397" s="22" t="s">
        <v>10</v>
      </c>
      <c r="I1397" s="22" t="s">
        <v>5</v>
      </c>
      <c r="J1397" s="22" t="s">
        <v>40</v>
      </c>
      <c r="K1397" s="22" t="s">
        <v>1023</v>
      </c>
      <c r="L1397" s="22" t="s">
        <v>4260</v>
      </c>
      <c r="M1397" s="25"/>
    </row>
    <row r="1398" customHeight="1" spans="1:13">
      <c r="A1398" s="21">
        <v>45992</v>
      </c>
      <c r="B1398" s="22" t="s">
        <v>5474</v>
      </c>
      <c r="C1398" s="23">
        <v>45996</v>
      </c>
      <c r="D1398" s="24">
        <v>1400</v>
      </c>
      <c r="E1398" s="22" t="s">
        <v>303</v>
      </c>
      <c r="F1398" s="22" t="s">
        <v>5</v>
      </c>
      <c r="G1398" s="22" t="s">
        <v>4796</v>
      </c>
      <c r="H1398" s="22" t="s">
        <v>10</v>
      </c>
      <c r="I1398" s="22" t="s">
        <v>5</v>
      </c>
      <c r="J1398" s="22" t="s">
        <v>40</v>
      </c>
      <c r="K1398" s="22" t="s">
        <v>1023</v>
      </c>
      <c r="L1398" s="22" t="s">
        <v>4260</v>
      </c>
      <c r="M1398" s="25"/>
    </row>
    <row r="1399" customHeight="1" spans="1:13">
      <c r="A1399" s="21">
        <v>45992</v>
      </c>
      <c r="B1399" s="22" t="s">
        <v>5474</v>
      </c>
      <c r="C1399" s="23">
        <v>45996</v>
      </c>
      <c r="D1399" s="24">
        <v>16800</v>
      </c>
      <c r="E1399" s="22" t="s">
        <v>303</v>
      </c>
      <c r="F1399" s="22" t="s">
        <v>5</v>
      </c>
      <c r="G1399" s="22" t="s">
        <v>4796</v>
      </c>
      <c r="H1399" s="22" t="s">
        <v>10</v>
      </c>
      <c r="I1399" s="22" t="s">
        <v>5</v>
      </c>
      <c r="J1399" s="22" t="s">
        <v>40</v>
      </c>
      <c r="K1399" s="22" t="s">
        <v>1023</v>
      </c>
      <c r="L1399" s="22" t="s">
        <v>4260</v>
      </c>
      <c r="M1399" s="25"/>
    </row>
    <row r="1400" customHeight="1" spans="1:13">
      <c r="A1400" s="21">
        <v>45992</v>
      </c>
      <c r="B1400" s="22" t="s">
        <v>5474</v>
      </c>
      <c r="C1400" s="23">
        <v>45996</v>
      </c>
      <c r="D1400" s="24">
        <v>12995</v>
      </c>
      <c r="E1400" s="22" t="s">
        <v>303</v>
      </c>
      <c r="F1400" s="22" t="s">
        <v>5</v>
      </c>
      <c r="G1400" s="22" t="s">
        <v>4796</v>
      </c>
      <c r="H1400" s="22" t="s">
        <v>10</v>
      </c>
      <c r="I1400" s="22" t="s">
        <v>5</v>
      </c>
      <c r="J1400" s="22" t="s">
        <v>40</v>
      </c>
      <c r="K1400" s="22" t="s">
        <v>1023</v>
      </c>
      <c r="L1400" s="22" t="s">
        <v>4260</v>
      </c>
      <c r="M1400" s="25"/>
    </row>
    <row r="1401" customHeight="1" spans="1:13">
      <c r="A1401" s="21">
        <v>45992</v>
      </c>
      <c r="B1401" s="22" t="s">
        <v>5474</v>
      </c>
      <c r="C1401" s="23">
        <v>45996</v>
      </c>
      <c r="D1401" s="24">
        <v>22572</v>
      </c>
      <c r="E1401" s="22" t="s">
        <v>303</v>
      </c>
      <c r="F1401" s="22" t="s">
        <v>5</v>
      </c>
      <c r="G1401" s="22" t="s">
        <v>4796</v>
      </c>
      <c r="H1401" s="22" t="s">
        <v>10</v>
      </c>
      <c r="I1401" s="22" t="s">
        <v>5</v>
      </c>
      <c r="J1401" s="22" t="s">
        <v>40</v>
      </c>
      <c r="K1401" s="22" t="s">
        <v>1023</v>
      </c>
      <c r="L1401" s="22" t="s">
        <v>4260</v>
      </c>
      <c r="M1401" s="25"/>
    </row>
    <row r="1402" customHeight="1" spans="1:13">
      <c r="A1402" s="21">
        <v>45992</v>
      </c>
      <c r="B1402" s="22" t="s">
        <v>5474</v>
      </c>
      <c r="C1402" s="23">
        <v>45996</v>
      </c>
      <c r="D1402" s="24">
        <v>20315</v>
      </c>
      <c r="E1402" s="22" t="s">
        <v>303</v>
      </c>
      <c r="F1402" s="22" t="s">
        <v>5</v>
      </c>
      <c r="G1402" s="22" t="s">
        <v>4796</v>
      </c>
      <c r="H1402" s="22" t="s">
        <v>10</v>
      </c>
      <c r="I1402" s="22" t="s">
        <v>5</v>
      </c>
      <c r="J1402" s="22" t="s">
        <v>40</v>
      </c>
      <c r="K1402" s="22" t="s">
        <v>1023</v>
      </c>
      <c r="L1402" s="22" t="s">
        <v>4260</v>
      </c>
      <c r="M1402" s="25"/>
    </row>
    <row r="1403" customHeight="1" spans="1:13">
      <c r="A1403" s="21">
        <v>45992</v>
      </c>
      <c r="B1403" s="22" t="s">
        <v>5474</v>
      </c>
      <c r="C1403" s="23">
        <v>45999</v>
      </c>
      <c r="D1403" s="24">
        <v>546.31</v>
      </c>
      <c r="E1403" s="22" t="s">
        <v>149</v>
      </c>
      <c r="F1403" s="22" t="s">
        <v>5</v>
      </c>
      <c r="G1403" s="22" t="s">
        <v>4808</v>
      </c>
      <c r="H1403" s="22" t="s">
        <v>10</v>
      </c>
      <c r="I1403" s="22" t="s">
        <v>5</v>
      </c>
      <c r="J1403" s="22" t="s">
        <v>40</v>
      </c>
      <c r="K1403" s="22" t="s">
        <v>4810</v>
      </c>
      <c r="L1403" s="22" t="s">
        <v>1922</v>
      </c>
      <c r="M1403" s="25"/>
    </row>
    <row r="1404" customHeight="1" spans="1:13">
      <c r="A1404" s="21">
        <v>45992</v>
      </c>
      <c r="B1404" s="22" t="s">
        <v>5474</v>
      </c>
      <c r="C1404" s="23">
        <v>46000</v>
      </c>
      <c r="D1404" s="27">
        <v>79995</v>
      </c>
      <c r="E1404" s="22" t="s">
        <v>149</v>
      </c>
      <c r="F1404" s="22" t="s">
        <v>5</v>
      </c>
      <c r="G1404" s="22" t="s">
        <v>4811</v>
      </c>
      <c r="H1404" s="22" t="s">
        <v>11</v>
      </c>
      <c r="I1404" s="22" t="s">
        <v>5</v>
      </c>
      <c r="J1404" s="22" t="s">
        <v>40</v>
      </c>
      <c r="K1404" s="22" t="s">
        <v>4815</v>
      </c>
      <c r="L1404" s="22" t="s">
        <v>4813</v>
      </c>
      <c r="M1404" s="25"/>
    </row>
    <row r="1405" customHeight="1" spans="1:13">
      <c r="A1405" s="21">
        <v>45992</v>
      </c>
      <c r="B1405" s="22" t="s">
        <v>5474</v>
      </c>
      <c r="C1405" s="23">
        <v>46001</v>
      </c>
      <c r="D1405" s="28">
        <v>47777</v>
      </c>
      <c r="E1405" s="22" t="s">
        <v>149</v>
      </c>
      <c r="F1405" s="22" t="s">
        <v>5</v>
      </c>
      <c r="G1405" s="22" t="s">
        <v>4816</v>
      </c>
      <c r="H1405" s="22" t="s">
        <v>11</v>
      </c>
      <c r="I1405" s="22" t="s">
        <v>5</v>
      </c>
      <c r="J1405" s="22" t="s">
        <v>40</v>
      </c>
      <c r="K1405" s="22" t="s">
        <v>4820</v>
      </c>
      <c r="L1405" s="22" t="s">
        <v>4818</v>
      </c>
      <c r="M1405" s="25"/>
    </row>
    <row r="1406" customHeight="1" spans="1:13">
      <c r="A1406" s="21">
        <v>45992</v>
      </c>
      <c r="B1406" s="22" t="s">
        <v>5474</v>
      </c>
      <c r="C1406" s="23">
        <v>46001</v>
      </c>
      <c r="D1406" s="24">
        <v>1135.1</v>
      </c>
      <c r="E1406" s="22" t="s">
        <v>173</v>
      </c>
      <c r="F1406" s="22" t="s">
        <v>5</v>
      </c>
      <c r="G1406" s="22" t="s">
        <v>4821</v>
      </c>
      <c r="H1406" s="22" t="s">
        <v>10</v>
      </c>
      <c r="I1406" s="22" t="s">
        <v>5</v>
      </c>
      <c r="J1406" s="22" t="s">
        <v>39</v>
      </c>
      <c r="K1406" s="22" t="s">
        <v>4820</v>
      </c>
      <c r="L1406" s="22" t="s">
        <v>4818</v>
      </c>
      <c r="M1406" s="25"/>
    </row>
    <row r="1407" customHeight="1" spans="1:13">
      <c r="A1407" s="21">
        <v>45992</v>
      </c>
      <c r="B1407" s="22" t="s">
        <v>5474</v>
      </c>
      <c r="C1407" s="23">
        <v>46005</v>
      </c>
      <c r="D1407" s="24">
        <v>99009</v>
      </c>
      <c r="E1407" s="22" t="s">
        <v>149</v>
      </c>
      <c r="F1407" s="22" t="s">
        <v>5</v>
      </c>
      <c r="G1407" s="22" t="s">
        <v>4824</v>
      </c>
      <c r="H1407" s="22" t="s">
        <v>11</v>
      </c>
      <c r="I1407" s="22" t="s">
        <v>5</v>
      </c>
      <c r="J1407" s="22" t="s">
        <v>40</v>
      </c>
      <c r="K1407" s="22" t="s">
        <v>4828</v>
      </c>
      <c r="L1407" s="22" t="s">
        <v>4826</v>
      </c>
      <c r="M1407" s="25"/>
    </row>
    <row r="1408" customHeight="1" spans="1:13">
      <c r="A1408" s="21">
        <v>45992</v>
      </c>
      <c r="B1408" s="22" t="s">
        <v>5474</v>
      </c>
      <c r="C1408" s="23">
        <v>46005</v>
      </c>
      <c r="D1408" s="24">
        <v>97202</v>
      </c>
      <c r="E1408" s="22" t="s">
        <v>149</v>
      </c>
      <c r="F1408" s="22" t="s">
        <v>5</v>
      </c>
      <c r="G1408" s="22" t="s">
        <v>4824</v>
      </c>
      <c r="H1408" s="22" t="s">
        <v>11</v>
      </c>
      <c r="I1408" s="22" t="s">
        <v>5</v>
      </c>
      <c r="J1408" s="22" t="s">
        <v>40</v>
      </c>
      <c r="K1408" s="22" t="s">
        <v>4828</v>
      </c>
      <c r="L1408" s="22" t="s">
        <v>4826</v>
      </c>
      <c r="M1408" s="25"/>
    </row>
    <row r="1409" customHeight="1" spans="1:13">
      <c r="A1409" s="21">
        <v>45992</v>
      </c>
      <c r="B1409" s="22" t="s">
        <v>5474</v>
      </c>
      <c r="C1409" s="23">
        <v>46005</v>
      </c>
      <c r="D1409" s="24">
        <v>98088</v>
      </c>
      <c r="E1409" s="22" t="s">
        <v>149</v>
      </c>
      <c r="F1409" s="22" t="s">
        <v>5</v>
      </c>
      <c r="G1409" s="22" t="s">
        <v>4824</v>
      </c>
      <c r="H1409" s="22" t="s">
        <v>11</v>
      </c>
      <c r="I1409" s="22" t="s">
        <v>5</v>
      </c>
      <c r="J1409" s="22" t="s">
        <v>40</v>
      </c>
      <c r="K1409" s="22" t="s">
        <v>4828</v>
      </c>
      <c r="L1409" s="22" t="s">
        <v>4826</v>
      </c>
      <c r="M1409" s="25"/>
    </row>
    <row r="1410" customHeight="1" spans="1:13">
      <c r="A1410" s="21">
        <v>45992</v>
      </c>
      <c r="B1410" s="22" t="s">
        <v>5474</v>
      </c>
      <c r="C1410" s="23">
        <v>46005</v>
      </c>
      <c r="D1410" s="24">
        <v>98628</v>
      </c>
      <c r="E1410" s="22" t="s">
        <v>149</v>
      </c>
      <c r="F1410" s="22" t="s">
        <v>5</v>
      </c>
      <c r="G1410" s="22" t="s">
        <v>4831</v>
      </c>
      <c r="H1410" s="22" t="s">
        <v>11</v>
      </c>
      <c r="I1410" s="22" t="s">
        <v>5</v>
      </c>
      <c r="J1410" s="22" t="s">
        <v>40</v>
      </c>
      <c r="K1410" s="22" t="s">
        <v>4828</v>
      </c>
      <c r="L1410" s="22" t="s">
        <v>4826</v>
      </c>
      <c r="M1410" s="25"/>
    </row>
    <row r="1411" customHeight="1" spans="1:13">
      <c r="A1411" s="21">
        <v>45992</v>
      </c>
      <c r="B1411" s="22" t="s">
        <v>5474</v>
      </c>
      <c r="C1411" s="23">
        <v>46005</v>
      </c>
      <c r="D1411" s="24">
        <v>99154</v>
      </c>
      <c r="E1411" s="22" t="s">
        <v>149</v>
      </c>
      <c r="F1411" s="22" t="s">
        <v>5</v>
      </c>
      <c r="G1411" s="22" t="s">
        <v>4831</v>
      </c>
      <c r="H1411" s="22" t="s">
        <v>11</v>
      </c>
      <c r="I1411" s="22" t="s">
        <v>5</v>
      </c>
      <c r="J1411" s="22" t="s">
        <v>40</v>
      </c>
      <c r="K1411" s="22" t="s">
        <v>4828</v>
      </c>
      <c r="L1411" s="22" t="s">
        <v>4826</v>
      </c>
      <c r="M1411" s="25"/>
    </row>
    <row r="1412" customHeight="1" spans="1:13">
      <c r="A1412" s="21">
        <v>45992</v>
      </c>
      <c r="B1412" s="22" t="s">
        <v>5474</v>
      </c>
      <c r="C1412" s="23">
        <v>46005</v>
      </c>
      <c r="D1412" s="24">
        <v>99709</v>
      </c>
      <c r="E1412" s="22" t="s">
        <v>149</v>
      </c>
      <c r="F1412" s="22" t="s">
        <v>5</v>
      </c>
      <c r="G1412" s="22" t="s">
        <v>4831</v>
      </c>
      <c r="H1412" s="22" t="s">
        <v>11</v>
      </c>
      <c r="I1412" s="22" t="s">
        <v>5</v>
      </c>
      <c r="J1412" s="22" t="s">
        <v>40</v>
      </c>
      <c r="K1412" s="22" t="s">
        <v>4828</v>
      </c>
      <c r="L1412" s="22" t="s">
        <v>4826</v>
      </c>
      <c r="M1412" s="25"/>
    </row>
    <row r="1413" customHeight="1" spans="1:13">
      <c r="A1413" s="21">
        <v>45992</v>
      </c>
      <c r="B1413" s="22" t="s">
        <v>5474</v>
      </c>
      <c r="C1413" s="23">
        <v>46005</v>
      </c>
      <c r="D1413" s="24">
        <v>99503</v>
      </c>
      <c r="E1413" s="22" t="s">
        <v>149</v>
      </c>
      <c r="F1413" s="22" t="s">
        <v>5</v>
      </c>
      <c r="G1413" s="22" t="s">
        <v>4841</v>
      </c>
      <c r="H1413" s="22" t="s">
        <v>11</v>
      </c>
      <c r="I1413" s="22" t="s">
        <v>5</v>
      </c>
      <c r="J1413" s="22" t="s">
        <v>40</v>
      </c>
      <c r="K1413" s="22" t="s">
        <v>4828</v>
      </c>
      <c r="L1413" s="22" t="s">
        <v>4826</v>
      </c>
      <c r="M1413" s="25"/>
    </row>
    <row r="1414" customHeight="1" spans="1:13">
      <c r="A1414" s="21">
        <v>45992</v>
      </c>
      <c r="B1414" s="22" t="s">
        <v>5475</v>
      </c>
      <c r="C1414" s="23">
        <v>46009</v>
      </c>
      <c r="D1414" s="24">
        <v>163</v>
      </c>
      <c r="E1414" s="22" t="s">
        <v>149</v>
      </c>
      <c r="F1414" s="22" t="s">
        <v>5</v>
      </c>
      <c r="G1414" s="22" t="s">
        <v>4845</v>
      </c>
      <c r="H1414" s="22" t="s">
        <v>10</v>
      </c>
      <c r="I1414" s="22" t="s">
        <v>5</v>
      </c>
      <c r="J1414" s="22" t="s">
        <v>40</v>
      </c>
      <c r="K1414" s="22" t="s">
        <v>4848</v>
      </c>
      <c r="L1414" s="22" t="s">
        <v>4846</v>
      </c>
      <c r="M1414" s="25"/>
    </row>
    <row r="1415" customHeight="1" spans="1:13">
      <c r="A1415" s="21">
        <v>45992</v>
      </c>
      <c r="B1415" s="22" t="s">
        <v>5475</v>
      </c>
      <c r="C1415" s="23">
        <v>46013</v>
      </c>
      <c r="D1415" s="24">
        <v>920</v>
      </c>
      <c r="E1415" s="22" t="s">
        <v>173</v>
      </c>
      <c r="F1415" s="22" t="s">
        <v>5</v>
      </c>
      <c r="G1415" s="22" t="s">
        <v>5675</v>
      </c>
      <c r="H1415" s="22" t="s">
        <v>10</v>
      </c>
      <c r="I1415" s="22" t="s">
        <v>5</v>
      </c>
      <c r="J1415" s="22" t="s">
        <v>39</v>
      </c>
      <c r="K1415" s="22" t="s">
        <v>4851</v>
      </c>
      <c r="L1415" s="22" t="s">
        <v>1922</v>
      </c>
      <c r="M1415" s="25"/>
    </row>
    <row r="1416" customHeight="1" spans="1:13">
      <c r="A1416" s="21">
        <v>45992</v>
      </c>
      <c r="B1416" s="22" t="s">
        <v>5475</v>
      </c>
      <c r="C1416" s="23">
        <v>46013</v>
      </c>
      <c r="D1416" s="27">
        <v>23317</v>
      </c>
      <c r="E1416" s="22" t="s">
        <v>149</v>
      </c>
      <c r="F1416" s="22" t="s">
        <v>5</v>
      </c>
      <c r="G1416" s="22" t="s">
        <v>4853</v>
      </c>
      <c r="H1416" s="22" t="s">
        <v>11</v>
      </c>
      <c r="I1416" s="22" t="s">
        <v>5</v>
      </c>
      <c r="J1416" s="22" t="s">
        <v>40</v>
      </c>
      <c r="K1416" s="22" t="s">
        <v>4851</v>
      </c>
      <c r="L1416" s="22" t="s">
        <v>1922</v>
      </c>
      <c r="M1416" s="25"/>
    </row>
    <row r="1417" customHeight="1" spans="1:13">
      <c r="A1417" s="21">
        <v>45992</v>
      </c>
      <c r="B1417" s="22" t="s">
        <v>5475</v>
      </c>
      <c r="C1417" s="23">
        <v>46015</v>
      </c>
      <c r="D1417" s="24">
        <v>23350</v>
      </c>
      <c r="E1417" s="22" t="s">
        <v>149</v>
      </c>
      <c r="F1417" s="22" t="s">
        <v>5</v>
      </c>
      <c r="G1417" s="22" t="s">
        <v>4856</v>
      </c>
      <c r="H1417" s="22" t="s">
        <v>11</v>
      </c>
      <c r="I1417" s="22" t="s">
        <v>5</v>
      </c>
      <c r="J1417" s="22" t="s">
        <v>40</v>
      </c>
      <c r="K1417" s="22" t="s">
        <v>4858</v>
      </c>
      <c r="L1417" s="22" t="s">
        <v>3040</v>
      </c>
      <c r="M1417" s="25"/>
    </row>
    <row r="1418" customHeight="1" spans="1:13">
      <c r="A1418" s="21">
        <v>45992</v>
      </c>
      <c r="B1418" s="22" t="s">
        <v>5475</v>
      </c>
      <c r="C1418" s="23">
        <v>46015</v>
      </c>
      <c r="D1418" s="24">
        <v>7106</v>
      </c>
      <c r="E1418" s="22" t="s">
        <v>149</v>
      </c>
      <c r="F1418" s="22" t="s">
        <v>5</v>
      </c>
      <c r="G1418" s="22" t="s">
        <v>4859</v>
      </c>
      <c r="H1418" s="22" t="s">
        <v>11</v>
      </c>
      <c r="I1418" s="22" t="s">
        <v>5</v>
      </c>
      <c r="J1418" s="22" t="s">
        <v>40</v>
      </c>
      <c r="K1418" s="22" t="s">
        <v>4858</v>
      </c>
      <c r="L1418" s="22" t="s">
        <v>3040</v>
      </c>
      <c r="M1418" s="25"/>
    </row>
    <row r="1419" customHeight="1" spans="1:13">
      <c r="A1419" s="21">
        <v>45992</v>
      </c>
      <c r="B1419" s="22" t="s">
        <v>5475</v>
      </c>
      <c r="C1419" s="23">
        <v>46015</v>
      </c>
      <c r="D1419" s="24">
        <v>29860</v>
      </c>
      <c r="E1419" s="22" t="s">
        <v>149</v>
      </c>
      <c r="F1419" s="22" t="s">
        <v>5</v>
      </c>
      <c r="G1419" s="22" t="s">
        <v>4861</v>
      </c>
      <c r="H1419" s="22" t="s">
        <v>11</v>
      </c>
      <c r="I1419" s="22" t="s">
        <v>5</v>
      </c>
      <c r="J1419" s="22" t="s">
        <v>40</v>
      </c>
      <c r="K1419" s="22" t="s">
        <v>4858</v>
      </c>
      <c r="L1419" s="22" t="s">
        <v>3040</v>
      </c>
      <c r="M1419" s="25"/>
    </row>
    <row r="1420" customHeight="1" spans="1:13">
      <c r="A1420" s="21">
        <v>45992</v>
      </c>
      <c r="B1420" s="22" t="s">
        <v>5475</v>
      </c>
      <c r="C1420" s="23">
        <v>46015</v>
      </c>
      <c r="D1420" s="24">
        <v>44680</v>
      </c>
      <c r="E1420" s="22" t="s">
        <v>149</v>
      </c>
      <c r="F1420" s="22" t="s">
        <v>5</v>
      </c>
      <c r="G1420" s="22" t="s">
        <v>4863</v>
      </c>
      <c r="H1420" s="22" t="s">
        <v>11</v>
      </c>
      <c r="I1420" s="22" t="s">
        <v>5</v>
      </c>
      <c r="J1420" s="22" t="s">
        <v>40</v>
      </c>
      <c r="K1420" s="22" t="s">
        <v>4858</v>
      </c>
      <c r="L1420" s="22" t="s">
        <v>3040</v>
      </c>
      <c r="M1420" s="25"/>
    </row>
    <row r="1421" customHeight="1" spans="1:13">
      <c r="A1421" s="21">
        <v>45992</v>
      </c>
      <c r="B1421" s="22" t="s">
        <v>5475</v>
      </c>
      <c r="C1421" s="23">
        <v>46022</v>
      </c>
      <c r="D1421" s="24">
        <v>145</v>
      </c>
      <c r="E1421" s="22" t="s">
        <v>139</v>
      </c>
      <c r="F1421" s="22" t="s">
        <v>5</v>
      </c>
      <c r="G1421" s="22" t="s">
        <v>4865</v>
      </c>
      <c r="H1421" s="22" t="s">
        <v>10</v>
      </c>
      <c r="I1421" s="22" t="s">
        <v>5</v>
      </c>
      <c r="J1421" s="22" t="s">
        <v>40</v>
      </c>
      <c r="K1421" s="22" t="s">
        <v>4867</v>
      </c>
      <c r="L1421" s="22" t="s">
        <v>4846</v>
      </c>
      <c r="M1421" s="25"/>
    </row>
    <row r="1422" customHeight="1" spans="1:13">
      <c r="A1422" s="21">
        <v>45992</v>
      </c>
      <c r="B1422" s="22" t="s">
        <v>5475</v>
      </c>
      <c r="C1422" s="23">
        <v>46022</v>
      </c>
      <c r="D1422" s="24">
        <v>90</v>
      </c>
      <c r="E1422" s="22" t="s">
        <v>139</v>
      </c>
      <c r="F1422" s="22" t="s">
        <v>5</v>
      </c>
      <c r="G1422" s="22" t="s">
        <v>4868</v>
      </c>
      <c r="H1422" s="22" t="s">
        <v>10</v>
      </c>
      <c r="I1422" s="22" t="s">
        <v>5</v>
      </c>
      <c r="J1422" s="22" t="s">
        <v>40</v>
      </c>
      <c r="K1422" s="22" t="s">
        <v>4867</v>
      </c>
      <c r="L1422" s="22" t="s">
        <v>4846</v>
      </c>
      <c r="M1422" s="25"/>
    </row>
    <row r="1423" customHeight="1" spans="1:13">
      <c r="A1423" s="21">
        <v>45992</v>
      </c>
      <c r="B1423" s="22" t="s">
        <v>5475</v>
      </c>
      <c r="C1423" s="23">
        <v>46022</v>
      </c>
      <c r="D1423" s="24">
        <v>75</v>
      </c>
      <c r="E1423" s="22" t="s">
        <v>139</v>
      </c>
      <c r="F1423" s="22" t="s">
        <v>5</v>
      </c>
      <c r="G1423" s="22" t="s">
        <v>4872</v>
      </c>
      <c r="H1423" s="22" t="s">
        <v>10</v>
      </c>
      <c r="I1423" s="22" t="s">
        <v>5</v>
      </c>
      <c r="J1423" s="22" t="s">
        <v>40</v>
      </c>
      <c r="K1423" s="22" t="s">
        <v>4867</v>
      </c>
      <c r="L1423" s="22" t="s">
        <v>4846</v>
      </c>
      <c r="M1423" s="25"/>
    </row>
    <row r="1424" customHeight="1" spans="1:13">
      <c r="A1424" s="21">
        <v>45992</v>
      </c>
      <c r="B1424" s="22" t="s">
        <v>5475</v>
      </c>
      <c r="C1424" s="23">
        <v>46022</v>
      </c>
      <c r="D1424" s="24">
        <v>544.34</v>
      </c>
      <c r="E1424" s="22" t="s">
        <v>139</v>
      </c>
      <c r="F1424" s="22" t="s">
        <v>5</v>
      </c>
      <c r="G1424" s="22" t="s">
        <v>4876</v>
      </c>
      <c r="H1424" s="22" t="s">
        <v>10</v>
      </c>
      <c r="I1424" s="22" t="s">
        <v>5</v>
      </c>
      <c r="J1424" s="22" t="s">
        <v>40</v>
      </c>
      <c r="K1424" s="22" t="s">
        <v>4867</v>
      </c>
      <c r="L1424" s="22" t="s">
        <v>4846</v>
      </c>
      <c r="M1424" s="25"/>
    </row>
    <row r="1425" customHeight="1" spans="1:13">
      <c r="A1425" s="21">
        <v>45992</v>
      </c>
      <c r="B1425" s="22" t="s">
        <v>5475</v>
      </c>
      <c r="C1425" s="23">
        <v>46022</v>
      </c>
      <c r="D1425" s="24">
        <v>671</v>
      </c>
      <c r="E1425" s="22" t="s">
        <v>173</v>
      </c>
      <c r="F1425" s="22" t="s">
        <v>5</v>
      </c>
      <c r="G1425" s="22" t="s">
        <v>4879</v>
      </c>
      <c r="H1425" s="22" t="s">
        <v>10</v>
      </c>
      <c r="I1425" s="22" t="s">
        <v>5</v>
      </c>
      <c r="J1425" s="22" t="s">
        <v>39</v>
      </c>
      <c r="K1425" s="22" t="s">
        <v>4867</v>
      </c>
      <c r="L1425" s="22" t="s">
        <v>4846</v>
      </c>
      <c r="M1425" s="25"/>
    </row>
    <row r="1426" customHeight="1" spans="1:13">
      <c r="A1426" s="21">
        <v>45992</v>
      </c>
      <c r="B1426" s="22" t="s">
        <v>5475</v>
      </c>
      <c r="C1426" s="23">
        <v>46022</v>
      </c>
      <c r="D1426" s="27">
        <v>1774.66</v>
      </c>
      <c r="E1426" s="22" t="s">
        <v>173</v>
      </c>
      <c r="F1426" s="22" t="s">
        <v>5</v>
      </c>
      <c r="G1426" s="22" t="s">
        <v>4882</v>
      </c>
      <c r="H1426" s="22" t="s">
        <v>12</v>
      </c>
      <c r="I1426" s="22" t="s">
        <v>5</v>
      </c>
      <c r="J1426" s="22" t="s">
        <v>39</v>
      </c>
      <c r="K1426" s="22" t="s">
        <v>4867</v>
      </c>
      <c r="L1426" s="22" t="s">
        <v>4846</v>
      </c>
      <c r="M1426" s="25"/>
    </row>
    <row r="1427" customHeight="1" spans="1:13">
      <c r="A1427" s="21">
        <v>46023</v>
      </c>
      <c r="B1427" s="22" t="s">
        <v>5476</v>
      </c>
      <c r="C1427" s="23">
        <v>46027</v>
      </c>
      <c r="D1427" s="24">
        <v>62</v>
      </c>
      <c r="E1427" s="22" t="s">
        <v>149</v>
      </c>
      <c r="F1427" s="22" t="s">
        <v>5</v>
      </c>
      <c r="G1427" s="22" t="s">
        <v>4886</v>
      </c>
      <c r="H1427" s="22" t="s">
        <v>10</v>
      </c>
      <c r="I1427" s="22" t="s">
        <v>5</v>
      </c>
      <c r="J1427" s="22" t="s">
        <v>40</v>
      </c>
      <c r="K1427" s="22" t="s">
        <v>1016</v>
      </c>
      <c r="L1427" s="22" t="s">
        <v>4409</v>
      </c>
      <c r="M1427" s="25"/>
    </row>
    <row r="1428" customHeight="1" spans="1:13">
      <c r="A1428" s="21">
        <v>46023</v>
      </c>
      <c r="B1428" s="22" t="s">
        <v>5476</v>
      </c>
      <c r="C1428" s="23">
        <v>46027</v>
      </c>
      <c r="D1428" s="24">
        <v>65</v>
      </c>
      <c r="E1428" s="22" t="s">
        <v>149</v>
      </c>
      <c r="F1428" s="22" t="s">
        <v>5</v>
      </c>
      <c r="G1428" s="22" t="s">
        <v>4890</v>
      </c>
      <c r="H1428" s="22" t="s">
        <v>10</v>
      </c>
      <c r="I1428" s="22" t="s">
        <v>5</v>
      </c>
      <c r="J1428" s="22" t="s">
        <v>40</v>
      </c>
      <c r="K1428" s="22" t="s">
        <v>1016</v>
      </c>
      <c r="L1428" s="22" t="s">
        <v>4409</v>
      </c>
      <c r="M1428" s="25"/>
    </row>
    <row r="1429" customHeight="1" spans="1:13">
      <c r="A1429" s="21">
        <v>46023</v>
      </c>
      <c r="B1429" s="22" t="s">
        <v>5476</v>
      </c>
      <c r="C1429" s="23">
        <v>46031</v>
      </c>
      <c r="D1429" s="27">
        <v>4980</v>
      </c>
      <c r="E1429" s="22" t="s">
        <v>149</v>
      </c>
      <c r="F1429" s="22" t="s">
        <v>5</v>
      </c>
      <c r="G1429" s="22" t="s">
        <v>4894</v>
      </c>
      <c r="H1429" s="22" t="s">
        <v>11</v>
      </c>
      <c r="I1429" s="22" t="s">
        <v>5</v>
      </c>
      <c r="J1429" s="22" t="s">
        <v>40</v>
      </c>
      <c r="K1429" s="22" t="s">
        <v>4896</v>
      </c>
      <c r="L1429" s="22" t="s">
        <v>3040</v>
      </c>
      <c r="M1429" s="25"/>
    </row>
    <row r="1430" customHeight="1" spans="1:13">
      <c r="A1430" s="21">
        <v>46023</v>
      </c>
      <c r="B1430" s="22" t="s">
        <v>5476</v>
      </c>
      <c r="C1430" s="23">
        <v>46031</v>
      </c>
      <c r="D1430" s="24">
        <v>15000</v>
      </c>
      <c r="E1430" s="22" t="s">
        <v>149</v>
      </c>
      <c r="F1430" s="22" t="s">
        <v>5</v>
      </c>
      <c r="G1430" s="22" t="s">
        <v>4897</v>
      </c>
      <c r="H1430" s="22" t="s">
        <v>11</v>
      </c>
      <c r="I1430" s="22" t="s">
        <v>5</v>
      </c>
      <c r="J1430" s="22" t="s">
        <v>40</v>
      </c>
      <c r="K1430" s="22" t="s">
        <v>4896</v>
      </c>
      <c r="L1430" s="22" t="s">
        <v>3040</v>
      </c>
      <c r="M1430" s="25"/>
    </row>
    <row r="1431" customHeight="1" spans="1:13">
      <c r="A1431" s="21">
        <v>46023</v>
      </c>
      <c r="B1431" s="22" t="s">
        <v>5477</v>
      </c>
      <c r="C1431" s="23">
        <v>46038</v>
      </c>
      <c r="D1431" s="24">
        <v>185</v>
      </c>
      <c r="E1431" s="22" t="s">
        <v>149</v>
      </c>
      <c r="F1431" s="22" t="s">
        <v>5</v>
      </c>
      <c r="G1431" s="22" t="s">
        <v>4902</v>
      </c>
      <c r="H1431" s="22" t="s">
        <v>10</v>
      </c>
      <c r="I1431" s="22" t="s">
        <v>5</v>
      </c>
      <c r="J1431" s="22" t="s">
        <v>40</v>
      </c>
      <c r="K1431" s="22" t="s">
        <v>4906</v>
      </c>
      <c r="L1431" s="22" t="s">
        <v>4904</v>
      </c>
      <c r="M1431" s="25"/>
    </row>
    <row r="1432" customHeight="1" spans="1:13">
      <c r="A1432" s="21">
        <v>46023</v>
      </c>
      <c r="B1432" s="22" t="s">
        <v>5477</v>
      </c>
      <c r="C1432" s="23">
        <v>46042</v>
      </c>
      <c r="D1432" s="24">
        <v>105</v>
      </c>
      <c r="E1432" s="22" t="s">
        <v>149</v>
      </c>
      <c r="F1432" s="22" t="s">
        <v>5</v>
      </c>
      <c r="G1432" s="22" t="s">
        <v>4908</v>
      </c>
      <c r="H1432" s="22" t="s">
        <v>10</v>
      </c>
      <c r="I1432" s="22" t="s">
        <v>5</v>
      </c>
      <c r="J1432" s="22" t="s">
        <v>40</v>
      </c>
      <c r="K1432" s="22" t="s">
        <v>4912</v>
      </c>
      <c r="L1432" s="22" t="s">
        <v>4910</v>
      </c>
      <c r="M1432" s="25"/>
    </row>
    <row r="1433" customHeight="1" spans="1:13">
      <c r="A1433" s="21">
        <v>46023</v>
      </c>
      <c r="B1433" s="22" t="s">
        <v>5477</v>
      </c>
      <c r="C1433" s="23">
        <v>46043</v>
      </c>
      <c r="D1433" s="24">
        <v>35000</v>
      </c>
      <c r="E1433" s="22" t="s">
        <v>149</v>
      </c>
      <c r="F1433" s="22" t="s">
        <v>5</v>
      </c>
      <c r="G1433" s="22" t="s">
        <v>4913</v>
      </c>
      <c r="H1433" s="22" t="s">
        <v>11</v>
      </c>
      <c r="I1433" s="22" t="s">
        <v>5</v>
      </c>
      <c r="J1433" s="22" t="s">
        <v>40</v>
      </c>
      <c r="K1433" s="22" t="s">
        <v>4915</v>
      </c>
      <c r="L1433" s="22" t="s">
        <v>4899</v>
      </c>
      <c r="M1433" s="25"/>
    </row>
    <row r="1434" customHeight="1" spans="1:13">
      <c r="A1434" s="21">
        <v>46023</v>
      </c>
      <c r="B1434" s="22" t="s">
        <v>5477</v>
      </c>
      <c r="C1434" s="23">
        <v>46043</v>
      </c>
      <c r="D1434" s="24">
        <v>35680</v>
      </c>
      <c r="E1434" s="22" t="s">
        <v>149</v>
      </c>
      <c r="F1434" s="22" t="s">
        <v>5</v>
      </c>
      <c r="G1434" s="22" t="s">
        <v>4916</v>
      </c>
      <c r="H1434" s="22" t="s">
        <v>11</v>
      </c>
      <c r="I1434" s="22" t="s">
        <v>5</v>
      </c>
      <c r="J1434" s="22" t="s">
        <v>40</v>
      </c>
      <c r="K1434" s="22" t="s">
        <v>4915</v>
      </c>
      <c r="L1434" s="22" t="s">
        <v>4899</v>
      </c>
      <c r="M1434" s="25"/>
    </row>
    <row r="1435" customHeight="1" spans="1:13">
      <c r="A1435" s="21">
        <v>46023</v>
      </c>
      <c r="B1435" s="22" t="s">
        <v>5477</v>
      </c>
      <c r="C1435" s="23">
        <v>46043</v>
      </c>
      <c r="D1435" s="24">
        <v>2000</v>
      </c>
      <c r="E1435" s="22" t="s">
        <v>149</v>
      </c>
      <c r="F1435" s="22" t="s">
        <v>5</v>
      </c>
      <c r="G1435" s="22" t="s">
        <v>5676</v>
      </c>
      <c r="H1435" s="22" t="s">
        <v>10</v>
      </c>
      <c r="I1435" s="22" t="s">
        <v>5</v>
      </c>
      <c r="J1435" s="22" t="s">
        <v>40</v>
      </c>
      <c r="K1435" s="22" t="s">
        <v>4915</v>
      </c>
      <c r="L1435" s="22" t="s">
        <v>4899</v>
      </c>
      <c r="M1435" s="25"/>
    </row>
    <row r="1436" customHeight="1" spans="1:13">
      <c r="A1436" s="21">
        <v>46023</v>
      </c>
      <c r="B1436" s="22" t="s">
        <v>5477</v>
      </c>
      <c r="C1436" s="23">
        <v>46044</v>
      </c>
      <c r="D1436" s="24">
        <v>4000</v>
      </c>
      <c r="E1436" s="22" t="s">
        <v>149</v>
      </c>
      <c r="F1436" s="22" t="s">
        <v>5</v>
      </c>
      <c r="G1436" s="22" t="s">
        <v>4921</v>
      </c>
      <c r="H1436" s="22" t="s">
        <v>10</v>
      </c>
      <c r="I1436" s="22" t="s">
        <v>5</v>
      </c>
      <c r="J1436" s="22" t="s">
        <v>40</v>
      </c>
      <c r="K1436" s="22" t="s">
        <v>4923</v>
      </c>
      <c r="L1436" s="22" t="s">
        <v>3122</v>
      </c>
      <c r="M1436" s="25"/>
    </row>
    <row r="1437" customHeight="1" spans="1:13">
      <c r="A1437" s="21">
        <v>46023</v>
      </c>
      <c r="B1437" s="22" t="s">
        <v>5477</v>
      </c>
      <c r="C1437" s="23">
        <v>46048</v>
      </c>
      <c r="D1437" s="24">
        <v>38</v>
      </c>
      <c r="E1437" s="22" t="s">
        <v>149</v>
      </c>
      <c r="F1437" s="22" t="s">
        <v>5</v>
      </c>
      <c r="G1437" s="22" t="s">
        <v>4924</v>
      </c>
      <c r="H1437" s="22" t="s">
        <v>10</v>
      </c>
      <c r="I1437" s="22" t="s">
        <v>5</v>
      </c>
      <c r="J1437" s="22" t="s">
        <v>40</v>
      </c>
      <c r="K1437" s="22" t="s">
        <v>1016</v>
      </c>
      <c r="L1437" s="22" t="s">
        <v>4409</v>
      </c>
      <c r="M1437" s="25"/>
    </row>
    <row r="1438" customHeight="1" spans="1:13">
      <c r="A1438" s="21">
        <v>46023</v>
      </c>
      <c r="B1438" s="22" t="s">
        <v>5477</v>
      </c>
      <c r="C1438" s="23">
        <v>46048</v>
      </c>
      <c r="D1438" s="24">
        <v>68</v>
      </c>
      <c r="E1438" s="22" t="s">
        <v>149</v>
      </c>
      <c r="F1438" s="22" t="s">
        <v>5</v>
      </c>
      <c r="G1438" s="22" t="s">
        <v>4929</v>
      </c>
      <c r="H1438" s="22" t="s">
        <v>10</v>
      </c>
      <c r="I1438" s="22" t="s">
        <v>5</v>
      </c>
      <c r="J1438" s="22" t="s">
        <v>40</v>
      </c>
      <c r="K1438" s="22" t="s">
        <v>1016</v>
      </c>
      <c r="L1438" s="22" t="s">
        <v>4409</v>
      </c>
      <c r="M1438" s="25"/>
    </row>
    <row r="1439" customHeight="1" spans="1:13">
      <c r="A1439" s="21">
        <v>46023</v>
      </c>
      <c r="B1439" s="22" t="s">
        <v>5477</v>
      </c>
      <c r="C1439" s="23">
        <v>46048</v>
      </c>
      <c r="D1439" s="24">
        <v>30</v>
      </c>
      <c r="E1439" s="22" t="s">
        <v>149</v>
      </c>
      <c r="F1439" s="22" t="s">
        <v>5</v>
      </c>
      <c r="G1439" s="22" t="s">
        <v>4931</v>
      </c>
      <c r="H1439" s="22" t="s">
        <v>10</v>
      </c>
      <c r="I1439" s="22" t="s">
        <v>5</v>
      </c>
      <c r="J1439" s="22" t="s">
        <v>40</v>
      </c>
      <c r="K1439" s="22" t="s">
        <v>1016</v>
      </c>
      <c r="L1439" s="22" t="s">
        <v>4409</v>
      </c>
      <c r="M1439" s="25"/>
    </row>
    <row r="1440" customHeight="1" spans="1:13">
      <c r="A1440" s="21">
        <v>46023</v>
      </c>
      <c r="B1440" s="22" t="s">
        <v>5477</v>
      </c>
      <c r="C1440" s="23">
        <v>46048</v>
      </c>
      <c r="D1440" s="24">
        <v>163</v>
      </c>
      <c r="E1440" s="22" t="s">
        <v>149</v>
      </c>
      <c r="F1440" s="22" t="s">
        <v>5</v>
      </c>
      <c r="G1440" s="22" t="s">
        <v>4933</v>
      </c>
      <c r="H1440" s="22" t="s">
        <v>10</v>
      </c>
      <c r="I1440" s="22" t="s">
        <v>5</v>
      </c>
      <c r="J1440" s="22" t="s">
        <v>40</v>
      </c>
      <c r="K1440" s="22" t="s">
        <v>1016</v>
      </c>
      <c r="L1440" s="22" t="s">
        <v>4409</v>
      </c>
      <c r="M1440" s="25"/>
    </row>
    <row r="1441" customHeight="1" spans="1:13">
      <c r="A1441" s="21">
        <v>46023</v>
      </c>
      <c r="B1441" s="22" t="s">
        <v>5477</v>
      </c>
      <c r="C1441" s="23">
        <v>46048</v>
      </c>
      <c r="D1441" s="24">
        <v>155</v>
      </c>
      <c r="E1441" s="22" t="s">
        <v>149</v>
      </c>
      <c r="F1441" s="22" t="s">
        <v>5</v>
      </c>
      <c r="G1441" s="22" t="s">
        <v>4935</v>
      </c>
      <c r="H1441" s="22" t="s">
        <v>10</v>
      </c>
      <c r="I1441" s="22" t="s">
        <v>5</v>
      </c>
      <c r="J1441" s="22" t="s">
        <v>40</v>
      </c>
      <c r="K1441" s="22" t="s">
        <v>1016</v>
      </c>
      <c r="L1441" s="22" t="s">
        <v>4409</v>
      </c>
      <c r="M1441" s="25"/>
    </row>
    <row r="1442" customHeight="1" spans="1:13">
      <c r="A1442" s="21">
        <v>46023</v>
      </c>
      <c r="B1442" s="22" t="s">
        <v>5477</v>
      </c>
      <c r="C1442" s="23">
        <v>46048</v>
      </c>
      <c r="D1442" s="24">
        <v>97</v>
      </c>
      <c r="E1442" s="22" t="s">
        <v>149</v>
      </c>
      <c r="F1442" s="22" t="s">
        <v>5</v>
      </c>
      <c r="G1442" s="22" t="s">
        <v>4937</v>
      </c>
      <c r="H1442" s="22" t="s">
        <v>10</v>
      </c>
      <c r="I1442" s="22" t="s">
        <v>5</v>
      </c>
      <c r="J1442" s="22" t="s">
        <v>40</v>
      </c>
      <c r="K1442" s="22" t="s">
        <v>1016</v>
      </c>
      <c r="L1442" s="22" t="s">
        <v>4409</v>
      </c>
      <c r="M1442" s="25"/>
    </row>
    <row r="1443" customHeight="1" spans="1:13">
      <c r="A1443" s="21">
        <v>46023</v>
      </c>
      <c r="B1443" s="22" t="s">
        <v>5477</v>
      </c>
      <c r="C1443" s="23">
        <v>46048</v>
      </c>
      <c r="D1443" s="24">
        <v>55</v>
      </c>
      <c r="E1443" s="22" t="s">
        <v>149</v>
      </c>
      <c r="F1443" s="22" t="s">
        <v>5</v>
      </c>
      <c r="G1443" s="22" t="s">
        <v>4939</v>
      </c>
      <c r="H1443" s="22" t="s">
        <v>10</v>
      </c>
      <c r="I1443" s="22" t="s">
        <v>5</v>
      </c>
      <c r="J1443" s="22" t="s">
        <v>40</v>
      </c>
      <c r="K1443" s="22" t="s">
        <v>1016</v>
      </c>
      <c r="L1443" s="22" t="s">
        <v>4409</v>
      </c>
      <c r="M1443" s="25"/>
    </row>
    <row r="1444" customHeight="1" spans="1:13">
      <c r="A1444" s="21">
        <v>46023</v>
      </c>
      <c r="B1444" s="22" t="s">
        <v>5477</v>
      </c>
      <c r="C1444" s="23">
        <v>46048</v>
      </c>
      <c r="D1444" s="24">
        <v>63</v>
      </c>
      <c r="E1444" s="22" t="s">
        <v>149</v>
      </c>
      <c r="F1444" s="22" t="s">
        <v>5</v>
      </c>
      <c r="G1444" s="22" t="s">
        <v>4941</v>
      </c>
      <c r="H1444" s="22" t="s">
        <v>10</v>
      </c>
      <c r="I1444" s="22" t="s">
        <v>5</v>
      </c>
      <c r="J1444" s="22" t="s">
        <v>40</v>
      </c>
      <c r="K1444" s="22" t="s">
        <v>1016</v>
      </c>
      <c r="L1444" s="22" t="s">
        <v>4409</v>
      </c>
      <c r="M1444" s="25"/>
    </row>
    <row r="1445" customHeight="1" spans="1:13">
      <c r="A1445" s="21">
        <v>46023</v>
      </c>
      <c r="B1445" s="22" t="s">
        <v>5477</v>
      </c>
      <c r="C1445" s="23">
        <v>46048</v>
      </c>
      <c r="D1445" s="24">
        <v>85</v>
      </c>
      <c r="E1445" s="22" t="s">
        <v>149</v>
      </c>
      <c r="F1445" s="22" t="s">
        <v>5</v>
      </c>
      <c r="G1445" s="22" t="s">
        <v>4943</v>
      </c>
      <c r="H1445" s="22" t="s">
        <v>10</v>
      </c>
      <c r="I1445" s="22" t="s">
        <v>5</v>
      </c>
      <c r="J1445" s="22" t="s">
        <v>40</v>
      </c>
      <c r="K1445" s="22" t="s">
        <v>1016</v>
      </c>
      <c r="L1445" s="22" t="s">
        <v>4409</v>
      </c>
      <c r="M1445" s="25"/>
    </row>
    <row r="1446" customHeight="1" spans="1:13">
      <c r="A1446" s="21">
        <v>46023</v>
      </c>
      <c r="B1446" s="22" t="s">
        <v>5477</v>
      </c>
      <c r="C1446" s="23">
        <v>46048</v>
      </c>
      <c r="D1446" s="24">
        <v>153</v>
      </c>
      <c r="E1446" s="22" t="s">
        <v>149</v>
      </c>
      <c r="F1446" s="22" t="s">
        <v>5</v>
      </c>
      <c r="G1446" s="22" t="s">
        <v>4945</v>
      </c>
      <c r="H1446" s="22" t="s">
        <v>10</v>
      </c>
      <c r="I1446" s="22" t="s">
        <v>5</v>
      </c>
      <c r="J1446" s="22" t="s">
        <v>40</v>
      </c>
      <c r="K1446" s="22" t="s">
        <v>1016</v>
      </c>
      <c r="L1446" s="22" t="s">
        <v>4409</v>
      </c>
      <c r="M1446" s="25"/>
    </row>
    <row r="1447" customHeight="1" spans="1:13">
      <c r="A1447" s="21">
        <v>46023</v>
      </c>
      <c r="B1447" s="22" t="s">
        <v>5477</v>
      </c>
      <c r="C1447" s="23">
        <v>46048</v>
      </c>
      <c r="D1447" s="24">
        <v>45</v>
      </c>
      <c r="E1447" s="22" t="s">
        <v>149</v>
      </c>
      <c r="F1447" s="22" t="s">
        <v>5</v>
      </c>
      <c r="G1447" s="22" t="s">
        <v>4947</v>
      </c>
      <c r="H1447" s="22" t="s">
        <v>10</v>
      </c>
      <c r="I1447" s="22" t="s">
        <v>5</v>
      </c>
      <c r="J1447" s="22" t="s">
        <v>40</v>
      </c>
      <c r="K1447" s="22" t="s">
        <v>1016</v>
      </c>
      <c r="L1447" s="22" t="s">
        <v>4409</v>
      </c>
      <c r="M1447" s="25"/>
    </row>
    <row r="1448" customHeight="1" spans="1:13">
      <c r="A1448" s="21">
        <v>46023</v>
      </c>
      <c r="B1448" s="22" t="s">
        <v>5477</v>
      </c>
      <c r="C1448" s="23">
        <v>46048</v>
      </c>
      <c r="D1448" s="24">
        <v>105</v>
      </c>
      <c r="E1448" s="22" t="s">
        <v>149</v>
      </c>
      <c r="F1448" s="22" t="s">
        <v>5</v>
      </c>
      <c r="G1448" s="22" t="s">
        <v>4949</v>
      </c>
      <c r="H1448" s="22" t="s">
        <v>10</v>
      </c>
      <c r="I1448" s="22" t="s">
        <v>5</v>
      </c>
      <c r="J1448" s="22" t="s">
        <v>40</v>
      </c>
      <c r="K1448" s="22" t="s">
        <v>1016</v>
      </c>
      <c r="L1448" s="22" t="s">
        <v>4409</v>
      </c>
      <c r="M1448" s="25"/>
    </row>
    <row r="1449" customHeight="1" spans="1:13">
      <c r="A1449" s="21">
        <v>46023</v>
      </c>
      <c r="B1449" s="22" t="s">
        <v>5477</v>
      </c>
      <c r="C1449" s="23">
        <v>46048</v>
      </c>
      <c r="D1449" s="24">
        <v>35</v>
      </c>
      <c r="E1449" s="22" t="s">
        <v>149</v>
      </c>
      <c r="F1449" s="22" t="s">
        <v>5</v>
      </c>
      <c r="G1449" s="22" t="s">
        <v>4951</v>
      </c>
      <c r="H1449" s="22" t="s">
        <v>10</v>
      </c>
      <c r="I1449" s="22" t="s">
        <v>5</v>
      </c>
      <c r="J1449" s="22" t="s">
        <v>40</v>
      </c>
      <c r="K1449" s="22" t="s">
        <v>1016</v>
      </c>
      <c r="L1449" s="22" t="s">
        <v>4409</v>
      </c>
      <c r="M1449" s="25"/>
    </row>
    <row r="1450" customHeight="1" spans="1:13">
      <c r="A1450" s="21">
        <v>46023</v>
      </c>
      <c r="B1450" s="22" t="s">
        <v>5477</v>
      </c>
      <c r="C1450" s="23">
        <v>46048</v>
      </c>
      <c r="D1450" s="24">
        <v>57</v>
      </c>
      <c r="E1450" s="22" t="s">
        <v>149</v>
      </c>
      <c r="F1450" s="22" t="s">
        <v>5</v>
      </c>
      <c r="G1450" s="22" t="s">
        <v>4953</v>
      </c>
      <c r="H1450" s="22" t="s">
        <v>10</v>
      </c>
      <c r="I1450" s="22" t="s">
        <v>5</v>
      </c>
      <c r="J1450" s="22" t="s">
        <v>40</v>
      </c>
      <c r="K1450" s="22" t="s">
        <v>1016</v>
      </c>
      <c r="L1450" s="22" t="s">
        <v>4409</v>
      </c>
      <c r="M1450" s="25"/>
    </row>
    <row r="1451" customHeight="1" spans="1:13">
      <c r="A1451" s="21">
        <v>46023</v>
      </c>
      <c r="B1451" s="22" t="s">
        <v>5477</v>
      </c>
      <c r="C1451" s="23">
        <v>46048</v>
      </c>
      <c r="D1451" s="24">
        <v>60</v>
      </c>
      <c r="E1451" s="22" t="s">
        <v>149</v>
      </c>
      <c r="F1451" s="22" t="s">
        <v>5</v>
      </c>
      <c r="G1451" s="22" t="s">
        <v>4955</v>
      </c>
      <c r="H1451" s="22" t="s">
        <v>10</v>
      </c>
      <c r="I1451" s="22" t="s">
        <v>5</v>
      </c>
      <c r="J1451" s="22" t="s">
        <v>40</v>
      </c>
      <c r="K1451" s="22" t="s">
        <v>1016</v>
      </c>
      <c r="L1451" s="22" t="s">
        <v>4409</v>
      </c>
      <c r="M1451" s="25"/>
    </row>
    <row r="1452" customHeight="1" spans="1:13">
      <c r="A1452" s="21">
        <v>46023</v>
      </c>
      <c r="B1452" s="22" t="s">
        <v>5477</v>
      </c>
      <c r="C1452" s="23">
        <v>46048</v>
      </c>
      <c r="D1452" s="24">
        <v>30</v>
      </c>
      <c r="E1452" s="22" t="s">
        <v>149</v>
      </c>
      <c r="F1452" s="22" t="s">
        <v>5</v>
      </c>
      <c r="G1452" s="22" t="s">
        <v>4957</v>
      </c>
      <c r="H1452" s="22" t="s">
        <v>10</v>
      </c>
      <c r="I1452" s="22" t="s">
        <v>5</v>
      </c>
      <c r="J1452" s="22" t="s">
        <v>40</v>
      </c>
      <c r="K1452" s="22" t="s">
        <v>1016</v>
      </c>
      <c r="L1452" s="22" t="s">
        <v>4409</v>
      </c>
      <c r="M1452" s="25"/>
    </row>
    <row r="1453" customHeight="1" spans="1:13">
      <c r="A1453" s="21">
        <v>46023</v>
      </c>
      <c r="B1453" s="22" t="s">
        <v>5477</v>
      </c>
      <c r="C1453" s="23">
        <v>46048</v>
      </c>
      <c r="D1453" s="24">
        <v>40</v>
      </c>
      <c r="E1453" s="22" t="s">
        <v>149</v>
      </c>
      <c r="F1453" s="22" t="s">
        <v>5</v>
      </c>
      <c r="G1453" s="22" t="s">
        <v>4959</v>
      </c>
      <c r="H1453" s="22" t="s">
        <v>10</v>
      </c>
      <c r="I1453" s="22" t="s">
        <v>5</v>
      </c>
      <c r="J1453" s="22" t="s">
        <v>40</v>
      </c>
      <c r="K1453" s="22" t="s">
        <v>1016</v>
      </c>
      <c r="L1453" s="22" t="s">
        <v>4409</v>
      </c>
      <c r="M1453" s="25"/>
    </row>
    <row r="1454" customHeight="1" spans="1:13">
      <c r="A1454" s="21">
        <v>46023</v>
      </c>
      <c r="B1454" s="22" t="s">
        <v>5477</v>
      </c>
      <c r="C1454" s="23">
        <v>46048</v>
      </c>
      <c r="D1454" s="24">
        <v>110</v>
      </c>
      <c r="E1454" s="22" t="s">
        <v>149</v>
      </c>
      <c r="F1454" s="22" t="s">
        <v>5</v>
      </c>
      <c r="G1454" s="22" t="s">
        <v>4961</v>
      </c>
      <c r="H1454" s="22" t="s">
        <v>10</v>
      </c>
      <c r="I1454" s="22" t="s">
        <v>5</v>
      </c>
      <c r="J1454" s="22" t="s">
        <v>40</v>
      </c>
      <c r="K1454" s="22" t="s">
        <v>1016</v>
      </c>
      <c r="L1454" s="22" t="s">
        <v>4409</v>
      </c>
      <c r="M1454" s="25"/>
    </row>
    <row r="1455" customHeight="1" spans="1:13">
      <c r="A1455" s="21">
        <v>46023</v>
      </c>
      <c r="B1455" s="22" t="s">
        <v>5477</v>
      </c>
      <c r="C1455" s="23">
        <v>46048</v>
      </c>
      <c r="D1455" s="24">
        <v>60</v>
      </c>
      <c r="E1455" s="22" t="s">
        <v>149</v>
      </c>
      <c r="F1455" s="22" t="s">
        <v>5</v>
      </c>
      <c r="G1455" s="22" t="s">
        <v>4963</v>
      </c>
      <c r="H1455" s="22" t="s">
        <v>10</v>
      </c>
      <c r="I1455" s="22" t="s">
        <v>5</v>
      </c>
      <c r="J1455" s="22" t="s">
        <v>40</v>
      </c>
      <c r="K1455" s="22" t="s">
        <v>1016</v>
      </c>
      <c r="L1455" s="22" t="s">
        <v>4409</v>
      </c>
      <c r="M1455" s="25"/>
    </row>
    <row r="1456" customHeight="1" spans="1:13">
      <c r="A1456" s="21">
        <v>46023</v>
      </c>
      <c r="B1456" s="22" t="s">
        <v>5477</v>
      </c>
      <c r="C1456" s="23">
        <v>46048</v>
      </c>
      <c r="D1456" s="24">
        <v>68</v>
      </c>
      <c r="E1456" s="22" t="s">
        <v>149</v>
      </c>
      <c r="F1456" s="22" t="s">
        <v>5</v>
      </c>
      <c r="G1456" s="22" t="s">
        <v>4965</v>
      </c>
      <c r="H1456" s="22" t="s">
        <v>10</v>
      </c>
      <c r="I1456" s="22" t="s">
        <v>5</v>
      </c>
      <c r="J1456" s="22" t="s">
        <v>40</v>
      </c>
      <c r="K1456" s="22" t="s">
        <v>1016</v>
      </c>
      <c r="L1456" s="22" t="s">
        <v>4409</v>
      </c>
      <c r="M1456" s="25"/>
    </row>
    <row r="1457" customHeight="1" spans="1:13">
      <c r="A1457" s="21">
        <v>46023</v>
      </c>
      <c r="B1457" s="22" t="s">
        <v>5477</v>
      </c>
      <c r="C1457" s="23">
        <v>46048</v>
      </c>
      <c r="D1457" s="24">
        <v>107</v>
      </c>
      <c r="E1457" s="22" t="s">
        <v>149</v>
      </c>
      <c r="F1457" s="22" t="s">
        <v>5</v>
      </c>
      <c r="G1457" s="22" t="s">
        <v>4967</v>
      </c>
      <c r="H1457" s="22" t="s">
        <v>10</v>
      </c>
      <c r="I1457" s="22" t="s">
        <v>5</v>
      </c>
      <c r="J1457" s="22" t="s">
        <v>40</v>
      </c>
      <c r="K1457" s="22" t="s">
        <v>1016</v>
      </c>
      <c r="L1457" s="22" t="s">
        <v>4409</v>
      </c>
      <c r="M1457" s="25"/>
    </row>
    <row r="1458" customHeight="1" spans="1:13">
      <c r="A1458" s="21">
        <v>46023</v>
      </c>
      <c r="B1458" s="22" t="s">
        <v>5477</v>
      </c>
      <c r="C1458" s="23">
        <v>46048</v>
      </c>
      <c r="D1458" s="24">
        <v>50</v>
      </c>
      <c r="E1458" s="22" t="s">
        <v>149</v>
      </c>
      <c r="F1458" s="22" t="s">
        <v>5</v>
      </c>
      <c r="G1458" s="22" t="s">
        <v>4969</v>
      </c>
      <c r="H1458" s="22" t="s">
        <v>10</v>
      </c>
      <c r="I1458" s="22" t="s">
        <v>5</v>
      </c>
      <c r="J1458" s="22" t="s">
        <v>40</v>
      </c>
      <c r="K1458" s="22" t="s">
        <v>1016</v>
      </c>
      <c r="L1458" s="22" t="s">
        <v>4409</v>
      </c>
      <c r="M1458" s="25"/>
    </row>
    <row r="1459" customHeight="1" spans="1:13">
      <c r="A1459" s="21">
        <v>46023</v>
      </c>
      <c r="B1459" s="22" t="s">
        <v>5477</v>
      </c>
      <c r="C1459" s="23">
        <v>46049</v>
      </c>
      <c r="D1459" s="24">
        <v>40000</v>
      </c>
      <c r="E1459" s="22" t="s">
        <v>149</v>
      </c>
      <c r="F1459" s="22" t="s">
        <v>5</v>
      </c>
      <c r="G1459" s="22" t="s">
        <v>4973</v>
      </c>
      <c r="H1459" s="22" t="s">
        <v>10</v>
      </c>
      <c r="I1459" s="22" t="s">
        <v>5</v>
      </c>
      <c r="J1459" s="22" t="s">
        <v>40</v>
      </c>
      <c r="K1459" s="22" t="s">
        <v>4975</v>
      </c>
      <c r="L1459" s="22" t="s">
        <v>3122</v>
      </c>
      <c r="M1459" s="25"/>
    </row>
    <row r="1460" customHeight="1" spans="1:13">
      <c r="A1460" s="21">
        <v>46023</v>
      </c>
      <c r="B1460" s="22" t="s">
        <v>5477</v>
      </c>
      <c r="C1460" s="23">
        <v>46050</v>
      </c>
      <c r="D1460" s="24">
        <v>49560</v>
      </c>
      <c r="E1460" s="22" t="s">
        <v>149</v>
      </c>
      <c r="F1460" s="22" t="s">
        <v>5</v>
      </c>
      <c r="G1460" s="22" t="s">
        <v>4977</v>
      </c>
      <c r="H1460" s="22" t="s">
        <v>11</v>
      </c>
      <c r="I1460" s="22" t="s">
        <v>5</v>
      </c>
      <c r="J1460" s="22" t="s">
        <v>40</v>
      </c>
      <c r="K1460" s="22" t="s">
        <v>4981</v>
      </c>
      <c r="L1460" s="22" t="s">
        <v>4979</v>
      </c>
      <c r="M1460" s="25"/>
    </row>
    <row r="1461" customHeight="1" spans="1:13">
      <c r="A1461" s="21">
        <v>46023</v>
      </c>
      <c r="B1461" s="22" t="s">
        <v>5477</v>
      </c>
      <c r="C1461" s="23">
        <v>46050</v>
      </c>
      <c r="D1461" s="24">
        <v>49800</v>
      </c>
      <c r="E1461" s="22" t="s">
        <v>149</v>
      </c>
      <c r="F1461" s="22" t="s">
        <v>5</v>
      </c>
      <c r="G1461" s="22" t="s">
        <v>4982</v>
      </c>
      <c r="H1461" s="22" t="s">
        <v>11</v>
      </c>
      <c r="I1461" s="22" t="s">
        <v>5</v>
      </c>
      <c r="J1461" s="22" t="s">
        <v>40</v>
      </c>
      <c r="K1461" s="22" t="s">
        <v>4981</v>
      </c>
      <c r="L1461" s="22" t="s">
        <v>4979</v>
      </c>
      <c r="M1461" s="25"/>
    </row>
    <row r="1462" customHeight="1" spans="1:13">
      <c r="A1462" s="21">
        <v>46023</v>
      </c>
      <c r="B1462" s="22" t="s">
        <v>5477</v>
      </c>
      <c r="C1462" s="23">
        <v>46050</v>
      </c>
      <c r="D1462" s="27">
        <v>38000</v>
      </c>
      <c r="E1462" s="22" t="s">
        <v>149</v>
      </c>
      <c r="F1462" s="22" t="s">
        <v>5</v>
      </c>
      <c r="G1462" s="22" t="s">
        <v>4984</v>
      </c>
      <c r="H1462" s="22" t="s">
        <v>11</v>
      </c>
      <c r="I1462" s="22" t="s">
        <v>5</v>
      </c>
      <c r="J1462" s="22" t="s">
        <v>40</v>
      </c>
      <c r="K1462" s="22" t="s">
        <v>4981</v>
      </c>
      <c r="L1462" s="22" t="s">
        <v>4979</v>
      </c>
      <c r="M1462" s="25"/>
    </row>
    <row r="1463" customHeight="1" spans="1:13">
      <c r="A1463" s="21">
        <v>46023</v>
      </c>
      <c r="B1463" s="22" t="s">
        <v>5477</v>
      </c>
      <c r="C1463" s="23">
        <v>46052</v>
      </c>
      <c r="D1463" s="24">
        <v>150000</v>
      </c>
      <c r="E1463" s="22" t="s">
        <v>149</v>
      </c>
      <c r="F1463" s="22" t="s">
        <v>5</v>
      </c>
      <c r="G1463" s="22" t="s">
        <v>4986</v>
      </c>
      <c r="H1463" s="22" t="s">
        <v>10</v>
      </c>
      <c r="I1463" s="22" t="s">
        <v>5</v>
      </c>
      <c r="J1463" s="22" t="s">
        <v>40</v>
      </c>
      <c r="K1463" s="22" t="s">
        <v>4988</v>
      </c>
      <c r="L1463" s="22" t="s">
        <v>3122</v>
      </c>
      <c r="M1463" s="25"/>
    </row>
    <row r="1464" customHeight="1" spans="1:13">
      <c r="A1464" s="21">
        <v>46023</v>
      </c>
      <c r="B1464" s="22" t="s">
        <v>5477</v>
      </c>
      <c r="C1464" s="23">
        <v>46052</v>
      </c>
      <c r="D1464" s="27">
        <v>32067.5</v>
      </c>
      <c r="E1464" s="22" t="s">
        <v>149</v>
      </c>
      <c r="F1464" s="22" t="s">
        <v>5</v>
      </c>
      <c r="G1464" s="22" t="s">
        <v>4990</v>
      </c>
      <c r="H1464" s="22" t="s">
        <v>11</v>
      </c>
      <c r="I1464" s="22" t="s">
        <v>5</v>
      </c>
      <c r="J1464" s="22" t="s">
        <v>40</v>
      </c>
      <c r="K1464" s="22" t="s">
        <v>4988</v>
      </c>
      <c r="L1464" s="22" t="s">
        <v>3122</v>
      </c>
      <c r="M1464" s="25"/>
    </row>
    <row r="1465" customHeight="1" spans="1:13">
      <c r="A1465" s="21">
        <v>46054</v>
      </c>
      <c r="B1465" s="22" t="s">
        <v>5478</v>
      </c>
      <c r="C1465" s="23">
        <v>46055</v>
      </c>
      <c r="D1465" s="24">
        <v>26807.4</v>
      </c>
      <c r="E1465" s="22" t="s">
        <v>149</v>
      </c>
      <c r="F1465" s="22" t="s">
        <v>5</v>
      </c>
      <c r="G1465" s="22" t="s">
        <v>4993</v>
      </c>
      <c r="H1465" s="22" t="s">
        <v>11</v>
      </c>
      <c r="I1465" s="22" t="s">
        <v>5</v>
      </c>
      <c r="J1465" s="22" t="s">
        <v>40</v>
      </c>
      <c r="K1465" s="22" t="s">
        <v>4995</v>
      </c>
      <c r="L1465" s="22" t="s">
        <v>3048</v>
      </c>
      <c r="M1465" s="25"/>
    </row>
    <row r="1466" customHeight="1" spans="1:13">
      <c r="A1466" s="21">
        <v>46054</v>
      </c>
      <c r="B1466" s="22" t="s">
        <v>5478</v>
      </c>
      <c r="C1466" s="23">
        <v>46055</v>
      </c>
      <c r="D1466" s="24">
        <v>33755.9</v>
      </c>
      <c r="E1466" s="22" t="s">
        <v>149</v>
      </c>
      <c r="F1466" s="22" t="s">
        <v>5</v>
      </c>
      <c r="G1466" s="22" t="s">
        <v>4997</v>
      </c>
      <c r="H1466" s="22" t="s">
        <v>11</v>
      </c>
      <c r="I1466" s="22" t="s">
        <v>5</v>
      </c>
      <c r="J1466" s="22" t="s">
        <v>40</v>
      </c>
      <c r="K1466" s="22" t="s">
        <v>4995</v>
      </c>
      <c r="L1466" s="22" t="s">
        <v>3048</v>
      </c>
      <c r="M1466" s="25"/>
    </row>
    <row r="1467" customHeight="1" spans="1:13">
      <c r="A1467" s="21">
        <v>46054</v>
      </c>
      <c r="B1467" s="22" t="s">
        <v>5478</v>
      </c>
      <c r="C1467" s="23">
        <v>46055</v>
      </c>
      <c r="D1467" s="27">
        <v>28660.5</v>
      </c>
      <c r="E1467" s="22" t="s">
        <v>149</v>
      </c>
      <c r="F1467" s="22" t="s">
        <v>5</v>
      </c>
      <c r="G1467" s="22" t="s">
        <v>4999</v>
      </c>
      <c r="H1467" s="22" t="s">
        <v>11</v>
      </c>
      <c r="I1467" s="22" t="s">
        <v>5</v>
      </c>
      <c r="J1467" s="22" t="s">
        <v>40</v>
      </c>
      <c r="K1467" s="22" t="s">
        <v>4995</v>
      </c>
      <c r="L1467" s="22" t="s">
        <v>3048</v>
      </c>
      <c r="M1467" s="25"/>
    </row>
    <row r="1468" customHeight="1" spans="1:13">
      <c r="A1468" s="21">
        <v>46054</v>
      </c>
      <c r="B1468" s="22" t="s">
        <v>5478</v>
      </c>
      <c r="C1468" s="23">
        <v>46055</v>
      </c>
      <c r="D1468" s="24">
        <v>38</v>
      </c>
      <c r="E1468" s="22" t="s">
        <v>149</v>
      </c>
      <c r="F1468" s="22" t="s">
        <v>5</v>
      </c>
      <c r="G1468" s="22" t="s">
        <v>5004</v>
      </c>
      <c r="H1468" s="22" t="s">
        <v>10</v>
      </c>
      <c r="I1468" s="22" t="s">
        <v>5</v>
      </c>
      <c r="J1468" s="22" t="s">
        <v>40</v>
      </c>
      <c r="K1468" s="22" t="s">
        <v>4995</v>
      </c>
      <c r="L1468" s="22" t="s">
        <v>3048</v>
      </c>
      <c r="M1468" s="25"/>
    </row>
    <row r="1469" customHeight="1" spans="1:13">
      <c r="A1469" s="21">
        <v>46054</v>
      </c>
      <c r="B1469" s="22" t="s">
        <v>5478</v>
      </c>
      <c r="C1469" s="23">
        <v>46055</v>
      </c>
      <c r="D1469" s="24">
        <v>120</v>
      </c>
      <c r="E1469" s="22" t="s">
        <v>149</v>
      </c>
      <c r="F1469" s="22" t="s">
        <v>5</v>
      </c>
      <c r="G1469" s="22" t="s">
        <v>5008</v>
      </c>
      <c r="H1469" s="22" t="s">
        <v>10</v>
      </c>
      <c r="I1469" s="22" t="s">
        <v>5</v>
      </c>
      <c r="J1469" s="22" t="s">
        <v>40</v>
      </c>
      <c r="K1469" s="22" t="s">
        <v>4995</v>
      </c>
      <c r="L1469" s="22" t="s">
        <v>3048</v>
      </c>
      <c r="M1469" s="25"/>
    </row>
    <row r="1470" customHeight="1" spans="1:13">
      <c r="A1470" s="21">
        <v>46054</v>
      </c>
      <c r="B1470" s="22" t="s">
        <v>5478</v>
      </c>
      <c r="C1470" s="23">
        <v>46055</v>
      </c>
      <c r="D1470" s="24">
        <v>10</v>
      </c>
      <c r="E1470" s="22" t="s">
        <v>149</v>
      </c>
      <c r="F1470" s="22" t="s">
        <v>5</v>
      </c>
      <c r="G1470" s="22" t="s">
        <v>5011</v>
      </c>
      <c r="H1470" s="22" t="s">
        <v>10</v>
      </c>
      <c r="I1470" s="22" t="s">
        <v>5</v>
      </c>
      <c r="J1470" s="22" t="s">
        <v>40</v>
      </c>
      <c r="K1470" s="22" t="s">
        <v>4995</v>
      </c>
      <c r="L1470" s="22" t="s">
        <v>3048</v>
      </c>
      <c r="M1470" s="25"/>
    </row>
    <row r="1471" customHeight="1" spans="1:13">
      <c r="A1471" s="21">
        <v>46054</v>
      </c>
      <c r="B1471" s="22" t="s">
        <v>5478</v>
      </c>
      <c r="C1471" s="23">
        <v>46055</v>
      </c>
      <c r="D1471" s="24">
        <v>300</v>
      </c>
      <c r="E1471" s="22" t="s">
        <v>149</v>
      </c>
      <c r="F1471" s="22" t="s">
        <v>5</v>
      </c>
      <c r="G1471" s="22" t="s">
        <v>5013</v>
      </c>
      <c r="H1471" s="22" t="s">
        <v>10</v>
      </c>
      <c r="I1471" s="22" t="s">
        <v>5</v>
      </c>
      <c r="J1471" s="22" t="s">
        <v>40</v>
      </c>
      <c r="K1471" s="22" t="s">
        <v>4995</v>
      </c>
      <c r="L1471" s="22" t="s">
        <v>3048</v>
      </c>
      <c r="M1471" s="25"/>
    </row>
    <row r="1472" customHeight="1" spans="1:13">
      <c r="A1472" s="21">
        <v>46054</v>
      </c>
      <c r="B1472" s="22" t="s">
        <v>5478</v>
      </c>
      <c r="C1472" s="23">
        <v>46057</v>
      </c>
      <c r="D1472" s="24">
        <v>29765.45</v>
      </c>
      <c r="E1472" s="22" t="s">
        <v>149</v>
      </c>
      <c r="F1472" s="22" t="s">
        <v>5</v>
      </c>
      <c r="G1472" s="22" t="s">
        <v>5016</v>
      </c>
      <c r="H1472" s="22" t="s">
        <v>11</v>
      </c>
      <c r="I1472" s="22" t="s">
        <v>5</v>
      </c>
      <c r="J1472" s="22" t="s">
        <v>40</v>
      </c>
      <c r="K1472" s="22" t="s">
        <v>5018</v>
      </c>
      <c r="L1472" s="22" t="s">
        <v>3059</v>
      </c>
      <c r="M1472" s="25"/>
    </row>
    <row r="1473" customHeight="1" spans="1:13">
      <c r="A1473" s="21">
        <v>46054</v>
      </c>
      <c r="B1473" s="22" t="s">
        <v>5478</v>
      </c>
      <c r="C1473" s="23">
        <v>46057</v>
      </c>
      <c r="D1473" s="24">
        <v>29589.96</v>
      </c>
      <c r="E1473" s="22" t="s">
        <v>149</v>
      </c>
      <c r="F1473" s="22" t="s">
        <v>5</v>
      </c>
      <c r="G1473" s="22" t="s">
        <v>5019</v>
      </c>
      <c r="H1473" s="22" t="s">
        <v>11</v>
      </c>
      <c r="I1473" s="22" t="s">
        <v>5</v>
      </c>
      <c r="J1473" s="22" t="s">
        <v>40</v>
      </c>
      <c r="K1473" s="22" t="s">
        <v>5018</v>
      </c>
      <c r="L1473" s="22" t="s">
        <v>3059</v>
      </c>
      <c r="M1473" s="25"/>
    </row>
    <row r="1474" customHeight="1" spans="1:13">
      <c r="A1474" s="21">
        <v>46054</v>
      </c>
      <c r="B1474" s="22" t="s">
        <v>5478</v>
      </c>
      <c r="C1474" s="23">
        <v>46057</v>
      </c>
      <c r="D1474" s="24">
        <v>29485.38</v>
      </c>
      <c r="E1474" s="22" t="s">
        <v>149</v>
      </c>
      <c r="F1474" s="22" t="s">
        <v>5</v>
      </c>
      <c r="G1474" s="22" t="s">
        <v>5021</v>
      </c>
      <c r="H1474" s="22" t="s">
        <v>11</v>
      </c>
      <c r="I1474" s="22" t="s">
        <v>5</v>
      </c>
      <c r="J1474" s="22" t="s">
        <v>40</v>
      </c>
      <c r="K1474" s="22" t="s">
        <v>5018</v>
      </c>
      <c r="L1474" s="22" t="s">
        <v>3059</v>
      </c>
      <c r="M1474" s="25"/>
    </row>
    <row r="1475" customHeight="1" spans="1:13">
      <c r="A1475" s="21">
        <v>46054</v>
      </c>
      <c r="B1475" s="22" t="s">
        <v>5478</v>
      </c>
      <c r="C1475" s="23">
        <v>46057</v>
      </c>
      <c r="D1475" s="24">
        <v>29865.45</v>
      </c>
      <c r="E1475" s="22" t="s">
        <v>149</v>
      </c>
      <c r="F1475" s="22" t="s">
        <v>5</v>
      </c>
      <c r="G1475" s="22" t="s">
        <v>5023</v>
      </c>
      <c r="H1475" s="22" t="s">
        <v>11</v>
      </c>
      <c r="I1475" s="22" t="s">
        <v>5</v>
      </c>
      <c r="J1475" s="22" t="s">
        <v>40</v>
      </c>
      <c r="K1475" s="22" t="s">
        <v>5018</v>
      </c>
      <c r="L1475" s="22" t="s">
        <v>3059</v>
      </c>
      <c r="M1475" s="25"/>
    </row>
    <row r="1476" customHeight="1" spans="1:13">
      <c r="A1476" s="21">
        <v>46054</v>
      </c>
      <c r="B1476" s="22" t="s">
        <v>5478</v>
      </c>
      <c r="C1476" s="23">
        <v>46057</v>
      </c>
      <c r="D1476" s="27">
        <v>29987.65</v>
      </c>
      <c r="E1476" s="22" t="s">
        <v>149</v>
      </c>
      <c r="F1476" s="22" t="s">
        <v>5</v>
      </c>
      <c r="G1476" s="22" t="s">
        <v>5025</v>
      </c>
      <c r="H1476" s="22" t="s">
        <v>11</v>
      </c>
      <c r="I1476" s="22" t="s">
        <v>5</v>
      </c>
      <c r="J1476" s="22" t="s">
        <v>40</v>
      </c>
      <c r="K1476" s="22" t="s">
        <v>5018</v>
      </c>
      <c r="L1476" s="22" t="s">
        <v>3059</v>
      </c>
      <c r="M1476" s="25"/>
    </row>
    <row r="1477" customHeight="1" spans="1:13">
      <c r="A1477" s="21">
        <v>46054</v>
      </c>
      <c r="B1477" s="22" t="s">
        <v>5478</v>
      </c>
      <c r="C1477" s="23">
        <v>46057</v>
      </c>
      <c r="D1477" s="24">
        <v>29485.36</v>
      </c>
      <c r="E1477" s="22" t="s">
        <v>149</v>
      </c>
      <c r="F1477" s="22" t="s">
        <v>5</v>
      </c>
      <c r="G1477" s="22" t="s">
        <v>5029</v>
      </c>
      <c r="H1477" s="22" t="s">
        <v>11</v>
      </c>
      <c r="I1477" s="22" t="s">
        <v>5</v>
      </c>
      <c r="J1477" s="22" t="s">
        <v>40</v>
      </c>
      <c r="K1477" s="22" t="s">
        <v>5018</v>
      </c>
      <c r="L1477" s="22" t="s">
        <v>3059</v>
      </c>
      <c r="M1477" s="25"/>
    </row>
    <row r="1478" customHeight="1" spans="1:13">
      <c r="A1478" s="21">
        <v>46054</v>
      </c>
      <c r="B1478" s="22" t="s">
        <v>5478</v>
      </c>
      <c r="C1478" s="23">
        <v>46057</v>
      </c>
      <c r="D1478" s="24">
        <v>29398.85</v>
      </c>
      <c r="E1478" s="22" t="s">
        <v>149</v>
      </c>
      <c r="F1478" s="22" t="s">
        <v>5</v>
      </c>
      <c r="G1478" s="22" t="s">
        <v>5031</v>
      </c>
      <c r="H1478" s="22" t="s">
        <v>11</v>
      </c>
      <c r="I1478" s="22" t="s">
        <v>5</v>
      </c>
      <c r="J1478" s="22" t="s">
        <v>40</v>
      </c>
      <c r="K1478" s="22" t="s">
        <v>5018</v>
      </c>
      <c r="L1478" s="22" t="s">
        <v>3059</v>
      </c>
      <c r="M1478" s="25"/>
    </row>
    <row r="1479" customHeight="1" spans="1:13">
      <c r="A1479" s="21">
        <v>46054</v>
      </c>
      <c r="B1479" s="22" t="s">
        <v>5478</v>
      </c>
      <c r="C1479" s="23">
        <v>46057</v>
      </c>
      <c r="D1479" s="27">
        <v>19830</v>
      </c>
      <c r="E1479" s="22" t="s">
        <v>149</v>
      </c>
      <c r="F1479" s="22" t="s">
        <v>5</v>
      </c>
      <c r="G1479" s="22" t="s">
        <v>5033</v>
      </c>
      <c r="H1479" s="22" t="s">
        <v>11</v>
      </c>
      <c r="I1479" s="22" t="s">
        <v>5</v>
      </c>
      <c r="J1479" s="22" t="s">
        <v>40</v>
      </c>
      <c r="K1479" s="22" t="s">
        <v>5018</v>
      </c>
      <c r="L1479" s="22" t="s">
        <v>3059</v>
      </c>
      <c r="M1479" s="25"/>
    </row>
    <row r="1480" customHeight="1" spans="1:13">
      <c r="A1480" s="21">
        <v>46054</v>
      </c>
      <c r="B1480" s="22" t="s">
        <v>5478</v>
      </c>
      <c r="C1480" s="23">
        <v>46059</v>
      </c>
      <c r="D1480" s="27">
        <v>23600</v>
      </c>
      <c r="E1480" s="22" t="s">
        <v>149</v>
      </c>
      <c r="F1480" s="22" t="s">
        <v>5</v>
      </c>
      <c r="G1480" s="22" t="s">
        <v>5037</v>
      </c>
      <c r="H1480" s="22" t="s">
        <v>11</v>
      </c>
      <c r="I1480" s="22" t="s">
        <v>5</v>
      </c>
      <c r="J1480" s="22" t="s">
        <v>40</v>
      </c>
      <c r="K1480" s="22" t="s">
        <v>5039</v>
      </c>
      <c r="L1480" s="22" t="s">
        <v>3040</v>
      </c>
      <c r="M1480" s="25"/>
    </row>
    <row r="1481" customHeight="1" spans="1:13">
      <c r="A1481" s="21">
        <v>46054</v>
      </c>
      <c r="B1481" s="22" t="s">
        <v>5478</v>
      </c>
      <c r="C1481" s="23">
        <v>46059</v>
      </c>
      <c r="D1481" s="24">
        <v>9368.75</v>
      </c>
      <c r="E1481" s="22" t="s">
        <v>303</v>
      </c>
      <c r="F1481" s="22" t="s">
        <v>5</v>
      </c>
      <c r="G1481" s="22" t="s">
        <v>5040</v>
      </c>
      <c r="H1481" s="22" t="s">
        <v>10</v>
      </c>
      <c r="I1481" s="22" t="s">
        <v>5</v>
      </c>
      <c r="J1481" s="22" t="s">
        <v>40</v>
      </c>
      <c r="K1481" s="22" t="s">
        <v>5039</v>
      </c>
      <c r="L1481" s="22" t="s">
        <v>3040</v>
      </c>
      <c r="M1481" s="25"/>
    </row>
    <row r="1482" customHeight="1" spans="1:13">
      <c r="A1482" s="21">
        <v>46054</v>
      </c>
      <c r="B1482" s="22" t="s">
        <v>5478</v>
      </c>
      <c r="C1482" s="23">
        <v>46062</v>
      </c>
      <c r="D1482" s="24">
        <v>105.38</v>
      </c>
      <c r="E1482" s="22" t="s">
        <v>149</v>
      </c>
      <c r="F1482" s="22" t="s">
        <v>5</v>
      </c>
      <c r="G1482" s="22" t="s">
        <v>5043</v>
      </c>
      <c r="H1482" s="22" t="s">
        <v>10</v>
      </c>
      <c r="I1482" s="22" t="s">
        <v>5</v>
      </c>
      <c r="J1482" s="22" t="s">
        <v>40</v>
      </c>
      <c r="K1482" s="22" t="s">
        <v>1016</v>
      </c>
      <c r="L1482" s="22" t="s">
        <v>4409</v>
      </c>
      <c r="M1482" s="25"/>
    </row>
    <row r="1483" customHeight="1" spans="1:13">
      <c r="A1483" s="21">
        <v>46054</v>
      </c>
      <c r="B1483" s="22" t="s">
        <v>5478</v>
      </c>
      <c r="C1483" s="23">
        <v>46062</v>
      </c>
      <c r="D1483" s="24">
        <v>169.96</v>
      </c>
      <c r="E1483" s="22" t="s">
        <v>149</v>
      </c>
      <c r="F1483" s="22" t="s">
        <v>5</v>
      </c>
      <c r="G1483" s="22" t="s">
        <v>5047</v>
      </c>
      <c r="H1483" s="22" t="s">
        <v>10</v>
      </c>
      <c r="I1483" s="22" t="s">
        <v>5</v>
      </c>
      <c r="J1483" s="22" t="s">
        <v>40</v>
      </c>
      <c r="K1483" s="22" t="s">
        <v>1016</v>
      </c>
      <c r="L1483" s="22" t="s">
        <v>4409</v>
      </c>
      <c r="M1483" s="25"/>
    </row>
    <row r="1484" customHeight="1" spans="1:13">
      <c r="A1484" s="21">
        <v>46054</v>
      </c>
      <c r="B1484" s="22" t="s">
        <v>5478</v>
      </c>
      <c r="C1484" s="23">
        <v>46062</v>
      </c>
      <c r="D1484" s="24">
        <v>157.03</v>
      </c>
      <c r="E1484" s="22" t="s">
        <v>149</v>
      </c>
      <c r="F1484" s="22" t="s">
        <v>5</v>
      </c>
      <c r="G1484" s="22" t="s">
        <v>5049</v>
      </c>
      <c r="H1484" s="22" t="s">
        <v>10</v>
      </c>
      <c r="I1484" s="22" t="s">
        <v>5</v>
      </c>
      <c r="J1484" s="22" t="s">
        <v>40</v>
      </c>
      <c r="K1484" s="22" t="s">
        <v>1016</v>
      </c>
      <c r="L1484" s="22" t="s">
        <v>4409</v>
      </c>
      <c r="M1484" s="25"/>
    </row>
    <row r="1485" customHeight="1" spans="1:13">
      <c r="A1485" s="21">
        <v>46054</v>
      </c>
      <c r="B1485" s="22" t="s">
        <v>5478</v>
      </c>
      <c r="C1485" s="23">
        <v>46062</v>
      </c>
      <c r="D1485" s="24">
        <v>154.46</v>
      </c>
      <c r="E1485" s="22" t="s">
        <v>149</v>
      </c>
      <c r="F1485" s="22" t="s">
        <v>5</v>
      </c>
      <c r="G1485" s="22" t="s">
        <v>5052</v>
      </c>
      <c r="H1485" s="22" t="s">
        <v>10</v>
      </c>
      <c r="I1485" s="22" t="s">
        <v>5</v>
      </c>
      <c r="J1485" s="22" t="s">
        <v>40</v>
      </c>
      <c r="K1485" s="22" t="s">
        <v>1016</v>
      </c>
      <c r="L1485" s="22" t="s">
        <v>4409</v>
      </c>
      <c r="M1485" s="25"/>
    </row>
    <row r="1486" customHeight="1" spans="1:13">
      <c r="A1486" s="21">
        <v>46054</v>
      </c>
      <c r="B1486" s="22" t="s">
        <v>5478</v>
      </c>
      <c r="C1486" s="23">
        <v>46062</v>
      </c>
      <c r="D1486" s="24">
        <v>147.99</v>
      </c>
      <c r="E1486" s="22" t="s">
        <v>149</v>
      </c>
      <c r="F1486" s="22" t="s">
        <v>5</v>
      </c>
      <c r="G1486" s="22" t="s">
        <v>5054</v>
      </c>
      <c r="H1486" s="22" t="s">
        <v>10</v>
      </c>
      <c r="I1486" s="22" t="s">
        <v>5</v>
      </c>
      <c r="J1486" s="22" t="s">
        <v>40</v>
      </c>
      <c r="K1486" s="22" t="s">
        <v>1016</v>
      </c>
      <c r="L1486" s="22" t="s">
        <v>4409</v>
      </c>
      <c r="M1486" s="25"/>
    </row>
    <row r="1487" customHeight="1" spans="1:13">
      <c r="A1487" s="21">
        <v>46054</v>
      </c>
      <c r="B1487" s="22" t="s">
        <v>5478</v>
      </c>
      <c r="C1487" s="23">
        <v>46062</v>
      </c>
      <c r="D1487" s="24">
        <v>146.99</v>
      </c>
      <c r="E1487" s="22" t="s">
        <v>149</v>
      </c>
      <c r="F1487" s="22" t="s">
        <v>5</v>
      </c>
      <c r="G1487" s="22" t="s">
        <v>5056</v>
      </c>
      <c r="H1487" s="22" t="s">
        <v>10</v>
      </c>
      <c r="I1487" s="22" t="s">
        <v>5</v>
      </c>
      <c r="J1487" s="22" t="s">
        <v>40</v>
      </c>
      <c r="K1487" s="22" t="s">
        <v>1016</v>
      </c>
      <c r="L1487" s="22" t="s">
        <v>4409</v>
      </c>
      <c r="M1487" s="25"/>
    </row>
    <row r="1488" customHeight="1" spans="1:13">
      <c r="A1488" s="21">
        <v>46054</v>
      </c>
      <c r="B1488" s="22" t="s">
        <v>5478</v>
      </c>
      <c r="C1488" s="23">
        <v>46062</v>
      </c>
      <c r="D1488" s="24">
        <v>153.09</v>
      </c>
      <c r="E1488" s="22" t="s">
        <v>149</v>
      </c>
      <c r="F1488" s="22" t="s">
        <v>5</v>
      </c>
      <c r="G1488" s="22" t="s">
        <v>5058</v>
      </c>
      <c r="H1488" s="22" t="s">
        <v>10</v>
      </c>
      <c r="I1488" s="22" t="s">
        <v>5</v>
      </c>
      <c r="J1488" s="22" t="s">
        <v>40</v>
      </c>
      <c r="K1488" s="22" t="s">
        <v>1016</v>
      </c>
      <c r="L1488" s="22" t="s">
        <v>4409</v>
      </c>
      <c r="M1488" s="25"/>
    </row>
    <row r="1489" customHeight="1" spans="1:13">
      <c r="A1489" s="21">
        <v>46054</v>
      </c>
      <c r="B1489" s="22" t="s">
        <v>5478</v>
      </c>
      <c r="C1489" s="23">
        <v>46063</v>
      </c>
      <c r="D1489" s="27">
        <v>49800.83</v>
      </c>
      <c r="E1489" s="22" t="s">
        <v>149</v>
      </c>
      <c r="F1489" s="22" t="s">
        <v>5</v>
      </c>
      <c r="G1489" s="22" t="s">
        <v>5060</v>
      </c>
      <c r="H1489" s="22" t="s">
        <v>11</v>
      </c>
      <c r="I1489" s="22" t="s">
        <v>5</v>
      </c>
      <c r="J1489" s="22" t="s">
        <v>40</v>
      </c>
      <c r="K1489" s="22" t="s">
        <v>5062</v>
      </c>
      <c r="L1489" s="22" t="s">
        <v>492</v>
      </c>
      <c r="M1489" s="25"/>
    </row>
    <row r="1490" customHeight="1" spans="1:13">
      <c r="A1490" s="21">
        <v>46054</v>
      </c>
      <c r="B1490" s="22" t="s">
        <v>5478</v>
      </c>
      <c r="C1490" s="23">
        <v>46063</v>
      </c>
      <c r="D1490" s="27">
        <v>30000</v>
      </c>
      <c r="E1490" s="22" t="s">
        <v>149</v>
      </c>
      <c r="F1490" s="22" t="s">
        <v>5</v>
      </c>
      <c r="G1490" s="22" t="s">
        <v>5063</v>
      </c>
      <c r="H1490" s="22" t="s">
        <v>11</v>
      </c>
      <c r="I1490" s="22" t="s">
        <v>5</v>
      </c>
      <c r="J1490" s="22" t="s">
        <v>40</v>
      </c>
      <c r="K1490" s="22" t="s">
        <v>5062</v>
      </c>
      <c r="L1490" s="22" t="s">
        <v>492</v>
      </c>
      <c r="M1490" s="25"/>
    </row>
    <row r="1491" customHeight="1" spans="1:13">
      <c r="A1491" s="21">
        <v>46054</v>
      </c>
      <c r="B1491" s="22" t="s">
        <v>5478</v>
      </c>
      <c r="C1491" s="23">
        <v>46063</v>
      </c>
      <c r="D1491" s="27">
        <v>45000</v>
      </c>
      <c r="E1491" s="22" t="s">
        <v>149</v>
      </c>
      <c r="F1491" s="22" t="s">
        <v>5</v>
      </c>
      <c r="G1491" s="22" t="s">
        <v>5065</v>
      </c>
      <c r="H1491" s="22" t="s">
        <v>11</v>
      </c>
      <c r="I1491" s="22" t="s">
        <v>5</v>
      </c>
      <c r="J1491" s="22" t="s">
        <v>40</v>
      </c>
      <c r="K1491" s="22" t="s">
        <v>5062</v>
      </c>
      <c r="L1491" s="22" t="s">
        <v>492</v>
      </c>
      <c r="M1491" s="25"/>
    </row>
    <row r="1492" customHeight="1" spans="1:13">
      <c r="A1492" s="21">
        <v>46054</v>
      </c>
      <c r="B1492" s="22" t="s">
        <v>5478</v>
      </c>
      <c r="C1492" s="23">
        <v>46063</v>
      </c>
      <c r="D1492" s="27">
        <v>49250</v>
      </c>
      <c r="E1492" s="22" t="s">
        <v>149</v>
      </c>
      <c r="F1492" s="22" t="s">
        <v>5</v>
      </c>
      <c r="G1492" s="22" t="s">
        <v>5067</v>
      </c>
      <c r="H1492" s="22" t="s">
        <v>11</v>
      </c>
      <c r="I1492" s="22" t="s">
        <v>5</v>
      </c>
      <c r="J1492" s="22" t="s">
        <v>40</v>
      </c>
      <c r="K1492" s="22" t="s">
        <v>5062</v>
      </c>
      <c r="L1492" s="22" t="s">
        <v>492</v>
      </c>
      <c r="M1492" s="25"/>
    </row>
    <row r="1493" customHeight="1" spans="1:13">
      <c r="A1493" s="21">
        <v>46054</v>
      </c>
      <c r="B1493" s="22" t="s">
        <v>5478</v>
      </c>
      <c r="C1493" s="23">
        <v>46063</v>
      </c>
      <c r="D1493" s="27">
        <v>43500</v>
      </c>
      <c r="E1493" s="22" t="s">
        <v>149</v>
      </c>
      <c r="F1493" s="22" t="s">
        <v>5</v>
      </c>
      <c r="G1493" s="22" t="s">
        <v>5069</v>
      </c>
      <c r="H1493" s="22" t="s">
        <v>11</v>
      </c>
      <c r="I1493" s="22" t="s">
        <v>5</v>
      </c>
      <c r="J1493" s="22" t="s">
        <v>40</v>
      </c>
      <c r="K1493" s="22" t="s">
        <v>5062</v>
      </c>
      <c r="L1493" s="22" t="s">
        <v>492</v>
      </c>
      <c r="M1493" s="25"/>
    </row>
    <row r="1494" customHeight="1" spans="1:13">
      <c r="A1494" s="21">
        <v>46054</v>
      </c>
      <c r="B1494" s="22" t="s">
        <v>5478</v>
      </c>
      <c r="C1494" s="23">
        <v>46063</v>
      </c>
      <c r="D1494" s="27">
        <v>48500</v>
      </c>
      <c r="E1494" s="22" t="s">
        <v>149</v>
      </c>
      <c r="F1494" s="22" t="s">
        <v>5</v>
      </c>
      <c r="G1494" s="22" t="s">
        <v>5071</v>
      </c>
      <c r="H1494" s="22" t="s">
        <v>11</v>
      </c>
      <c r="I1494" s="22" t="s">
        <v>5</v>
      </c>
      <c r="J1494" s="22" t="s">
        <v>40</v>
      </c>
      <c r="K1494" s="22" t="s">
        <v>5062</v>
      </c>
      <c r="L1494" s="22" t="s">
        <v>492</v>
      </c>
      <c r="M1494" s="25"/>
    </row>
    <row r="1495" customHeight="1" spans="1:13">
      <c r="A1495" s="21">
        <v>46054</v>
      </c>
      <c r="B1495" s="22" t="s">
        <v>5478</v>
      </c>
      <c r="C1495" s="23">
        <v>46063</v>
      </c>
      <c r="D1495" s="27">
        <v>49708</v>
      </c>
      <c r="E1495" s="22" t="s">
        <v>149</v>
      </c>
      <c r="F1495" s="22" t="s">
        <v>5</v>
      </c>
      <c r="G1495" s="22" t="s">
        <v>5073</v>
      </c>
      <c r="H1495" s="22" t="s">
        <v>11</v>
      </c>
      <c r="I1495" s="22" t="s">
        <v>5</v>
      </c>
      <c r="J1495" s="22" t="s">
        <v>40</v>
      </c>
      <c r="K1495" s="22" t="s">
        <v>5062</v>
      </c>
      <c r="L1495" s="22" t="s">
        <v>492</v>
      </c>
      <c r="M1495" s="25"/>
    </row>
    <row r="1496" customHeight="1" spans="1:13">
      <c r="A1496" s="21">
        <v>46054</v>
      </c>
      <c r="B1496" s="22" t="s">
        <v>5478</v>
      </c>
      <c r="C1496" s="23">
        <v>46063</v>
      </c>
      <c r="D1496" s="27">
        <v>50000</v>
      </c>
      <c r="E1496" s="22" t="s">
        <v>149</v>
      </c>
      <c r="F1496" s="22" t="s">
        <v>5</v>
      </c>
      <c r="G1496" s="22" t="s">
        <v>5075</v>
      </c>
      <c r="H1496" s="22" t="s">
        <v>11</v>
      </c>
      <c r="I1496" s="22" t="s">
        <v>5</v>
      </c>
      <c r="J1496" s="22" t="s">
        <v>40</v>
      </c>
      <c r="K1496" s="22" t="s">
        <v>5062</v>
      </c>
      <c r="L1496" s="22" t="s">
        <v>492</v>
      </c>
      <c r="M1496" s="25"/>
    </row>
    <row r="1497" customHeight="1" spans="1:13">
      <c r="A1497" s="21">
        <v>46054</v>
      </c>
      <c r="B1497" s="22" t="s">
        <v>5478</v>
      </c>
      <c r="C1497" s="23">
        <v>46063</v>
      </c>
      <c r="D1497" s="27">
        <v>31000</v>
      </c>
      <c r="E1497" s="22" t="s">
        <v>149</v>
      </c>
      <c r="F1497" s="22" t="s">
        <v>5</v>
      </c>
      <c r="G1497" s="22" t="s">
        <v>5078</v>
      </c>
      <c r="H1497" s="22" t="s">
        <v>11</v>
      </c>
      <c r="I1497" s="22" t="s">
        <v>5</v>
      </c>
      <c r="J1497" s="22" t="s">
        <v>40</v>
      </c>
      <c r="K1497" s="22" t="s">
        <v>5062</v>
      </c>
      <c r="L1497" s="22" t="s">
        <v>492</v>
      </c>
      <c r="M1497" s="25"/>
    </row>
    <row r="1498" customHeight="1" spans="1:13">
      <c r="A1498" s="21">
        <v>46054</v>
      </c>
      <c r="B1498" s="22" t="s">
        <v>5478</v>
      </c>
      <c r="C1498" s="23">
        <v>46063</v>
      </c>
      <c r="D1498" s="27">
        <v>50000</v>
      </c>
      <c r="E1498" s="22" t="s">
        <v>149</v>
      </c>
      <c r="F1498" s="22" t="s">
        <v>5</v>
      </c>
      <c r="G1498" s="22" t="s">
        <v>5080</v>
      </c>
      <c r="H1498" s="22" t="s">
        <v>11</v>
      </c>
      <c r="I1498" s="22" t="s">
        <v>5</v>
      </c>
      <c r="J1498" s="22" t="s">
        <v>40</v>
      </c>
      <c r="K1498" s="22" t="s">
        <v>5062</v>
      </c>
      <c r="L1498" s="22" t="s">
        <v>492</v>
      </c>
      <c r="M1498" s="25"/>
    </row>
    <row r="1499" customHeight="1" spans="1:13">
      <c r="A1499" s="21">
        <v>46054</v>
      </c>
      <c r="B1499" s="22" t="s">
        <v>5478</v>
      </c>
      <c r="C1499" s="23">
        <v>46063</v>
      </c>
      <c r="D1499" s="27">
        <v>15000</v>
      </c>
      <c r="E1499" s="22" t="s">
        <v>149</v>
      </c>
      <c r="F1499" s="22" t="s">
        <v>5</v>
      </c>
      <c r="G1499" s="22" t="s">
        <v>5083</v>
      </c>
      <c r="H1499" s="22" t="s">
        <v>11</v>
      </c>
      <c r="I1499" s="22" t="s">
        <v>5</v>
      </c>
      <c r="J1499" s="22" t="s">
        <v>40</v>
      </c>
      <c r="K1499" s="22" t="s">
        <v>5062</v>
      </c>
      <c r="L1499" s="22" t="s">
        <v>492</v>
      </c>
      <c r="M1499" s="25"/>
    </row>
    <row r="1500" customHeight="1" spans="1:13">
      <c r="A1500" s="21">
        <v>46054</v>
      </c>
      <c r="B1500" s="22" t="s">
        <v>5478</v>
      </c>
      <c r="C1500" s="23">
        <v>46063</v>
      </c>
      <c r="D1500" s="27">
        <v>15000</v>
      </c>
      <c r="E1500" s="22" t="s">
        <v>149</v>
      </c>
      <c r="F1500" s="22" t="s">
        <v>5</v>
      </c>
      <c r="G1500" s="22" t="s">
        <v>5086</v>
      </c>
      <c r="H1500" s="22" t="s">
        <v>11</v>
      </c>
      <c r="I1500" s="22" t="s">
        <v>5</v>
      </c>
      <c r="J1500" s="22" t="s">
        <v>40</v>
      </c>
      <c r="K1500" s="22" t="s">
        <v>5062</v>
      </c>
      <c r="L1500" s="22" t="s">
        <v>492</v>
      </c>
      <c r="M1500" s="25"/>
    </row>
    <row r="1501" customHeight="1" spans="1:13">
      <c r="A1501" s="21">
        <v>46054</v>
      </c>
      <c r="B1501" s="22" t="s">
        <v>5478</v>
      </c>
      <c r="C1501" s="23">
        <v>46063</v>
      </c>
      <c r="D1501" s="24">
        <v>19999</v>
      </c>
      <c r="E1501" s="22" t="s">
        <v>149</v>
      </c>
      <c r="F1501" s="22" t="s">
        <v>5</v>
      </c>
      <c r="G1501" s="22" t="s">
        <v>5088</v>
      </c>
      <c r="H1501" s="22" t="s">
        <v>10</v>
      </c>
      <c r="I1501" s="22" t="s">
        <v>5</v>
      </c>
      <c r="J1501" s="22" t="s">
        <v>40</v>
      </c>
      <c r="K1501" s="22" t="s">
        <v>5062</v>
      </c>
      <c r="L1501" s="22" t="s">
        <v>492</v>
      </c>
      <c r="M1501" s="25"/>
    </row>
    <row r="1502" customHeight="1" spans="1:13">
      <c r="A1502" s="21">
        <v>46054</v>
      </c>
      <c r="B1502" s="22" t="s">
        <v>5479</v>
      </c>
      <c r="C1502" s="23">
        <v>46072</v>
      </c>
      <c r="D1502" s="24">
        <v>481.65</v>
      </c>
      <c r="E1502" s="22" t="s">
        <v>139</v>
      </c>
      <c r="F1502" s="22" t="s">
        <v>5</v>
      </c>
      <c r="G1502" s="22" t="s">
        <v>5091</v>
      </c>
      <c r="H1502" s="22" t="s">
        <v>10</v>
      </c>
      <c r="I1502" s="22" t="s">
        <v>5</v>
      </c>
      <c r="J1502" s="22" t="s">
        <v>40</v>
      </c>
      <c r="K1502" s="22" t="s">
        <v>5093</v>
      </c>
      <c r="L1502" s="22" t="s">
        <v>1922</v>
      </c>
      <c r="M1502" s="25"/>
    </row>
    <row r="1503" customHeight="1" spans="1:13">
      <c r="A1503" s="21">
        <v>46054</v>
      </c>
      <c r="B1503" s="22" t="s">
        <v>5479</v>
      </c>
      <c r="C1503" s="23">
        <v>46069</v>
      </c>
      <c r="D1503" s="24">
        <v>12000</v>
      </c>
      <c r="E1503" s="22" t="s">
        <v>149</v>
      </c>
      <c r="F1503" s="22" t="s">
        <v>5</v>
      </c>
      <c r="G1503" s="22" t="s">
        <v>5094</v>
      </c>
      <c r="H1503" s="22" t="s">
        <v>10</v>
      </c>
      <c r="I1503" s="22" t="s">
        <v>5</v>
      </c>
      <c r="J1503" s="22" t="s">
        <v>40</v>
      </c>
      <c r="K1503" s="22" t="s">
        <v>5096</v>
      </c>
      <c r="L1503" s="22" t="s">
        <v>3122</v>
      </c>
      <c r="M1503" s="25"/>
    </row>
    <row r="1504" customHeight="1" spans="1:13">
      <c r="A1504" s="21">
        <v>46054</v>
      </c>
      <c r="B1504" s="22" t="s">
        <v>5479</v>
      </c>
      <c r="C1504" s="23">
        <v>46070</v>
      </c>
      <c r="D1504" s="24">
        <v>50</v>
      </c>
      <c r="E1504" s="22" t="s">
        <v>149</v>
      </c>
      <c r="F1504" s="22" t="s">
        <v>5</v>
      </c>
      <c r="G1504" s="22" t="s">
        <v>5097</v>
      </c>
      <c r="H1504" s="22" t="s">
        <v>10</v>
      </c>
      <c r="I1504" s="22" t="s">
        <v>5</v>
      </c>
      <c r="J1504" s="22" t="s">
        <v>40</v>
      </c>
      <c r="K1504" s="22" t="s">
        <v>1016</v>
      </c>
      <c r="L1504" s="22" t="s">
        <v>4409</v>
      </c>
      <c r="M1504" s="25"/>
    </row>
    <row r="1505" customHeight="1" spans="1:13">
      <c r="A1505" s="21">
        <v>46054</v>
      </c>
      <c r="B1505" s="22" t="s">
        <v>5479</v>
      </c>
      <c r="C1505" s="23">
        <v>46070</v>
      </c>
      <c r="D1505" s="24">
        <v>50</v>
      </c>
      <c r="E1505" s="22" t="s">
        <v>149</v>
      </c>
      <c r="F1505" s="22" t="s">
        <v>5</v>
      </c>
      <c r="G1505" s="22" t="s">
        <v>5101</v>
      </c>
      <c r="H1505" s="22" t="s">
        <v>10</v>
      </c>
      <c r="I1505" s="22" t="s">
        <v>5</v>
      </c>
      <c r="J1505" s="22" t="s">
        <v>40</v>
      </c>
      <c r="K1505" s="22" t="s">
        <v>1016</v>
      </c>
      <c r="L1505" s="22" t="s">
        <v>4409</v>
      </c>
      <c r="M1505" s="25"/>
    </row>
    <row r="1506" customHeight="1" spans="1:13">
      <c r="A1506" s="21">
        <v>46054</v>
      </c>
      <c r="B1506" s="22" t="s">
        <v>5479</v>
      </c>
      <c r="C1506" s="23">
        <v>46070</v>
      </c>
      <c r="D1506" s="24">
        <v>48</v>
      </c>
      <c r="E1506" s="22" t="s">
        <v>149</v>
      </c>
      <c r="F1506" s="22" t="s">
        <v>5</v>
      </c>
      <c r="G1506" s="22" t="s">
        <v>5103</v>
      </c>
      <c r="H1506" s="22" t="s">
        <v>10</v>
      </c>
      <c r="I1506" s="22" t="s">
        <v>5</v>
      </c>
      <c r="J1506" s="22" t="s">
        <v>40</v>
      </c>
      <c r="K1506" s="22" t="s">
        <v>1016</v>
      </c>
      <c r="L1506" s="22" t="s">
        <v>4409</v>
      </c>
      <c r="M1506" s="25"/>
    </row>
    <row r="1507" customHeight="1" spans="1:13">
      <c r="A1507" s="21">
        <v>46054</v>
      </c>
      <c r="B1507" s="22" t="s">
        <v>5479</v>
      </c>
      <c r="C1507" s="23">
        <v>46070</v>
      </c>
      <c r="D1507" s="24">
        <v>50</v>
      </c>
      <c r="E1507" s="22" t="s">
        <v>149</v>
      </c>
      <c r="F1507" s="22" t="s">
        <v>5</v>
      </c>
      <c r="G1507" s="22" t="s">
        <v>5105</v>
      </c>
      <c r="H1507" s="22" t="s">
        <v>10</v>
      </c>
      <c r="I1507" s="22" t="s">
        <v>5</v>
      </c>
      <c r="J1507" s="22" t="s">
        <v>40</v>
      </c>
      <c r="K1507" s="22" t="s">
        <v>1016</v>
      </c>
      <c r="L1507" s="22" t="s">
        <v>4409</v>
      </c>
      <c r="M1507" s="25"/>
    </row>
    <row r="1508" customHeight="1" spans="1:13">
      <c r="A1508" s="21">
        <v>46054</v>
      </c>
      <c r="B1508" s="22" t="s">
        <v>5479</v>
      </c>
      <c r="C1508" s="23">
        <v>46077</v>
      </c>
      <c r="D1508" s="24">
        <v>1471.25</v>
      </c>
      <c r="E1508" s="22" t="s">
        <v>149</v>
      </c>
      <c r="F1508" s="22" t="s">
        <v>5</v>
      </c>
      <c r="G1508" s="22" t="s">
        <v>5677</v>
      </c>
      <c r="H1508" s="22" t="s">
        <v>11</v>
      </c>
      <c r="I1508" s="22" t="s">
        <v>5</v>
      </c>
      <c r="J1508" s="22" t="s">
        <v>40</v>
      </c>
      <c r="K1508" s="22" t="s">
        <v>5111</v>
      </c>
      <c r="L1508" s="22" t="s">
        <v>5109</v>
      </c>
      <c r="M1508" s="25"/>
    </row>
    <row r="1509" customHeight="1" spans="1:13">
      <c r="A1509" s="21">
        <v>46054</v>
      </c>
      <c r="B1509" s="22" t="s">
        <v>5479</v>
      </c>
      <c r="C1509" s="23">
        <v>46073</v>
      </c>
      <c r="D1509" s="24">
        <v>100</v>
      </c>
      <c r="E1509" s="22" t="s">
        <v>139</v>
      </c>
      <c r="F1509" s="22" t="s">
        <v>5</v>
      </c>
      <c r="G1509" s="22" t="s">
        <v>5678</v>
      </c>
      <c r="H1509" s="22" t="s">
        <v>10</v>
      </c>
      <c r="I1509" s="22" t="s">
        <v>5</v>
      </c>
      <c r="J1509" s="22" t="s">
        <v>40</v>
      </c>
      <c r="K1509" s="22" t="s">
        <v>1714</v>
      </c>
      <c r="L1509" s="22" t="s">
        <v>1528</v>
      </c>
      <c r="M1509" s="25"/>
    </row>
    <row r="1510" customHeight="1" spans="1:13">
      <c r="A1510" s="21">
        <v>46054</v>
      </c>
      <c r="B1510" s="22" t="s">
        <v>5479</v>
      </c>
      <c r="C1510" s="23">
        <v>46080</v>
      </c>
      <c r="D1510" s="24">
        <v>49970</v>
      </c>
      <c r="E1510" s="22" t="s">
        <v>149</v>
      </c>
      <c r="F1510" s="22" t="s">
        <v>5</v>
      </c>
      <c r="G1510" s="22" t="s">
        <v>5115</v>
      </c>
      <c r="H1510" s="22" t="s">
        <v>10</v>
      </c>
      <c r="I1510" s="22" t="s">
        <v>5</v>
      </c>
      <c r="J1510" s="22" t="s">
        <v>40</v>
      </c>
      <c r="K1510" s="22" t="s">
        <v>5117</v>
      </c>
      <c r="L1510" s="22" t="s">
        <v>3122</v>
      </c>
      <c r="M1510" s="25"/>
    </row>
    <row r="1511" customHeight="1" spans="1:13">
      <c r="A1511" s="21">
        <v>46054</v>
      </c>
      <c r="B1511" s="22" t="s">
        <v>5479</v>
      </c>
      <c r="C1511" s="23">
        <v>46081</v>
      </c>
      <c r="D1511" s="24">
        <v>133</v>
      </c>
      <c r="E1511" s="22" t="s">
        <v>139</v>
      </c>
      <c r="F1511" s="22" t="s">
        <v>5</v>
      </c>
      <c r="G1511" s="22" t="s">
        <v>5118</v>
      </c>
      <c r="H1511" s="22" t="s">
        <v>10</v>
      </c>
      <c r="I1511" s="22" t="s">
        <v>5</v>
      </c>
      <c r="J1511" s="22" t="s">
        <v>40</v>
      </c>
      <c r="K1511" s="22" t="s">
        <v>5122</v>
      </c>
      <c r="L1511" s="22" t="s">
        <v>5120</v>
      </c>
      <c r="M1511" s="25"/>
    </row>
    <row r="1512" customHeight="1" spans="1:13">
      <c r="A1512" s="21">
        <v>46082</v>
      </c>
      <c r="B1512" s="22" t="s">
        <v>5480</v>
      </c>
      <c r="C1512" s="23">
        <v>46092</v>
      </c>
      <c r="D1512" s="24">
        <v>85</v>
      </c>
      <c r="E1512" s="22" t="s">
        <v>139</v>
      </c>
      <c r="F1512" s="22" t="s">
        <v>5</v>
      </c>
      <c r="G1512" s="22" t="s">
        <v>5679</v>
      </c>
      <c r="H1512" s="22" t="s">
        <v>10</v>
      </c>
      <c r="I1512" s="22" t="s">
        <v>5</v>
      </c>
      <c r="J1512" s="22" t="s">
        <v>40</v>
      </c>
      <c r="K1512" s="22" t="s">
        <v>5127</v>
      </c>
      <c r="L1512" s="22" t="s">
        <v>5125</v>
      </c>
      <c r="M1512" s="25"/>
    </row>
    <row r="1513" customHeight="1" spans="1:13">
      <c r="A1513" s="21">
        <v>46082</v>
      </c>
      <c r="B1513" s="22" t="s">
        <v>5481</v>
      </c>
      <c r="C1513" s="23">
        <v>46098</v>
      </c>
      <c r="D1513" s="24">
        <v>8755</v>
      </c>
      <c r="E1513" s="22" t="s">
        <v>173</v>
      </c>
      <c r="F1513" s="22" t="s">
        <v>5</v>
      </c>
      <c r="G1513" s="22" t="s">
        <v>5128</v>
      </c>
      <c r="H1513" s="22" t="s">
        <v>11</v>
      </c>
      <c r="I1513" s="22" t="s">
        <v>5</v>
      </c>
      <c r="J1513" s="22" t="s">
        <v>39</v>
      </c>
      <c r="K1513" s="22" t="s">
        <v>5130</v>
      </c>
      <c r="L1513" s="22" t="s">
        <v>3140</v>
      </c>
      <c r="M1513" s="25"/>
    </row>
    <row r="1514" customHeight="1" spans="1:13">
      <c r="A1514" s="21">
        <v>46082</v>
      </c>
      <c r="B1514" s="22" t="s">
        <v>5481</v>
      </c>
      <c r="C1514" s="23">
        <v>46098</v>
      </c>
      <c r="D1514" s="24">
        <v>2000</v>
      </c>
      <c r="E1514" s="22" t="s">
        <v>149</v>
      </c>
      <c r="F1514" s="22" t="s">
        <v>5</v>
      </c>
      <c r="G1514" s="22" t="s">
        <v>5132</v>
      </c>
      <c r="H1514" s="22" t="s">
        <v>10</v>
      </c>
      <c r="I1514" s="22" t="s">
        <v>5</v>
      </c>
      <c r="J1514" s="22" t="s">
        <v>40</v>
      </c>
      <c r="K1514" s="22" t="s">
        <v>5130</v>
      </c>
      <c r="L1514" s="22" t="s">
        <v>3140</v>
      </c>
      <c r="M1514" s="25"/>
    </row>
    <row r="1515" customHeight="1" spans="1:13">
      <c r="A1515" s="21">
        <v>46082</v>
      </c>
      <c r="B1515" s="22" t="s">
        <v>5481</v>
      </c>
      <c r="C1515" s="23">
        <v>46112</v>
      </c>
      <c r="D1515" s="28">
        <v>19990</v>
      </c>
      <c r="E1515" s="22" t="s">
        <v>173</v>
      </c>
      <c r="F1515" s="22" t="s">
        <v>5</v>
      </c>
      <c r="G1515" s="22" t="s">
        <v>5135</v>
      </c>
      <c r="H1515" s="22" t="s">
        <v>12</v>
      </c>
      <c r="I1515" s="22" t="s">
        <v>5</v>
      </c>
      <c r="J1515" s="22" t="s">
        <v>39</v>
      </c>
      <c r="K1515" s="22" t="s">
        <v>5137</v>
      </c>
      <c r="L1515" s="22" t="s">
        <v>3274</v>
      </c>
      <c r="M1515" s="25"/>
    </row>
    <row r="1516" customHeight="1" spans="1:13">
      <c r="A1516" s="21">
        <v>46082</v>
      </c>
      <c r="B1516" s="22" t="s">
        <v>5481</v>
      </c>
      <c r="C1516" s="23">
        <v>46112</v>
      </c>
      <c r="D1516" s="28">
        <v>174990</v>
      </c>
      <c r="E1516" s="22" t="s">
        <v>173</v>
      </c>
      <c r="F1516" s="22" t="s">
        <v>5</v>
      </c>
      <c r="G1516" s="22" t="s">
        <v>5135</v>
      </c>
      <c r="H1516" s="22" t="s">
        <v>12</v>
      </c>
      <c r="I1516" s="22" t="s">
        <v>5</v>
      </c>
      <c r="J1516" s="22" t="s">
        <v>39</v>
      </c>
      <c r="K1516" s="22" t="s">
        <v>5137</v>
      </c>
      <c r="L1516" s="22" t="s">
        <v>3274</v>
      </c>
      <c r="M1516" s="25"/>
    </row>
    <row r="1517" customHeight="1" spans="1:13">
      <c r="A1517" s="21">
        <v>46082</v>
      </c>
      <c r="B1517" s="22" t="s">
        <v>5481</v>
      </c>
      <c r="C1517" s="23">
        <v>46112</v>
      </c>
      <c r="D1517" s="28">
        <v>199990</v>
      </c>
      <c r="E1517" s="22" t="s">
        <v>173</v>
      </c>
      <c r="F1517" s="22" t="s">
        <v>5</v>
      </c>
      <c r="G1517" s="22" t="s">
        <v>5135</v>
      </c>
      <c r="H1517" s="22" t="s">
        <v>12</v>
      </c>
      <c r="I1517" s="22" t="s">
        <v>5</v>
      </c>
      <c r="J1517" s="22" t="s">
        <v>39</v>
      </c>
      <c r="K1517" s="22" t="s">
        <v>5137</v>
      </c>
      <c r="L1517" s="22" t="s">
        <v>3274</v>
      </c>
      <c r="M1517" s="25"/>
    </row>
    <row r="1518" customHeight="1" spans="1:13">
      <c r="A1518" s="21">
        <v>46082</v>
      </c>
      <c r="B1518" s="22" t="s">
        <v>5481</v>
      </c>
      <c r="C1518" s="23">
        <v>46112</v>
      </c>
      <c r="D1518" s="28">
        <v>199890</v>
      </c>
      <c r="E1518" s="22" t="s">
        <v>173</v>
      </c>
      <c r="F1518" s="22" t="s">
        <v>5</v>
      </c>
      <c r="G1518" s="22" t="s">
        <v>5135</v>
      </c>
      <c r="H1518" s="22" t="s">
        <v>12</v>
      </c>
      <c r="I1518" s="22" t="s">
        <v>5</v>
      </c>
      <c r="J1518" s="22" t="s">
        <v>39</v>
      </c>
      <c r="K1518" s="22" t="s">
        <v>5137</v>
      </c>
      <c r="L1518" s="22" t="s">
        <v>3274</v>
      </c>
      <c r="M1518" s="25"/>
    </row>
    <row r="1519" customHeight="1" spans="1:13">
      <c r="A1519" s="21">
        <v>46082</v>
      </c>
      <c r="B1519" s="22" t="s">
        <v>5481</v>
      </c>
      <c r="C1519" s="23">
        <v>46112</v>
      </c>
      <c r="D1519" s="28">
        <v>287990</v>
      </c>
      <c r="E1519" s="22" t="s">
        <v>173</v>
      </c>
      <c r="F1519" s="22" t="s">
        <v>5</v>
      </c>
      <c r="G1519" s="22" t="s">
        <v>5135</v>
      </c>
      <c r="H1519" s="22" t="s">
        <v>12</v>
      </c>
      <c r="I1519" s="22" t="s">
        <v>5</v>
      </c>
      <c r="J1519" s="22" t="s">
        <v>39</v>
      </c>
      <c r="K1519" s="22" t="s">
        <v>5137</v>
      </c>
      <c r="L1519" s="22" t="s">
        <v>3274</v>
      </c>
      <c r="M1519" s="25"/>
    </row>
    <row r="1520" customHeight="1" spans="1:13">
      <c r="A1520" s="21">
        <v>46082</v>
      </c>
      <c r="B1520" s="22" t="s">
        <v>5481</v>
      </c>
      <c r="C1520" s="23">
        <v>46112</v>
      </c>
      <c r="D1520" s="28">
        <v>277990</v>
      </c>
      <c r="E1520" s="22" t="s">
        <v>173</v>
      </c>
      <c r="F1520" s="22" t="s">
        <v>5</v>
      </c>
      <c r="G1520" s="22" t="s">
        <v>5135</v>
      </c>
      <c r="H1520" s="22" t="s">
        <v>12</v>
      </c>
      <c r="I1520" s="22" t="s">
        <v>5</v>
      </c>
      <c r="J1520" s="22" t="s">
        <v>39</v>
      </c>
      <c r="K1520" s="22" t="s">
        <v>5137</v>
      </c>
      <c r="L1520" s="22" t="s">
        <v>3274</v>
      </c>
      <c r="M1520" s="25"/>
    </row>
    <row r="1521" customHeight="1" spans="1:13">
      <c r="A1521" s="21">
        <v>46082</v>
      </c>
      <c r="B1521" s="22" t="s">
        <v>5481</v>
      </c>
      <c r="C1521" s="23">
        <v>46112</v>
      </c>
      <c r="D1521" s="28">
        <v>186990</v>
      </c>
      <c r="E1521" s="22" t="s">
        <v>173</v>
      </c>
      <c r="F1521" s="22" t="s">
        <v>5</v>
      </c>
      <c r="G1521" s="22" t="s">
        <v>5135</v>
      </c>
      <c r="H1521" s="22" t="s">
        <v>12</v>
      </c>
      <c r="I1521" s="22" t="s">
        <v>5</v>
      </c>
      <c r="J1521" s="22" t="s">
        <v>39</v>
      </c>
      <c r="K1521" s="22" t="s">
        <v>5137</v>
      </c>
      <c r="L1521" s="22" t="s">
        <v>3274</v>
      </c>
      <c r="M1521" s="25"/>
    </row>
    <row r="1522" customHeight="1" spans="1:13">
      <c r="A1522" s="21">
        <v>46082</v>
      </c>
      <c r="B1522" s="22" t="s">
        <v>5481</v>
      </c>
      <c r="C1522" s="23">
        <v>46112</v>
      </c>
      <c r="D1522" s="28">
        <v>191990</v>
      </c>
      <c r="E1522" s="22" t="s">
        <v>173</v>
      </c>
      <c r="F1522" s="22" t="s">
        <v>5</v>
      </c>
      <c r="G1522" s="22" t="s">
        <v>5135</v>
      </c>
      <c r="H1522" s="22" t="s">
        <v>12</v>
      </c>
      <c r="I1522" s="22" t="s">
        <v>5</v>
      </c>
      <c r="J1522" s="22" t="s">
        <v>39</v>
      </c>
      <c r="K1522" s="22" t="s">
        <v>5137</v>
      </c>
      <c r="L1522" s="22" t="s">
        <v>3274</v>
      </c>
      <c r="M1522" s="25"/>
    </row>
    <row r="1523" customHeight="1" spans="1:13">
      <c r="A1523" s="21">
        <v>46082</v>
      </c>
      <c r="B1523" s="22" t="s">
        <v>5481</v>
      </c>
      <c r="C1523" s="23">
        <v>46112</v>
      </c>
      <c r="D1523" s="28">
        <v>192990</v>
      </c>
      <c r="E1523" s="22" t="s">
        <v>173</v>
      </c>
      <c r="F1523" s="22" t="s">
        <v>5</v>
      </c>
      <c r="G1523" s="22" t="s">
        <v>5135</v>
      </c>
      <c r="H1523" s="22" t="s">
        <v>12</v>
      </c>
      <c r="I1523" s="22" t="s">
        <v>5</v>
      </c>
      <c r="J1523" s="22" t="s">
        <v>39</v>
      </c>
      <c r="K1523" s="22" t="s">
        <v>5137</v>
      </c>
      <c r="L1523" s="22" t="s">
        <v>3274</v>
      </c>
      <c r="M1523" s="25"/>
    </row>
    <row r="1524" customHeight="1" spans="1:13">
      <c r="A1524" s="21">
        <v>46082</v>
      </c>
      <c r="B1524" s="22" t="s">
        <v>5481</v>
      </c>
      <c r="C1524" s="23">
        <v>46112</v>
      </c>
      <c r="D1524" s="28">
        <v>179990</v>
      </c>
      <c r="E1524" s="22" t="s">
        <v>173</v>
      </c>
      <c r="F1524" s="22" t="s">
        <v>5</v>
      </c>
      <c r="G1524" s="22" t="s">
        <v>5135</v>
      </c>
      <c r="H1524" s="22" t="s">
        <v>12</v>
      </c>
      <c r="I1524" s="22" t="s">
        <v>5</v>
      </c>
      <c r="J1524" s="22" t="s">
        <v>39</v>
      </c>
      <c r="K1524" s="22" t="s">
        <v>5137</v>
      </c>
      <c r="L1524" s="22" t="s">
        <v>3274</v>
      </c>
      <c r="M1524" s="25"/>
    </row>
    <row r="1525" customHeight="1" spans="1:13">
      <c r="A1525" s="21">
        <v>46082</v>
      </c>
      <c r="B1525" s="22" t="s">
        <v>5481</v>
      </c>
      <c r="C1525" s="23">
        <v>46112</v>
      </c>
      <c r="D1525" s="28">
        <v>194990</v>
      </c>
      <c r="E1525" s="22" t="s">
        <v>173</v>
      </c>
      <c r="F1525" s="22" t="s">
        <v>5</v>
      </c>
      <c r="G1525" s="22" t="s">
        <v>5135</v>
      </c>
      <c r="H1525" s="22" t="s">
        <v>12</v>
      </c>
      <c r="I1525" s="22" t="s">
        <v>5</v>
      </c>
      <c r="J1525" s="22" t="s">
        <v>39</v>
      </c>
      <c r="K1525" s="22" t="s">
        <v>5137</v>
      </c>
      <c r="L1525" s="22" t="s">
        <v>3274</v>
      </c>
      <c r="M1525" s="25"/>
    </row>
    <row r="1526" customHeight="1" spans="1:13">
      <c r="A1526" s="21">
        <v>46082</v>
      </c>
      <c r="B1526" s="22" t="s">
        <v>5481</v>
      </c>
      <c r="C1526" s="23">
        <v>46112</v>
      </c>
      <c r="D1526" s="28">
        <v>189990</v>
      </c>
      <c r="E1526" s="22" t="s">
        <v>173</v>
      </c>
      <c r="F1526" s="22" t="s">
        <v>5</v>
      </c>
      <c r="G1526" s="22" t="s">
        <v>5135</v>
      </c>
      <c r="H1526" s="22" t="s">
        <v>12</v>
      </c>
      <c r="I1526" s="22" t="s">
        <v>5</v>
      </c>
      <c r="J1526" s="22" t="s">
        <v>39</v>
      </c>
      <c r="K1526" s="22" t="s">
        <v>5137</v>
      </c>
      <c r="L1526" s="22" t="s">
        <v>3274</v>
      </c>
      <c r="M1526" s="25"/>
    </row>
    <row r="1527" customHeight="1" spans="1:13">
      <c r="A1527" s="21">
        <v>46082</v>
      </c>
      <c r="B1527" s="22" t="s">
        <v>5481</v>
      </c>
      <c r="C1527" s="23">
        <v>46112</v>
      </c>
      <c r="D1527" s="28">
        <v>189990</v>
      </c>
      <c r="E1527" s="22" t="s">
        <v>173</v>
      </c>
      <c r="F1527" s="22" t="s">
        <v>5</v>
      </c>
      <c r="G1527" s="22" t="s">
        <v>5135</v>
      </c>
      <c r="H1527" s="22" t="s">
        <v>12</v>
      </c>
      <c r="I1527" s="22" t="s">
        <v>5</v>
      </c>
      <c r="J1527" s="22" t="s">
        <v>39</v>
      </c>
      <c r="K1527" s="22" t="s">
        <v>5137</v>
      </c>
      <c r="L1527" s="22" t="s">
        <v>3274</v>
      </c>
      <c r="M1527" s="25"/>
    </row>
    <row r="1528" customHeight="1" spans="1:13">
      <c r="A1528" s="21">
        <v>46082</v>
      </c>
      <c r="B1528" s="22" t="s">
        <v>5481</v>
      </c>
      <c r="C1528" s="23">
        <v>46112</v>
      </c>
      <c r="D1528" s="28">
        <v>195990</v>
      </c>
      <c r="E1528" s="22" t="s">
        <v>173</v>
      </c>
      <c r="F1528" s="22" t="s">
        <v>5</v>
      </c>
      <c r="G1528" s="22" t="s">
        <v>5135</v>
      </c>
      <c r="H1528" s="22" t="s">
        <v>12</v>
      </c>
      <c r="I1528" s="22" t="s">
        <v>5</v>
      </c>
      <c r="J1528" s="22" t="s">
        <v>39</v>
      </c>
      <c r="K1528" s="22" t="s">
        <v>5137</v>
      </c>
      <c r="L1528" s="22" t="s">
        <v>3274</v>
      </c>
      <c r="M1528" s="25"/>
    </row>
    <row r="1529" customHeight="1" spans="1:13">
      <c r="A1529" s="21">
        <v>46082</v>
      </c>
      <c r="B1529" s="22" t="s">
        <v>5481</v>
      </c>
      <c r="C1529" s="23">
        <v>46112</v>
      </c>
      <c r="D1529" s="28">
        <v>104990</v>
      </c>
      <c r="E1529" s="22" t="s">
        <v>173</v>
      </c>
      <c r="F1529" s="22" t="s">
        <v>5</v>
      </c>
      <c r="G1529" s="22" t="s">
        <v>5135</v>
      </c>
      <c r="H1529" s="22" t="s">
        <v>12</v>
      </c>
      <c r="I1529" s="22" t="s">
        <v>5</v>
      </c>
      <c r="J1529" s="22" t="s">
        <v>39</v>
      </c>
      <c r="K1529" s="22" t="s">
        <v>5137</v>
      </c>
      <c r="L1529" s="22" t="s">
        <v>3274</v>
      </c>
      <c r="M1529" s="25"/>
    </row>
    <row r="1530" customHeight="1" spans="1:13">
      <c r="A1530" s="21">
        <v>46082</v>
      </c>
      <c r="B1530" s="22" t="s">
        <v>5481</v>
      </c>
      <c r="C1530" s="23">
        <v>46112</v>
      </c>
      <c r="D1530" s="28">
        <v>197990</v>
      </c>
      <c r="E1530" s="22" t="s">
        <v>173</v>
      </c>
      <c r="F1530" s="22" t="s">
        <v>5</v>
      </c>
      <c r="G1530" s="22" t="s">
        <v>5135</v>
      </c>
      <c r="H1530" s="22" t="s">
        <v>12</v>
      </c>
      <c r="I1530" s="22" t="s">
        <v>5</v>
      </c>
      <c r="J1530" s="22" t="s">
        <v>39</v>
      </c>
      <c r="K1530" s="22" t="s">
        <v>5137</v>
      </c>
      <c r="L1530" s="22" t="s">
        <v>3274</v>
      </c>
      <c r="M1530" s="25"/>
    </row>
    <row r="1531" customHeight="1" spans="1:13">
      <c r="A1531" s="21">
        <v>46082</v>
      </c>
      <c r="B1531" s="22" t="s">
        <v>5481</v>
      </c>
      <c r="C1531" s="23">
        <v>46112</v>
      </c>
      <c r="D1531" s="28">
        <v>196990</v>
      </c>
      <c r="E1531" s="22" t="s">
        <v>173</v>
      </c>
      <c r="F1531" s="22" t="s">
        <v>5</v>
      </c>
      <c r="G1531" s="22" t="s">
        <v>5135</v>
      </c>
      <c r="H1531" s="22" t="s">
        <v>12</v>
      </c>
      <c r="I1531" s="22" t="s">
        <v>5</v>
      </c>
      <c r="J1531" s="22" t="s">
        <v>39</v>
      </c>
      <c r="K1531" s="22" t="s">
        <v>5137</v>
      </c>
      <c r="L1531" s="22" t="s">
        <v>3274</v>
      </c>
      <c r="M1531" s="25"/>
    </row>
    <row r="1532" customHeight="1" spans="1:13">
      <c r="A1532" s="21">
        <v>46082</v>
      </c>
      <c r="B1532" s="22" t="s">
        <v>5481</v>
      </c>
      <c r="C1532" s="23">
        <v>46112</v>
      </c>
      <c r="D1532" s="24">
        <v>196990</v>
      </c>
      <c r="E1532" s="22" t="s">
        <v>173</v>
      </c>
      <c r="F1532" s="22" t="s">
        <v>5</v>
      </c>
      <c r="G1532" s="22" t="s">
        <v>5135</v>
      </c>
      <c r="H1532" s="22" t="s">
        <v>12</v>
      </c>
      <c r="I1532" s="22" t="s">
        <v>5</v>
      </c>
      <c r="J1532" s="22" t="s">
        <v>39</v>
      </c>
      <c r="K1532" s="22" t="s">
        <v>5137</v>
      </c>
      <c r="L1532" s="22" t="s">
        <v>3274</v>
      </c>
      <c r="M1532" s="25"/>
    </row>
    <row r="1533" customHeight="1" spans="1:13">
      <c r="A1533" s="21">
        <v>46113</v>
      </c>
      <c r="B1533" s="22" t="s">
        <v>5482</v>
      </c>
      <c r="C1533" s="23">
        <v>46118</v>
      </c>
      <c r="D1533" s="24">
        <v>4550.06</v>
      </c>
      <c r="E1533" s="22" t="s">
        <v>303</v>
      </c>
      <c r="F1533" s="22" t="s">
        <v>5</v>
      </c>
      <c r="G1533" s="22" t="s">
        <v>5155</v>
      </c>
      <c r="H1533" s="22" t="s">
        <v>11</v>
      </c>
      <c r="I1533" s="22" t="s">
        <v>5</v>
      </c>
      <c r="J1533" s="22" t="s">
        <v>40</v>
      </c>
      <c r="K1533" s="22" t="s">
        <v>5159</v>
      </c>
      <c r="L1533" s="22" t="s">
        <v>5157</v>
      </c>
      <c r="M1533" s="25"/>
    </row>
    <row r="1534" customHeight="1" spans="1:13">
      <c r="A1534" s="21">
        <v>46113</v>
      </c>
      <c r="B1534" s="22" t="s">
        <v>5482</v>
      </c>
      <c r="C1534" s="23">
        <v>46126</v>
      </c>
      <c r="D1534" s="27">
        <v>36958.7</v>
      </c>
      <c r="E1534" s="22" t="s">
        <v>173</v>
      </c>
      <c r="F1534" s="22" t="s">
        <v>5</v>
      </c>
      <c r="G1534" s="22" t="s">
        <v>5160</v>
      </c>
      <c r="H1534" s="22" t="s">
        <v>12</v>
      </c>
      <c r="I1534" s="22" t="s">
        <v>5</v>
      </c>
      <c r="J1534" s="22" t="s">
        <v>39</v>
      </c>
      <c r="K1534" s="22" t="s">
        <v>5164</v>
      </c>
      <c r="L1534" s="22" t="s">
        <v>5162</v>
      </c>
      <c r="M1534" s="25"/>
    </row>
    <row r="1535" customHeight="1" spans="1:13">
      <c r="A1535" s="21">
        <v>46113</v>
      </c>
      <c r="B1535" s="22" t="s">
        <v>5483</v>
      </c>
      <c r="C1535" s="23">
        <v>46134</v>
      </c>
      <c r="D1535" s="24">
        <v>147.76</v>
      </c>
      <c r="E1535" s="22" t="s">
        <v>149</v>
      </c>
      <c r="F1535" s="22" t="s">
        <v>5</v>
      </c>
      <c r="G1535" s="22" t="s">
        <v>5166</v>
      </c>
      <c r="H1535" s="22" t="s">
        <v>10</v>
      </c>
      <c r="I1535" s="22" t="s">
        <v>5</v>
      </c>
      <c r="J1535" s="22" t="s">
        <v>40</v>
      </c>
      <c r="K1535" s="22" t="s">
        <v>1023</v>
      </c>
      <c r="L1535" s="22" t="s">
        <v>4260</v>
      </c>
      <c r="M1535" s="25"/>
    </row>
    <row r="1536" customHeight="1" spans="1:13">
      <c r="A1536" s="21">
        <v>46113</v>
      </c>
      <c r="B1536" s="22" t="s">
        <v>5483</v>
      </c>
      <c r="C1536" s="23">
        <v>46134</v>
      </c>
      <c r="D1536" s="24">
        <v>55.71</v>
      </c>
      <c r="E1536" s="22" t="s">
        <v>149</v>
      </c>
      <c r="F1536" s="22" t="s">
        <v>5</v>
      </c>
      <c r="G1536" s="22" t="s">
        <v>5170</v>
      </c>
      <c r="H1536" s="22" t="s">
        <v>10</v>
      </c>
      <c r="I1536" s="22" t="s">
        <v>5</v>
      </c>
      <c r="J1536" s="22" t="s">
        <v>40</v>
      </c>
      <c r="K1536" s="22" t="s">
        <v>1023</v>
      </c>
      <c r="L1536" s="22" t="s">
        <v>4260</v>
      </c>
      <c r="M1536" s="25"/>
    </row>
    <row r="1537" customHeight="1" spans="1:13">
      <c r="A1537" s="21">
        <v>46113</v>
      </c>
      <c r="B1537" s="22" t="s">
        <v>5483</v>
      </c>
      <c r="C1537" s="23">
        <v>46140</v>
      </c>
      <c r="D1537" s="27">
        <v>9980</v>
      </c>
      <c r="E1537" s="22" t="s">
        <v>173</v>
      </c>
      <c r="F1537" s="22" t="s">
        <v>5</v>
      </c>
      <c r="G1537" s="22" t="s">
        <v>5172</v>
      </c>
      <c r="H1537" s="22" t="s">
        <v>11</v>
      </c>
      <c r="I1537" s="22" t="s">
        <v>5</v>
      </c>
      <c r="J1537" s="22" t="s">
        <v>53</v>
      </c>
      <c r="K1537" s="22" t="s">
        <v>5176</v>
      </c>
      <c r="L1537" s="22" t="s">
        <v>5174</v>
      </c>
      <c r="M1537" s="25"/>
    </row>
    <row r="1538" customHeight="1" spans="1:13">
      <c r="A1538" s="21">
        <v>46113</v>
      </c>
      <c r="B1538" s="22" t="s">
        <v>5483</v>
      </c>
      <c r="C1538" s="23">
        <v>46141</v>
      </c>
      <c r="D1538" s="24">
        <v>72.63</v>
      </c>
      <c r="E1538" s="22" t="s">
        <v>149</v>
      </c>
      <c r="F1538" s="22" t="s">
        <v>5</v>
      </c>
      <c r="G1538" s="22" t="s">
        <v>5178</v>
      </c>
      <c r="H1538" s="22" t="s">
        <v>10</v>
      </c>
      <c r="I1538" s="22" t="s">
        <v>5</v>
      </c>
      <c r="J1538" s="22" t="s">
        <v>40</v>
      </c>
      <c r="K1538" s="22" t="s">
        <v>1023</v>
      </c>
      <c r="L1538" s="22" t="s">
        <v>4260</v>
      </c>
      <c r="M1538" s="25"/>
    </row>
    <row r="1539" customHeight="1" spans="1:13">
      <c r="A1539" s="21">
        <v>46113</v>
      </c>
      <c r="B1539" s="22" t="s">
        <v>5483</v>
      </c>
      <c r="C1539" s="23">
        <v>46141</v>
      </c>
      <c r="D1539" s="24">
        <v>68.69</v>
      </c>
      <c r="E1539" s="22" t="s">
        <v>149</v>
      </c>
      <c r="F1539" s="22" t="s">
        <v>5</v>
      </c>
      <c r="G1539" s="22" t="s">
        <v>5180</v>
      </c>
      <c r="H1539" s="22" t="s">
        <v>10</v>
      </c>
      <c r="I1539" s="22" t="s">
        <v>5</v>
      </c>
      <c r="J1539" s="22" t="s">
        <v>40</v>
      </c>
      <c r="K1539" s="22" t="s">
        <v>1023</v>
      </c>
      <c r="L1539" s="22" t="s">
        <v>4260</v>
      </c>
      <c r="M1539" s="25"/>
    </row>
    <row r="1540" customHeight="1" spans="1:13">
      <c r="A1540" s="21">
        <v>46113</v>
      </c>
      <c r="B1540" s="22" t="s">
        <v>5483</v>
      </c>
      <c r="C1540" s="23">
        <v>46141</v>
      </c>
      <c r="D1540" s="24">
        <v>215.85</v>
      </c>
      <c r="E1540" s="22" t="s">
        <v>149</v>
      </c>
      <c r="F1540" s="22" t="s">
        <v>5</v>
      </c>
      <c r="G1540" s="22" t="s">
        <v>5184</v>
      </c>
      <c r="H1540" s="22" t="s">
        <v>10</v>
      </c>
      <c r="I1540" s="22" t="s">
        <v>5</v>
      </c>
      <c r="J1540" s="22" t="s">
        <v>40</v>
      </c>
      <c r="K1540" s="22" t="s">
        <v>1023</v>
      </c>
      <c r="L1540" s="22" t="s">
        <v>4260</v>
      </c>
      <c r="M1540" s="25"/>
    </row>
    <row r="1541" customHeight="1" spans="1:13">
      <c r="A1541" s="21">
        <v>46113</v>
      </c>
      <c r="B1541" s="22" t="s">
        <v>5483</v>
      </c>
      <c r="C1541" s="23">
        <v>46141</v>
      </c>
      <c r="D1541" s="24">
        <v>65</v>
      </c>
      <c r="E1541" s="22" t="s">
        <v>149</v>
      </c>
      <c r="F1541" s="22" t="s">
        <v>5</v>
      </c>
      <c r="G1541" s="22" t="s">
        <v>5186</v>
      </c>
      <c r="H1541" s="22" t="s">
        <v>10</v>
      </c>
      <c r="I1541" s="22" t="s">
        <v>5</v>
      </c>
      <c r="J1541" s="22" t="s">
        <v>40</v>
      </c>
      <c r="K1541" s="22" t="s">
        <v>1023</v>
      </c>
      <c r="L1541" s="22" t="s">
        <v>4260</v>
      </c>
      <c r="M1541" s="25"/>
    </row>
    <row r="1542" customHeight="1" spans="1:13">
      <c r="A1542" s="21">
        <v>46113</v>
      </c>
      <c r="B1542" s="22" t="s">
        <v>5483</v>
      </c>
      <c r="C1542" s="23">
        <v>46141</v>
      </c>
      <c r="D1542" s="24">
        <v>61.8</v>
      </c>
      <c r="E1542" s="22" t="s">
        <v>149</v>
      </c>
      <c r="F1542" s="22" t="s">
        <v>5</v>
      </c>
      <c r="G1542" s="22" t="s">
        <v>5188</v>
      </c>
      <c r="H1542" s="22" t="s">
        <v>10</v>
      </c>
      <c r="I1542" s="22" t="s">
        <v>5</v>
      </c>
      <c r="J1542" s="22" t="s">
        <v>40</v>
      </c>
      <c r="K1542" s="22" t="s">
        <v>1023</v>
      </c>
      <c r="L1542" s="22" t="s">
        <v>4260</v>
      </c>
      <c r="M1542" s="25"/>
    </row>
    <row r="1543" customHeight="1" spans="1:13">
      <c r="A1543" s="21">
        <v>46113</v>
      </c>
      <c r="B1543" s="22" t="s">
        <v>5483</v>
      </c>
      <c r="C1543" s="23">
        <v>46141</v>
      </c>
      <c r="D1543" s="24">
        <v>1.08</v>
      </c>
      <c r="E1543" s="22" t="s">
        <v>149</v>
      </c>
      <c r="F1543" s="22" t="s">
        <v>5</v>
      </c>
      <c r="G1543" s="22" t="s">
        <v>5192</v>
      </c>
      <c r="H1543" s="22" t="s">
        <v>10</v>
      </c>
      <c r="I1543" s="22" t="s">
        <v>5</v>
      </c>
      <c r="J1543" s="22" t="s">
        <v>40</v>
      </c>
      <c r="K1543" s="22" t="s">
        <v>1023</v>
      </c>
      <c r="L1543" s="22" t="s">
        <v>4260</v>
      </c>
      <c r="M1543" s="25"/>
    </row>
    <row r="1544" customHeight="1" spans="1:13">
      <c r="A1544" s="21">
        <v>46113</v>
      </c>
      <c r="B1544" s="22" t="s">
        <v>5483</v>
      </c>
      <c r="C1544" s="23">
        <v>46141</v>
      </c>
      <c r="D1544" s="24">
        <v>56.04</v>
      </c>
      <c r="E1544" s="22" t="s">
        <v>149</v>
      </c>
      <c r="F1544" s="22" t="s">
        <v>5</v>
      </c>
      <c r="G1544" s="22" t="s">
        <v>5194</v>
      </c>
      <c r="H1544" s="22" t="s">
        <v>10</v>
      </c>
      <c r="I1544" s="22" t="s">
        <v>5</v>
      </c>
      <c r="J1544" s="22" t="s">
        <v>40</v>
      </c>
      <c r="K1544" s="22" t="s">
        <v>1023</v>
      </c>
      <c r="L1544" s="22" t="s">
        <v>4260</v>
      </c>
      <c r="M1544" s="25"/>
    </row>
    <row r="1545" customHeight="1" spans="1:13">
      <c r="A1545" s="21">
        <v>46113</v>
      </c>
      <c r="B1545" s="22" t="s">
        <v>5483</v>
      </c>
      <c r="C1545" s="23">
        <v>46141</v>
      </c>
      <c r="D1545" s="24">
        <v>216.8</v>
      </c>
      <c r="E1545" s="22" t="s">
        <v>149</v>
      </c>
      <c r="F1545" s="22" t="s">
        <v>5</v>
      </c>
      <c r="G1545" s="22" t="s">
        <v>5196</v>
      </c>
      <c r="H1545" s="22" t="s">
        <v>10</v>
      </c>
      <c r="I1545" s="22" t="s">
        <v>5</v>
      </c>
      <c r="J1545" s="22" t="s">
        <v>40</v>
      </c>
      <c r="K1545" s="22" t="s">
        <v>1023</v>
      </c>
      <c r="L1545" s="22" t="s">
        <v>4260</v>
      </c>
      <c r="M1545" s="25"/>
    </row>
    <row r="1546" customHeight="1" spans="1:13">
      <c r="A1546" s="21">
        <v>46113</v>
      </c>
      <c r="B1546" s="22" t="s">
        <v>5483</v>
      </c>
      <c r="C1546" s="23">
        <v>46141</v>
      </c>
      <c r="D1546" s="24">
        <v>66.31</v>
      </c>
      <c r="E1546" s="22" t="s">
        <v>149</v>
      </c>
      <c r="F1546" s="22" t="s">
        <v>5</v>
      </c>
      <c r="G1546" s="22" t="s">
        <v>5198</v>
      </c>
      <c r="H1546" s="22" t="s">
        <v>10</v>
      </c>
      <c r="I1546" s="22" t="s">
        <v>5</v>
      </c>
      <c r="J1546" s="22" t="s">
        <v>40</v>
      </c>
      <c r="K1546" s="22" t="s">
        <v>1023</v>
      </c>
      <c r="L1546" s="22" t="s">
        <v>4260</v>
      </c>
      <c r="M1546" s="25"/>
    </row>
    <row r="1547" customHeight="1" spans="1:13">
      <c r="A1547" s="21">
        <v>46113</v>
      </c>
      <c r="B1547" s="22" t="s">
        <v>5483</v>
      </c>
      <c r="C1547" s="23">
        <v>46141</v>
      </c>
      <c r="D1547" s="24">
        <v>7.82</v>
      </c>
      <c r="E1547" s="22" t="s">
        <v>149</v>
      </c>
      <c r="F1547" s="22" t="s">
        <v>5</v>
      </c>
      <c r="G1547" s="22" t="s">
        <v>5200</v>
      </c>
      <c r="H1547" s="22" t="s">
        <v>10</v>
      </c>
      <c r="I1547" s="22" t="s">
        <v>5</v>
      </c>
      <c r="J1547" s="22" t="s">
        <v>40</v>
      </c>
      <c r="K1547" s="22" t="s">
        <v>1023</v>
      </c>
      <c r="L1547" s="22" t="s">
        <v>4260</v>
      </c>
      <c r="M1547" s="25"/>
    </row>
    <row r="1548" customHeight="1" spans="1:13">
      <c r="A1548" s="21">
        <v>46143</v>
      </c>
      <c r="B1548" s="22" t="s">
        <v>5484</v>
      </c>
      <c r="C1548" s="23">
        <v>46143</v>
      </c>
      <c r="D1548" s="24">
        <v>435</v>
      </c>
      <c r="E1548" s="22" t="s">
        <v>173</v>
      </c>
      <c r="F1548" s="22" t="s">
        <v>5</v>
      </c>
      <c r="G1548" s="22" t="s">
        <v>5202</v>
      </c>
      <c r="H1548" s="22" t="s">
        <v>10</v>
      </c>
      <c r="I1548" s="22" t="s">
        <v>5</v>
      </c>
      <c r="J1548" s="22" t="s">
        <v>54</v>
      </c>
      <c r="K1548" s="22" t="s">
        <v>5204</v>
      </c>
      <c r="L1548" s="22" t="s">
        <v>2475</v>
      </c>
      <c r="M1548" s="25"/>
    </row>
    <row r="1549" customHeight="1" spans="1:13">
      <c r="A1549" s="21">
        <v>46143</v>
      </c>
      <c r="B1549" s="22" t="s">
        <v>5484</v>
      </c>
      <c r="C1549" s="23">
        <v>46143</v>
      </c>
      <c r="D1549" s="24">
        <v>205</v>
      </c>
      <c r="E1549" s="22" t="s">
        <v>173</v>
      </c>
      <c r="F1549" s="22" t="s">
        <v>5</v>
      </c>
      <c r="G1549" s="22" t="s">
        <v>5206</v>
      </c>
      <c r="H1549" s="22" t="s">
        <v>10</v>
      </c>
      <c r="I1549" s="22" t="s">
        <v>5</v>
      </c>
      <c r="J1549" s="22" t="s">
        <v>54</v>
      </c>
      <c r="K1549" s="22" t="s">
        <v>5204</v>
      </c>
      <c r="L1549" s="22" t="s">
        <v>2475</v>
      </c>
      <c r="M1549" s="25"/>
    </row>
    <row r="1550" customHeight="1" spans="1:13">
      <c r="A1550" s="21">
        <v>46143</v>
      </c>
      <c r="B1550" s="22" t="s">
        <v>5484</v>
      </c>
      <c r="C1550" s="23">
        <v>46143</v>
      </c>
      <c r="D1550" s="24">
        <v>341</v>
      </c>
      <c r="E1550" s="22" t="s">
        <v>173</v>
      </c>
      <c r="F1550" s="22" t="s">
        <v>5</v>
      </c>
      <c r="G1550" s="22" t="s">
        <v>5208</v>
      </c>
      <c r="H1550" s="22" t="s">
        <v>10</v>
      </c>
      <c r="I1550" s="22" t="s">
        <v>5</v>
      </c>
      <c r="J1550" s="22" t="s">
        <v>54</v>
      </c>
      <c r="K1550" s="22" t="s">
        <v>5204</v>
      </c>
      <c r="L1550" s="22" t="s">
        <v>2475</v>
      </c>
      <c r="M1550" s="25"/>
    </row>
    <row r="1551" customHeight="1" spans="1:13">
      <c r="A1551" s="21">
        <v>46143</v>
      </c>
      <c r="B1551" s="22" t="s">
        <v>5484</v>
      </c>
      <c r="C1551" s="23">
        <v>46143</v>
      </c>
      <c r="D1551" s="24">
        <v>155</v>
      </c>
      <c r="E1551" s="22" t="s">
        <v>173</v>
      </c>
      <c r="F1551" s="22" t="s">
        <v>5</v>
      </c>
      <c r="G1551" s="22" t="s">
        <v>5210</v>
      </c>
      <c r="H1551" s="22" t="s">
        <v>10</v>
      </c>
      <c r="I1551" s="22" t="s">
        <v>5</v>
      </c>
      <c r="J1551" s="22" t="s">
        <v>54</v>
      </c>
      <c r="K1551" s="22" t="s">
        <v>5204</v>
      </c>
      <c r="L1551" s="22" t="s">
        <v>2475</v>
      </c>
      <c r="M1551" s="25"/>
    </row>
    <row r="1552" customHeight="1" spans="1:13">
      <c r="A1552" s="21">
        <v>46143</v>
      </c>
      <c r="B1552" s="22" t="s">
        <v>5484</v>
      </c>
      <c r="C1552" s="23">
        <v>46147</v>
      </c>
      <c r="D1552" s="24">
        <v>217.99</v>
      </c>
      <c r="E1552" s="22" t="s">
        <v>149</v>
      </c>
      <c r="F1552" s="22" t="s">
        <v>5</v>
      </c>
      <c r="G1552" s="22" t="s">
        <v>5212</v>
      </c>
      <c r="H1552" s="22" t="s">
        <v>10</v>
      </c>
      <c r="I1552" s="22" t="s">
        <v>5</v>
      </c>
      <c r="J1552" s="22" t="s">
        <v>40</v>
      </c>
      <c r="K1552" s="22" t="s">
        <v>1016</v>
      </c>
      <c r="L1552" s="22" t="s">
        <v>4409</v>
      </c>
      <c r="M1552" s="25"/>
    </row>
    <row r="1553" customHeight="1" spans="1:13">
      <c r="A1553" s="21">
        <v>46143</v>
      </c>
      <c r="B1553" s="22" t="s">
        <v>5484</v>
      </c>
      <c r="C1553" s="23">
        <v>46147</v>
      </c>
      <c r="D1553" s="24">
        <v>134</v>
      </c>
      <c r="E1553" s="22" t="s">
        <v>149</v>
      </c>
      <c r="F1553" s="22" t="s">
        <v>5</v>
      </c>
      <c r="G1553" s="22" t="s">
        <v>5217</v>
      </c>
      <c r="H1553" s="22" t="s">
        <v>10</v>
      </c>
      <c r="I1553" s="22" t="s">
        <v>5</v>
      </c>
      <c r="J1553" s="22" t="s">
        <v>40</v>
      </c>
      <c r="K1553" s="22" t="s">
        <v>1016</v>
      </c>
      <c r="L1553" s="22" t="s">
        <v>4409</v>
      </c>
      <c r="M1553" s="25"/>
    </row>
    <row r="1554" customHeight="1" spans="1:13">
      <c r="A1554" s="21">
        <v>46143</v>
      </c>
      <c r="B1554" s="22" t="s">
        <v>5484</v>
      </c>
      <c r="C1554" s="23">
        <v>46147</v>
      </c>
      <c r="D1554" s="24">
        <v>150</v>
      </c>
      <c r="E1554" s="22" t="s">
        <v>149</v>
      </c>
      <c r="F1554" s="22" t="s">
        <v>5</v>
      </c>
      <c r="G1554" s="22" t="s">
        <v>5219</v>
      </c>
      <c r="H1554" s="22" t="s">
        <v>10</v>
      </c>
      <c r="I1554" s="22" t="s">
        <v>5</v>
      </c>
      <c r="J1554" s="22" t="s">
        <v>40</v>
      </c>
      <c r="K1554" s="22" t="s">
        <v>1016</v>
      </c>
      <c r="L1554" s="22" t="s">
        <v>4409</v>
      </c>
      <c r="M1554" s="25"/>
    </row>
    <row r="1555" customHeight="1" spans="1:13">
      <c r="A1555" s="21">
        <v>46143</v>
      </c>
      <c r="B1555" s="22" t="s">
        <v>5484</v>
      </c>
      <c r="C1555" s="23">
        <v>46147</v>
      </c>
      <c r="D1555" s="24">
        <v>185</v>
      </c>
      <c r="E1555" s="22" t="s">
        <v>149</v>
      </c>
      <c r="F1555" s="22" t="s">
        <v>5</v>
      </c>
      <c r="G1555" s="22" t="s">
        <v>5221</v>
      </c>
      <c r="H1555" s="22" t="s">
        <v>10</v>
      </c>
      <c r="I1555" s="22" t="s">
        <v>5</v>
      </c>
      <c r="J1555" s="22" t="s">
        <v>40</v>
      </c>
      <c r="K1555" s="22" t="s">
        <v>1016</v>
      </c>
      <c r="L1555" s="22" t="s">
        <v>4409</v>
      </c>
      <c r="M1555" s="25"/>
    </row>
    <row r="1556" customHeight="1" spans="1:13">
      <c r="A1556" s="21">
        <v>46143</v>
      </c>
      <c r="B1556" s="22" t="s">
        <v>5484</v>
      </c>
      <c r="C1556" s="23">
        <v>46147</v>
      </c>
      <c r="D1556" s="24">
        <v>139.99</v>
      </c>
      <c r="E1556" s="22" t="s">
        <v>149</v>
      </c>
      <c r="F1556" s="22" t="s">
        <v>5</v>
      </c>
      <c r="G1556" s="22" t="s">
        <v>5223</v>
      </c>
      <c r="H1556" s="22" t="s">
        <v>10</v>
      </c>
      <c r="I1556" s="22" t="s">
        <v>5</v>
      </c>
      <c r="J1556" s="22" t="s">
        <v>40</v>
      </c>
      <c r="K1556" s="22" t="s">
        <v>1016</v>
      </c>
      <c r="L1556" s="22" t="s">
        <v>4409</v>
      </c>
      <c r="M1556" s="25"/>
    </row>
    <row r="1557" customHeight="1" spans="1:13">
      <c r="A1557" s="21">
        <v>46143</v>
      </c>
      <c r="B1557" s="22" t="s">
        <v>5484</v>
      </c>
      <c r="C1557" s="23">
        <v>46147</v>
      </c>
      <c r="D1557" s="24">
        <v>150</v>
      </c>
      <c r="E1557" s="22" t="s">
        <v>149</v>
      </c>
      <c r="F1557" s="22" t="s">
        <v>5</v>
      </c>
      <c r="G1557" s="22" t="s">
        <v>5225</v>
      </c>
      <c r="H1557" s="22" t="s">
        <v>10</v>
      </c>
      <c r="I1557" s="22" t="s">
        <v>5</v>
      </c>
      <c r="J1557" s="22" t="s">
        <v>40</v>
      </c>
      <c r="K1557" s="22" t="s">
        <v>1016</v>
      </c>
      <c r="L1557" s="22" t="s">
        <v>4409</v>
      </c>
      <c r="M1557" s="25"/>
    </row>
    <row r="1558" customHeight="1" spans="1:13">
      <c r="A1558" s="21">
        <v>46143</v>
      </c>
      <c r="B1558" s="22" t="s">
        <v>5484</v>
      </c>
      <c r="C1558" s="23">
        <v>46147</v>
      </c>
      <c r="D1558" s="24">
        <v>209.26</v>
      </c>
      <c r="E1558" s="22" t="s">
        <v>149</v>
      </c>
      <c r="F1558" s="22" t="s">
        <v>5</v>
      </c>
      <c r="G1558" s="22" t="s">
        <v>5227</v>
      </c>
      <c r="H1558" s="22" t="s">
        <v>10</v>
      </c>
      <c r="I1558" s="22" t="s">
        <v>5</v>
      </c>
      <c r="J1558" s="22" t="s">
        <v>40</v>
      </c>
      <c r="K1558" s="22" t="s">
        <v>1016</v>
      </c>
      <c r="L1558" s="22" t="s">
        <v>4409</v>
      </c>
      <c r="M1558" s="25"/>
    </row>
    <row r="1559" customHeight="1" spans="1:13">
      <c r="A1559" s="21">
        <v>46143</v>
      </c>
      <c r="B1559" s="22" t="s">
        <v>5484</v>
      </c>
      <c r="C1559" s="23">
        <v>46147</v>
      </c>
      <c r="D1559" s="24">
        <v>135.96</v>
      </c>
      <c r="E1559" s="22" t="s">
        <v>149</v>
      </c>
      <c r="F1559" s="22" t="s">
        <v>5</v>
      </c>
      <c r="G1559" s="22" t="s">
        <v>5229</v>
      </c>
      <c r="H1559" s="22" t="s">
        <v>10</v>
      </c>
      <c r="I1559" s="22" t="s">
        <v>5</v>
      </c>
      <c r="J1559" s="22" t="s">
        <v>40</v>
      </c>
      <c r="K1559" s="22" t="s">
        <v>1016</v>
      </c>
      <c r="L1559" s="22" t="s">
        <v>4409</v>
      </c>
      <c r="M1559" s="25"/>
    </row>
    <row r="1560" customHeight="1" spans="1:13">
      <c r="A1560" s="21">
        <v>46143</v>
      </c>
      <c r="B1560" s="22" t="s">
        <v>5484</v>
      </c>
      <c r="C1560" s="23">
        <v>46154</v>
      </c>
      <c r="D1560" s="24">
        <v>227.18</v>
      </c>
      <c r="E1560" s="22" t="s">
        <v>149</v>
      </c>
      <c r="F1560" s="22" t="s">
        <v>5</v>
      </c>
      <c r="G1560" s="22" t="s">
        <v>5231</v>
      </c>
      <c r="H1560" s="22" t="s">
        <v>10</v>
      </c>
      <c r="I1560" s="22" t="s">
        <v>5</v>
      </c>
      <c r="J1560" s="22" t="s">
        <v>40</v>
      </c>
      <c r="K1560" s="22" t="s">
        <v>1016</v>
      </c>
      <c r="L1560" s="22" t="s">
        <v>4409</v>
      </c>
      <c r="M1560" s="25"/>
    </row>
    <row r="1561" customHeight="1" spans="1:13">
      <c r="A1561" s="21">
        <v>46143</v>
      </c>
      <c r="B1561" s="22" t="s">
        <v>5484</v>
      </c>
      <c r="C1561" s="23">
        <v>46154</v>
      </c>
      <c r="D1561" s="24">
        <v>227.18</v>
      </c>
      <c r="E1561" s="22" t="s">
        <v>149</v>
      </c>
      <c r="F1561" s="22" t="s">
        <v>5</v>
      </c>
      <c r="G1561" s="22" t="s">
        <v>5234</v>
      </c>
      <c r="H1561" s="22" t="s">
        <v>10</v>
      </c>
      <c r="I1561" s="22" t="s">
        <v>5</v>
      </c>
      <c r="J1561" s="22" t="s">
        <v>40</v>
      </c>
      <c r="K1561" s="22" t="s">
        <v>1016</v>
      </c>
      <c r="L1561" s="22" t="s">
        <v>4409</v>
      </c>
      <c r="M1561" s="25"/>
    </row>
    <row r="1562" customHeight="1" spans="1:13">
      <c r="A1562" s="21">
        <v>46143</v>
      </c>
      <c r="B1562" s="22" t="s">
        <v>5484</v>
      </c>
      <c r="C1562" s="23">
        <v>46154</v>
      </c>
      <c r="D1562" s="24">
        <v>225.99</v>
      </c>
      <c r="E1562" s="22" t="s">
        <v>149</v>
      </c>
      <c r="F1562" s="22" t="s">
        <v>5</v>
      </c>
      <c r="G1562" s="22" t="s">
        <v>5236</v>
      </c>
      <c r="H1562" s="22" t="s">
        <v>10</v>
      </c>
      <c r="I1562" s="22" t="s">
        <v>5</v>
      </c>
      <c r="J1562" s="22" t="s">
        <v>40</v>
      </c>
      <c r="K1562" s="22" t="s">
        <v>1016</v>
      </c>
      <c r="L1562" s="22" t="s">
        <v>4409</v>
      </c>
      <c r="M1562" s="25"/>
    </row>
    <row r="1563" customHeight="1" spans="1:13">
      <c r="A1563" s="21">
        <v>46143</v>
      </c>
      <c r="B1563" s="22" t="s">
        <v>5484</v>
      </c>
      <c r="C1563" s="23">
        <v>46154</v>
      </c>
      <c r="D1563" s="24">
        <v>225.99</v>
      </c>
      <c r="E1563" s="22" t="s">
        <v>149</v>
      </c>
      <c r="F1563" s="22" t="s">
        <v>5</v>
      </c>
      <c r="G1563" s="22" t="s">
        <v>5238</v>
      </c>
      <c r="H1563" s="22" t="s">
        <v>10</v>
      </c>
      <c r="I1563" s="22" t="s">
        <v>5</v>
      </c>
      <c r="J1563" s="22" t="s">
        <v>40</v>
      </c>
      <c r="K1563" s="22" t="s">
        <v>1016</v>
      </c>
      <c r="L1563" s="22" t="s">
        <v>4409</v>
      </c>
      <c r="M1563" s="25"/>
    </row>
    <row r="1564" customHeight="1" spans="1:13">
      <c r="A1564" s="21">
        <v>46143</v>
      </c>
      <c r="B1564" s="22" t="s">
        <v>5484</v>
      </c>
      <c r="C1564" s="23">
        <v>46154</v>
      </c>
      <c r="D1564" s="24">
        <v>230.28</v>
      </c>
      <c r="E1564" s="22" t="s">
        <v>149</v>
      </c>
      <c r="F1564" s="22" t="s">
        <v>5</v>
      </c>
      <c r="G1564" s="22" t="s">
        <v>5240</v>
      </c>
      <c r="H1564" s="22" t="s">
        <v>10</v>
      </c>
      <c r="I1564" s="22" t="s">
        <v>5</v>
      </c>
      <c r="J1564" s="22" t="s">
        <v>40</v>
      </c>
      <c r="K1564" s="22" t="s">
        <v>1016</v>
      </c>
      <c r="L1564" s="22" t="s">
        <v>4409</v>
      </c>
      <c r="M1564" s="25"/>
    </row>
    <row r="1565" customHeight="1" spans="1:13">
      <c r="A1565" s="21">
        <v>46143</v>
      </c>
      <c r="B1565" s="22" t="s">
        <v>5484</v>
      </c>
      <c r="C1565" s="23">
        <v>46154</v>
      </c>
      <c r="D1565" s="24">
        <v>228.62</v>
      </c>
      <c r="E1565" s="22" t="s">
        <v>149</v>
      </c>
      <c r="F1565" s="22" t="s">
        <v>5</v>
      </c>
      <c r="G1565" s="22" t="s">
        <v>5240</v>
      </c>
      <c r="H1565" s="22" t="s">
        <v>10</v>
      </c>
      <c r="I1565" s="22" t="s">
        <v>5</v>
      </c>
      <c r="J1565" s="22" t="s">
        <v>40</v>
      </c>
      <c r="K1565" s="22" t="s">
        <v>1016</v>
      </c>
      <c r="L1565" s="22" t="s">
        <v>4409</v>
      </c>
      <c r="M1565" s="25"/>
    </row>
    <row r="1566" customHeight="1" spans="1:13">
      <c r="A1566" s="21">
        <v>46143</v>
      </c>
      <c r="B1566" s="22" t="s">
        <v>5484</v>
      </c>
      <c r="C1566" s="23">
        <v>46154</v>
      </c>
      <c r="D1566" s="24">
        <v>227.18</v>
      </c>
      <c r="E1566" s="22" t="s">
        <v>149</v>
      </c>
      <c r="F1566" s="22" t="s">
        <v>5</v>
      </c>
      <c r="G1566" s="22" t="s">
        <v>5243</v>
      </c>
      <c r="H1566" s="22" t="s">
        <v>10</v>
      </c>
      <c r="I1566" s="22" t="s">
        <v>5</v>
      </c>
      <c r="J1566" s="22" t="s">
        <v>40</v>
      </c>
      <c r="K1566" s="22" t="s">
        <v>1016</v>
      </c>
      <c r="L1566" s="22" t="s">
        <v>4409</v>
      </c>
      <c r="M1566" s="25"/>
    </row>
    <row r="1567" customHeight="1" spans="1:13">
      <c r="A1567" s="21">
        <v>46143</v>
      </c>
      <c r="B1567" s="22" t="s">
        <v>5484</v>
      </c>
      <c r="C1567" s="23">
        <v>46154</v>
      </c>
      <c r="D1567" s="24">
        <v>230.28</v>
      </c>
      <c r="E1567" s="22" t="s">
        <v>149</v>
      </c>
      <c r="F1567" s="22" t="s">
        <v>5</v>
      </c>
      <c r="G1567" s="22" t="s">
        <v>5245</v>
      </c>
      <c r="H1567" s="22" t="s">
        <v>10</v>
      </c>
      <c r="I1567" s="22" t="s">
        <v>5</v>
      </c>
      <c r="J1567" s="22" t="s">
        <v>40</v>
      </c>
      <c r="K1567" s="22" t="s">
        <v>1016</v>
      </c>
      <c r="L1567" s="22" t="s">
        <v>4409</v>
      </c>
      <c r="M1567" s="25"/>
    </row>
    <row r="1568" customHeight="1" spans="1:13">
      <c r="A1568" s="21">
        <v>46143</v>
      </c>
      <c r="B1568" s="22" t="s">
        <v>5484</v>
      </c>
      <c r="C1568" s="23">
        <v>46154</v>
      </c>
      <c r="D1568" s="24">
        <v>226.98</v>
      </c>
      <c r="E1568" s="22" t="s">
        <v>149</v>
      </c>
      <c r="F1568" s="22" t="s">
        <v>5</v>
      </c>
      <c r="G1568" s="22" t="s">
        <v>5247</v>
      </c>
      <c r="H1568" s="22" t="s">
        <v>10</v>
      </c>
      <c r="I1568" s="22" t="s">
        <v>5</v>
      </c>
      <c r="J1568" s="22" t="s">
        <v>40</v>
      </c>
      <c r="K1568" s="22" t="s">
        <v>1016</v>
      </c>
      <c r="L1568" s="22" t="s">
        <v>4409</v>
      </c>
      <c r="M1568" s="25"/>
    </row>
    <row r="1569" customHeight="1" spans="1:13">
      <c r="A1569" s="21">
        <v>46143</v>
      </c>
      <c r="B1569" s="22" t="s">
        <v>5484</v>
      </c>
      <c r="C1569" s="23">
        <v>46154</v>
      </c>
      <c r="D1569" s="24">
        <v>196.48</v>
      </c>
      <c r="E1569" s="22" t="s">
        <v>149</v>
      </c>
      <c r="F1569" s="22" t="s">
        <v>5</v>
      </c>
      <c r="G1569" s="22" t="s">
        <v>5249</v>
      </c>
      <c r="H1569" s="22" t="s">
        <v>10</v>
      </c>
      <c r="I1569" s="22" t="s">
        <v>5</v>
      </c>
      <c r="J1569" s="22" t="s">
        <v>40</v>
      </c>
      <c r="K1569" s="22" t="s">
        <v>1016</v>
      </c>
      <c r="L1569" s="22" t="s">
        <v>4409</v>
      </c>
      <c r="M1569" s="25"/>
    </row>
    <row r="1570" customHeight="1" spans="1:13">
      <c r="A1570" s="21">
        <v>46143</v>
      </c>
      <c r="B1570" s="22" t="s">
        <v>5484</v>
      </c>
      <c r="C1570" s="23">
        <v>46154</v>
      </c>
      <c r="D1570" s="24">
        <v>229.02</v>
      </c>
      <c r="E1570" s="22" t="s">
        <v>149</v>
      </c>
      <c r="F1570" s="22" t="s">
        <v>5</v>
      </c>
      <c r="G1570" s="22" t="s">
        <v>5251</v>
      </c>
      <c r="H1570" s="22" t="s">
        <v>10</v>
      </c>
      <c r="I1570" s="22" t="s">
        <v>5</v>
      </c>
      <c r="J1570" s="22" t="s">
        <v>40</v>
      </c>
      <c r="K1570" s="22" t="s">
        <v>1016</v>
      </c>
      <c r="L1570" s="22" t="s">
        <v>4409</v>
      </c>
      <c r="M1570" s="25"/>
    </row>
    <row r="1571" customHeight="1" spans="1:13">
      <c r="A1571" s="21">
        <v>46143</v>
      </c>
      <c r="B1571" s="22" t="s">
        <v>5484</v>
      </c>
      <c r="C1571" s="23">
        <v>46154</v>
      </c>
      <c r="D1571" s="24">
        <v>205.37</v>
      </c>
      <c r="E1571" s="22" t="s">
        <v>149</v>
      </c>
      <c r="F1571" s="22" t="s">
        <v>5</v>
      </c>
      <c r="G1571" s="22" t="s">
        <v>5253</v>
      </c>
      <c r="H1571" s="22" t="s">
        <v>10</v>
      </c>
      <c r="I1571" s="22" t="s">
        <v>5</v>
      </c>
      <c r="J1571" s="22" t="s">
        <v>40</v>
      </c>
      <c r="K1571" s="22" t="s">
        <v>1016</v>
      </c>
      <c r="L1571" s="22" t="s">
        <v>4409</v>
      </c>
      <c r="M1571" s="25"/>
    </row>
    <row r="1572" customHeight="1" spans="1:13">
      <c r="A1572" s="21">
        <v>46143</v>
      </c>
      <c r="B1572" s="22" t="s">
        <v>5484</v>
      </c>
      <c r="C1572" s="23">
        <v>46154</v>
      </c>
      <c r="D1572" s="24">
        <v>231.49</v>
      </c>
      <c r="E1572" s="22" t="s">
        <v>149</v>
      </c>
      <c r="F1572" s="22" t="s">
        <v>5</v>
      </c>
      <c r="G1572" s="22" t="s">
        <v>5255</v>
      </c>
      <c r="H1572" s="22" t="s">
        <v>10</v>
      </c>
      <c r="I1572" s="22" t="s">
        <v>5</v>
      </c>
      <c r="J1572" s="22" t="s">
        <v>40</v>
      </c>
      <c r="K1572" s="22" t="s">
        <v>1016</v>
      </c>
      <c r="L1572" s="22" t="s">
        <v>4409</v>
      </c>
      <c r="M1572" s="25"/>
    </row>
    <row r="1573" customHeight="1" spans="1:13">
      <c r="A1573" s="21">
        <v>46143</v>
      </c>
      <c r="B1573" s="22" t="s">
        <v>5484</v>
      </c>
      <c r="C1573" s="23">
        <v>46154</v>
      </c>
      <c r="D1573" s="24">
        <v>228.98</v>
      </c>
      <c r="E1573" s="22" t="s">
        <v>149</v>
      </c>
      <c r="F1573" s="22" t="s">
        <v>5</v>
      </c>
      <c r="G1573" s="22" t="s">
        <v>5257</v>
      </c>
      <c r="H1573" s="22" t="s">
        <v>10</v>
      </c>
      <c r="I1573" s="22" t="s">
        <v>5</v>
      </c>
      <c r="J1573" s="22" t="s">
        <v>40</v>
      </c>
      <c r="K1573" s="22" t="s">
        <v>1016</v>
      </c>
      <c r="L1573" s="22" t="s">
        <v>4409</v>
      </c>
      <c r="M1573" s="25"/>
    </row>
    <row r="1574" customHeight="1" spans="1:13">
      <c r="A1574" s="21">
        <v>46143</v>
      </c>
      <c r="B1574" s="22" t="s">
        <v>5484</v>
      </c>
      <c r="C1574" s="23">
        <v>46154</v>
      </c>
      <c r="D1574" s="24">
        <v>232.32</v>
      </c>
      <c r="E1574" s="22" t="s">
        <v>149</v>
      </c>
      <c r="F1574" s="22" t="s">
        <v>5</v>
      </c>
      <c r="G1574" s="22" t="s">
        <v>5259</v>
      </c>
      <c r="H1574" s="22" t="s">
        <v>10</v>
      </c>
      <c r="I1574" s="22" t="s">
        <v>5</v>
      </c>
      <c r="J1574" s="22" t="s">
        <v>40</v>
      </c>
      <c r="K1574" s="22" t="s">
        <v>1016</v>
      </c>
      <c r="L1574" s="22" t="s">
        <v>4409</v>
      </c>
      <c r="M1574" s="25"/>
    </row>
    <row r="1575" customHeight="1" spans="1:13">
      <c r="A1575" s="21">
        <v>46143</v>
      </c>
      <c r="B1575" s="22" t="s">
        <v>5484</v>
      </c>
      <c r="C1575" s="23">
        <v>46154</v>
      </c>
      <c r="D1575" s="24">
        <v>220</v>
      </c>
      <c r="E1575" s="22" t="s">
        <v>139</v>
      </c>
      <c r="F1575" s="22" t="s">
        <v>5</v>
      </c>
      <c r="G1575" s="22" t="s">
        <v>5680</v>
      </c>
      <c r="H1575" s="22" t="s">
        <v>10</v>
      </c>
      <c r="I1575" s="22" t="s">
        <v>5</v>
      </c>
      <c r="J1575" s="22" t="s">
        <v>40</v>
      </c>
      <c r="K1575" s="22" t="s">
        <v>1016</v>
      </c>
      <c r="L1575" s="22" t="s">
        <v>4409</v>
      </c>
      <c r="M1575" s="25"/>
    </row>
    <row r="1576" customHeight="1" spans="1:13">
      <c r="A1576" s="21">
        <v>46143</v>
      </c>
      <c r="B1576" s="22" t="s">
        <v>5484</v>
      </c>
      <c r="C1576" s="23">
        <v>46155</v>
      </c>
      <c r="D1576" s="27">
        <v>1000</v>
      </c>
      <c r="E1576" s="22" t="s">
        <v>149</v>
      </c>
      <c r="F1576" s="22" t="s">
        <v>5</v>
      </c>
      <c r="G1576" s="22" t="s">
        <v>5264</v>
      </c>
      <c r="H1576" s="22" t="s">
        <v>10</v>
      </c>
      <c r="I1576" s="22" t="s">
        <v>5</v>
      </c>
      <c r="J1576" s="22" t="s">
        <v>40</v>
      </c>
      <c r="K1576" s="22" t="s">
        <v>5267</v>
      </c>
      <c r="L1576" s="22" t="s">
        <v>1432</v>
      </c>
      <c r="M1576" s="25"/>
    </row>
    <row r="1577" customHeight="1" spans="1:13">
      <c r="A1577" s="21">
        <v>46143</v>
      </c>
      <c r="B1577" s="22" t="s">
        <v>5485</v>
      </c>
      <c r="C1577" s="23">
        <v>46161</v>
      </c>
      <c r="D1577" s="24">
        <v>406.19</v>
      </c>
      <c r="E1577" s="22" t="s">
        <v>149</v>
      </c>
      <c r="F1577" s="22" t="s">
        <v>5</v>
      </c>
      <c r="G1577" s="22" t="s">
        <v>5268</v>
      </c>
      <c r="H1577" s="22" t="s">
        <v>10</v>
      </c>
      <c r="I1577" s="22" t="s">
        <v>5</v>
      </c>
      <c r="J1577" s="22" t="s">
        <v>40</v>
      </c>
      <c r="K1577" s="22" t="s">
        <v>1016</v>
      </c>
      <c r="L1577" s="22" t="s">
        <v>4409</v>
      </c>
      <c r="M1577" s="25"/>
    </row>
    <row r="1578" customHeight="1" spans="1:13">
      <c r="A1578" s="21">
        <v>46143</v>
      </c>
      <c r="B1578" s="22" t="s">
        <v>5485</v>
      </c>
      <c r="C1578" s="23">
        <v>46161</v>
      </c>
      <c r="D1578" s="24">
        <v>374.62</v>
      </c>
      <c r="E1578" s="22" t="s">
        <v>149</v>
      </c>
      <c r="F1578" s="22" t="s">
        <v>5</v>
      </c>
      <c r="G1578" s="22" t="s">
        <v>5273</v>
      </c>
      <c r="H1578" s="22" t="s">
        <v>10</v>
      </c>
      <c r="I1578" s="22" t="s">
        <v>5</v>
      </c>
      <c r="J1578" s="22" t="s">
        <v>40</v>
      </c>
      <c r="K1578" s="22" t="s">
        <v>1016</v>
      </c>
      <c r="L1578" s="22" t="s">
        <v>4409</v>
      </c>
      <c r="M1578" s="25"/>
    </row>
    <row r="1579" customHeight="1" spans="1:13">
      <c r="A1579" s="21">
        <v>46143</v>
      </c>
      <c r="B1579" s="22" t="s">
        <v>5485</v>
      </c>
      <c r="C1579" s="23">
        <v>46161</v>
      </c>
      <c r="D1579" s="24">
        <v>547.94</v>
      </c>
      <c r="E1579" s="22" t="s">
        <v>149</v>
      </c>
      <c r="F1579" s="22" t="s">
        <v>5</v>
      </c>
      <c r="G1579" s="22" t="s">
        <v>5275</v>
      </c>
      <c r="H1579" s="22" t="s">
        <v>10</v>
      </c>
      <c r="I1579" s="22" t="s">
        <v>5</v>
      </c>
      <c r="J1579" s="22" t="s">
        <v>40</v>
      </c>
      <c r="K1579" s="22" t="s">
        <v>1016</v>
      </c>
      <c r="L1579" s="22" t="s">
        <v>4409</v>
      </c>
      <c r="M1579" s="25"/>
    </row>
    <row r="1580" customHeight="1" spans="1:13">
      <c r="A1580" s="21">
        <v>46143</v>
      </c>
      <c r="B1580" s="22" t="s">
        <v>5485</v>
      </c>
      <c r="C1580" s="23">
        <v>46162</v>
      </c>
      <c r="D1580" s="24">
        <v>39.42</v>
      </c>
      <c r="E1580" s="22" t="s">
        <v>149</v>
      </c>
      <c r="F1580" s="22" t="s">
        <v>5</v>
      </c>
      <c r="G1580" s="22" t="s">
        <v>5277</v>
      </c>
      <c r="H1580" s="22" t="s">
        <v>10</v>
      </c>
      <c r="I1580" s="22" t="s">
        <v>5</v>
      </c>
      <c r="J1580" s="22" t="s">
        <v>40</v>
      </c>
      <c r="K1580" s="22" t="s">
        <v>5281</v>
      </c>
      <c r="L1580" s="22" t="s">
        <v>5279</v>
      </c>
      <c r="M1580" s="25"/>
    </row>
    <row r="1581" customHeight="1" spans="1:13">
      <c r="A1581" s="21">
        <v>46143</v>
      </c>
      <c r="B1581" s="22" t="s">
        <v>5485</v>
      </c>
      <c r="C1581" s="23">
        <v>46163</v>
      </c>
      <c r="D1581" s="24">
        <v>450</v>
      </c>
      <c r="E1581" s="22" t="s">
        <v>149</v>
      </c>
      <c r="F1581" s="22" t="s">
        <v>5</v>
      </c>
      <c r="G1581" s="22" t="s">
        <v>5282</v>
      </c>
      <c r="H1581" s="22" t="s">
        <v>10</v>
      </c>
      <c r="I1581" s="22" t="s">
        <v>5</v>
      </c>
      <c r="J1581" s="22" t="s">
        <v>40</v>
      </c>
      <c r="K1581" s="22" t="s">
        <v>2105</v>
      </c>
      <c r="L1581" s="22" t="s">
        <v>4268</v>
      </c>
      <c r="M1581" s="25"/>
    </row>
    <row r="1582" customHeight="1" spans="1:13">
      <c r="A1582" s="21">
        <v>46143</v>
      </c>
      <c r="B1582" s="22" t="s">
        <v>5485</v>
      </c>
      <c r="C1582" s="23">
        <v>46164</v>
      </c>
      <c r="D1582" s="24">
        <v>50</v>
      </c>
      <c r="E1582" s="22" t="s">
        <v>149</v>
      </c>
      <c r="F1582" s="22" t="s">
        <v>5</v>
      </c>
      <c r="G1582" s="22" t="s">
        <v>5287</v>
      </c>
      <c r="H1582" s="22" t="s">
        <v>10</v>
      </c>
      <c r="I1582" s="22" t="s">
        <v>5</v>
      </c>
      <c r="J1582" s="22" t="s">
        <v>40</v>
      </c>
      <c r="K1582" s="22" t="s">
        <v>2105</v>
      </c>
      <c r="L1582" s="22" t="s">
        <v>4268</v>
      </c>
      <c r="M1582" s="25"/>
    </row>
    <row r="1583" customHeight="1" spans="1:13">
      <c r="A1583" s="21">
        <v>46143</v>
      </c>
      <c r="B1583" s="22" t="s">
        <v>5485</v>
      </c>
      <c r="C1583" s="23">
        <v>46165</v>
      </c>
      <c r="D1583" s="24">
        <v>402.21</v>
      </c>
      <c r="E1583" s="22" t="s">
        <v>149</v>
      </c>
      <c r="F1583" s="22" t="s">
        <v>5</v>
      </c>
      <c r="G1583" s="22" t="s">
        <v>5289</v>
      </c>
      <c r="H1583" s="22" t="s">
        <v>10</v>
      </c>
      <c r="I1583" s="22" t="s">
        <v>5</v>
      </c>
      <c r="J1583" s="22" t="s">
        <v>40</v>
      </c>
      <c r="K1583" s="22" t="s">
        <v>1016</v>
      </c>
      <c r="L1583" s="22" t="s">
        <v>5270</v>
      </c>
      <c r="M1583" s="25"/>
    </row>
    <row r="1584" customHeight="1" spans="1:13">
      <c r="A1584" s="21">
        <v>46143</v>
      </c>
      <c r="B1584" s="22" t="s">
        <v>5485</v>
      </c>
      <c r="C1584" s="23">
        <v>46169</v>
      </c>
      <c r="D1584" s="24">
        <v>30</v>
      </c>
      <c r="E1584" s="22" t="s">
        <v>139</v>
      </c>
      <c r="F1584" s="22" t="s">
        <v>5</v>
      </c>
      <c r="G1584" s="22" t="s">
        <v>5292</v>
      </c>
      <c r="H1584" s="22" t="s">
        <v>10</v>
      </c>
      <c r="I1584" s="22" t="s">
        <v>5</v>
      </c>
      <c r="J1584" s="22" t="s">
        <v>40</v>
      </c>
      <c r="K1584" s="22" t="s">
        <v>5263</v>
      </c>
      <c r="L1584" s="22" t="s">
        <v>1230</v>
      </c>
      <c r="M1584" s="25"/>
    </row>
    <row r="1585" customHeight="1" spans="1:13">
      <c r="A1585" s="21">
        <v>46174</v>
      </c>
      <c r="B1585" s="22" t="s">
        <v>5487</v>
      </c>
      <c r="C1585" s="23">
        <v>46175</v>
      </c>
      <c r="D1585" s="24">
        <v>288</v>
      </c>
      <c r="E1585" s="22" t="s">
        <v>149</v>
      </c>
      <c r="F1585" s="22" t="s">
        <v>5</v>
      </c>
      <c r="G1585" s="22" t="s">
        <v>5295</v>
      </c>
      <c r="H1585" s="22" t="s">
        <v>10</v>
      </c>
      <c r="I1585" s="22" t="s">
        <v>5</v>
      </c>
      <c r="J1585" s="22" t="s">
        <v>40</v>
      </c>
      <c r="K1585" s="22" t="s">
        <v>5300</v>
      </c>
      <c r="L1585" s="22" t="s">
        <v>5297</v>
      </c>
      <c r="M1585" s="25"/>
    </row>
    <row r="1586" customHeight="1" spans="1:13">
      <c r="A1586" s="21">
        <v>46174</v>
      </c>
      <c r="B1586" s="22" t="s">
        <v>5487</v>
      </c>
      <c r="C1586" s="23">
        <v>46177</v>
      </c>
      <c r="D1586" s="24">
        <v>788</v>
      </c>
      <c r="E1586" s="22" t="s">
        <v>149</v>
      </c>
      <c r="F1586" s="22" t="s">
        <v>5</v>
      </c>
      <c r="G1586" s="22" t="s">
        <v>5301</v>
      </c>
      <c r="H1586" s="22" t="s">
        <v>10</v>
      </c>
      <c r="I1586" s="22" t="s">
        <v>5</v>
      </c>
      <c r="J1586" s="22" t="s">
        <v>40</v>
      </c>
      <c r="K1586" s="22" t="s">
        <v>5303</v>
      </c>
      <c r="L1586" s="22" t="s">
        <v>5297</v>
      </c>
      <c r="M1586" s="25"/>
    </row>
    <row r="1587" customHeight="1" spans="1:13">
      <c r="A1587" s="21">
        <v>46174</v>
      </c>
      <c r="B1587" s="22" t="s">
        <v>5487</v>
      </c>
      <c r="C1587" s="23">
        <v>46183</v>
      </c>
      <c r="D1587" s="27">
        <v>1268000</v>
      </c>
      <c r="E1587" s="22" t="s">
        <v>1062</v>
      </c>
      <c r="F1587" s="22" t="s">
        <v>5</v>
      </c>
      <c r="G1587" s="22" t="s">
        <v>5304</v>
      </c>
      <c r="H1587" s="22" t="s">
        <v>11</v>
      </c>
      <c r="I1587" s="22" t="s">
        <v>5</v>
      </c>
      <c r="J1587" s="22" t="s">
        <v>39</v>
      </c>
      <c r="K1587" s="22" t="s">
        <v>5309</v>
      </c>
      <c r="L1587" s="22" t="s">
        <v>5306</v>
      </c>
      <c r="M1587" s="25"/>
    </row>
    <row r="1588" customHeight="1" spans="1:13">
      <c r="A1588" s="21">
        <v>46174</v>
      </c>
      <c r="B1588" s="22" t="s">
        <v>5487</v>
      </c>
      <c r="C1588" s="23">
        <v>46183</v>
      </c>
      <c r="D1588" s="24">
        <v>229.35</v>
      </c>
      <c r="E1588" s="22" t="s">
        <v>149</v>
      </c>
      <c r="F1588" s="22" t="s">
        <v>5</v>
      </c>
      <c r="G1588" s="22" t="s">
        <v>5312</v>
      </c>
      <c r="H1588" s="22" t="s">
        <v>10</v>
      </c>
      <c r="I1588" s="22" t="s">
        <v>5</v>
      </c>
      <c r="J1588" s="22" t="s">
        <v>5311</v>
      </c>
      <c r="K1588" s="22" t="s">
        <v>5309</v>
      </c>
      <c r="L1588" s="22" t="s">
        <v>5306</v>
      </c>
      <c r="M1588" s="25"/>
    </row>
    <row r="1589" customHeight="1" spans="1:13">
      <c r="A1589" s="21">
        <v>46174</v>
      </c>
      <c r="B1589" s="22" t="s">
        <v>5487</v>
      </c>
      <c r="C1589" s="23">
        <v>46183</v>
      </c>
      <c r="D1589" s="24">
        <v>232.15</v>
      </c>
      <c r="E1589" s="22" t="s">
        <v>149</v>
      </c>
      <c r="F1589" s="22" t="s">
        <v>5</v>
      </c>
      <c r="G1589" s="22" t="s">
        <v>5314</v>
      </c>
      <c r="H1589" s="22" t="s">
        <v>10</v>
      </c>
      <c r="I1589" s="22" t="s">
        <v>5</v>
      </c>
      <c r="J1589" s="22" t="s">
        <v>5311</v>
      </c>
      <c r="K1589" s="22" t="s">
        <v>5309</v>
      </c>
      <c r="L1589" s="22" t="s">
        <v>5306</v>
      </c>
      <c r="M1589" s="25"/>
    </row>
    <row r="1590" customHeight="1" spans="1:13">
      <c r="A1590" s="21">
        <v>46174</v>
      </c>
      <c r="B1590" s="22" t="s">
        <v>5487</v>
      </c>
      <c r="C1590" s="23">
        <v>46183</v>
      </c>
      <c r="D1590" s="24">
        <v>230.43</v>
      </c>
      <c r="E1590" s="22" t="s">
        <v>149</v>
      </c>
      <c r="F1590" s="22" t="s">
        <v>5</v>
      </c>
      <c r="G1590" s="22" t="s">
        <v>5316</v>
      </c>
      <c r="H1590" s="22" t="s">
        <v>10</v>
      </c>
      <c r="I1590" s="22" t="s">
        <v>5</v>
      </c>
      <c r="J1590" s="22" t="s">
        <v>5311</v>
      </c>
      <c r="K1590" s="22" t="s">
        <v>5309</v>
      </c>
      <c r="L1590" s="22" t="s">
        <v>5306</v>
      </c>
      <c r="M1590" s="25"/>
    </row>
    <row r="1591" customHeight="1" spans="1:13">
      <c r="A1591" s="21">
        <v>46174</v>
      </c>
      <c r="B1591" s="22" t="s">
        <v>5487</v>
      </c>
      <c r="C1591" s="23">
        <v>46183</v>
      </c>
      <c r="D1591" s="24">
        <v>230.43</v>
      </c>
      <c r="E1591" s="22" t="s">
        <v>149</v>
      </c>
      <c r="F1591" s="22" t="s">
        <v>5</v>
      </c>
      <c r="G1591" s="22" t="s">
        <v>5318</v>
      </c>
      <c r="H1591" s="22" t="s">
        <v>10</v>
      </c>
      <c r="I1591" s="22" t="s">
        <v>5</v>
      </c>
      <c r="J1591" s="22" t="s">
        <v>5311</v>
      </c>
      <c r="K1591" s="22" t="s">
        <v>5309</v>
      </c>
      <c r="L1591" s="22" t="s">
        <v>5306</v>
      </c>
      <c r="M1591" s="25"/>
    </row>
    <row r="1592" customHeight="1" spans="1:13">
      <c r="A1592" s="21">
        <v>46174</v>
      </c>
      <c r="B1592" s="22" t="s">
        <v>5487</v>
      </c>
      <c r="C1592" s="23">
        <v>46183</v>
      </c>
      <c r="D1592" s="24">
        <v>225.77</v>
      </c>
      <c r="E1592" s="22" t="s">
        <v>149</v>
      </c>
      <c r="F1592" s="22" t="s">
        <v>5</v>
      </c>
      <c r="G1592" s="22" t="s">
        <v>5318</v>
      </c>
      <c r="H1592" s="22" t="s">
        <v>10</v>
      </c>
      <c r="I1592" s="22" t="s">
        <v>5</v>
      </c>
      <c r="J1592" s="22" t="s">
        <v>5311</v>
      </c>
      <c r="K1592" s="22" t="s">
        <v>5309</v>
      </c>
      <c r="L1592" s="22" t="s">
        <v>5306</v>
      </c>
      <c r="M1592" s="25"/>
    </row>
    <row r="1593" customHeight="1" spans="1:13">
      <c r="A1593" s="21">
        <v>46174</v>
      </c>
      <c r="B1593" s="22" t="s">
        <v>5487</v>
      </c>
      <c r="C1593" s="23">
        <v>46183</v>
      </c>
      <c r="D1593" s="24">
        <v>230.43</v>
      </c>
      <c r="E1593" s="22" t="s">
        <v>149</v>
      </c>
      <c r="F1593" s="22" t="s">
        <v>5</v>
      </c>
      <c r="G1593" s="22" t="s">
        <v>5318</v>
      </c>
      <c r="H1593" s="22" t="s">
        <v>10</v>
      </c>
      <c r="I1593" s="22" t="s">
        <v>5</v>
      </c>
      <c r="J1593" s="22" t="s">
        <v>5311</v>
      </c>
      <c r="K1593" s="22" t="s">
        <v>5309</v>
      </c>
      <c r="L1593" s="22" t="s">
        <v>5306</v>
      </c>
      <c r="M1593" s="25"/>
    </row>
    <row r="1594" customHeight="1" spans="1:13">
      <c r="A1594" s="21">
        <v>46174</v>
      </c>
      <c r="B1594" s="22" t="s">
        <v>5487</v>
      </c>
      <c r="C1594" s="23">
        <v>46183</v>
      </c>
      <c r="D1594" s="24">
        <v>226.13</v>
      </c>
      <c r="E1594" s="22" t="s">
        <v>149</v>
      </c>
      <c r="F1594" s="22" t="s">
        <v>5</v>
      </c>
      <c r="G1594" s="22" t="s">
        <v>5322</v>
      </c>
      <c r="H1594" s="22" t="s">
        <v>10</v>
      </c>
      <c r="I1594" s="22" t="s">
        <v>5</v>
      </c>
      <c r="J1594" s="22" t="s">
        <v>5311</v>
      </c>
      <c r="K1594" s="22" t="s">
        <v>5309</v>
      </c>
      <c r="L1594" s="22" t="s">
        <v>5306</v>
      </c>
      <c r="M1594" s="25"/>
    </row>
    <row r="1595" customHeight="1" spans="1:13">
      <c r="A1595" s="21">
        <v>46174</v>
      </c>
      <c r="B1595" s="22" t="s">
        <v>5487</v>
      </c>
      <c r="C1595" s="23">
        <v>46183</v>
      </c>
      <c r="D1595" s="24">
        <v>229.89</v>
      </c>
      <c r="E1595" s="22" t="s">
        <v>149</v>
      </c>
      <c r="F1595" s="22" t="s">
        <v>5</v>
      </c>
      <c r="G1595" s="22" t="s">
        <v>5322</v>
      </c>
      <c r="H1595" s="22" t="s">
        <v>10</v>
      </c>
      <c r="I1595" s="22" t="s">
        <v>5</v>
      </c>
      <c r="J1595" s="22" t="s">
        <v>5311</v>
      </c>
      <c r="K1595" s="22" t="s">
        <v>5309</v>
      </c>
      <c r="L1595" s="22" t="s">
        <v>5306</v>
      </c>
      <c r="M1595" s="25"/>
    </row>
    <row r="1596" customHeight="1" spans="1:13">
      <c r="A1596" s="21">
        <v>46174</v>
      </c>
      <c r="B1596" s="22" t="s">
        <v>5487</v>
      </c>
      <c r="C1596" s="23">
        <v>46183</v>
      </c>
      <c r="D1596" s="24">
        <v>68</v>
      </c>
      <c r="E1596" s="22" t="s">
        <v>149</v>
      </c>
      <c r="F1596" s="22" t="s">
        <v>5</v>
      </c>
      <c r="G1596" s="22" t="s">
        <v>5325</v>
      </c>
      <c r="H1596" s="22" t="s">
        <v>10</v>
      </c>
      <c r="I1596" s="22" t="s">
        <v>5</v>
      </c>
      <c r="J1596" s="22" t="s">
        <v>40</v>
      </c>
      <c r="K1596" s="22" t="s">
        <v>5309</v>
      </c>
      <c r="L1596" s="22" t="s">
        <v>5306</v>
      </c>
      <c r="M1596" s="25"/>
    </row>
    <row r="1597" customHeight="1" spans="1:13">
      <c r="A1597" s="21">
        <v>46174</v>
      </c>
      <c r="B1597" s="22" t="s">
        <v>5487</v>
      </c>
      <c r="C1597" s="23">
        <v>46183</v>
      </c>
      <c r="D1597" s="24">
        <v>55</v>
      </c>
      <c r="E1597" s="22" t="s">
        <v>149</v>
      </c>
      <c r="F1597" s="22" t="s">
        <v>5</v>
      </c>
      <c r="G1597" s="22" t="s">
        <v>5332</v>
      </c>
      <c r="H1597" s="22" t="s">
        <v>10</v>
      </c>
      <c r="I1597" s="22" t="s">
        <v>5</v>
      </c>
      <c r="J1597" s="22" t="s">
        <v>40</v>
      </c>
      <c r="K1597" s="22" t="s">
        <v>5309</v>
      </c>
      <c r="L1597" s="22" t="s">
        <v>5306</v>
      </c>
      <c r="M1597" s="25"/>
    </row>
    <row r="1598" customHeight="1" spans="1:13">
      <c r="A1598" s="21">
        <v>46174</v>
      </c>
      <c r="B1598" s="22" t="s">
        <v>5487</v>
      </c>
      <c r="C1598" s="23">
        <v>46183</v>
      </c>
      <c r="D1598" s="24">
        <v>44</v>
      </c>
      <c r="E1598" s="22" t="s">
        <v>149</v>
      </c>
      <c r="F1598" s="22" t="s">
        <v>5</v>
      </c>
      <c r="G1598" s="22" t="s">
        <v>5335</v>
      </c>
      <c r="H1598" s="22" t="s">
        <v>10</v>
      </c>
      <c r="I1598" s="22" t="s">
        <v>5</v>
      </c>
      <c r="J1598" s="22" t="s">
        <v>40</v>
      </c>
      <c r="K1598" s="22" t="s">
        <v>5309</v>
      </c>
      <c r="L1598" s="22" t="s">
        <v>5306</v>
      </c>
      <c r="M1598" s="25"/>
    </row>
    <row r="1599" customHeight="1" spans="1:13">
      <c r="A1599" s="21">
        <v>46174</v>
      </c>
      <c r="B1599" s="22" t="s">
        <v>5487</v>
      </c>
      <c r="C1599" s="23">
        <v>46183</v>
      </c>
      <c r="D1599" s="24">
        <v>230.43</v>
      </c>
      <c r="E1599" s="22" t="s">
        <v>149</v>
      </c>
      <c r="F1599" s="22" t="s">
        <v>5</v>
      </c>
      <c r="G1599" s="22" t="s">
        <v>5341</v>
      </c>
      <c r="H1599" s="22" t="s">
        <v>10</v>
      </c>
      <c r="I1599" s="22" t="s">
        <v>5</v>
      </c>
      <c r="J1599" s="22" t="s">
        <v>5311</v>
      </c>
      <c r="K1599" s="22" t="s">
        <v>5309</v>
      </c>
      <c r="L1599" s="22" t="s">
        <v>5306</v>
      </c>
      <c r="M1599" s="25"/>
    </row>
    <row r="1600" customHeight="1" spans="1:13">
      <c r="A1600" s="21">
        <v>46174</v>
      </c>
      <c r="B1600" s="22" t="s">
        <v>5487</v>
      </c>
      <c r="C1600" s="23">
        <v>46183</v>
      </c>
      <c r="D1600" s="24">
        <v>230.43</v>
      </c>
      <c r="E1600" s="22" t="s">
        <v>149</v>
      </c>
      <c r="F1600" s="22" t="s">
        <v>5</v>
      </c>
      <c r="G1600" s="22" t="s">
        <v>5343</v>
      </c>
      <c r="H1600" s="22" t="s">
        <v>10</v>
      </c>
      <c r="I1600" s="22" t="s">
        <v>5</v>
      </c>
      <c r="J1600" s="22" t="s">
        <v>5311</v>
      </c>
      <c r="K1600" s="22" t="s">
        <v>5309</v>
      </c>
      <c r="L1600" s="22" t="s">
        <v>5306</v>
      </c>
      <c r="M1600" s="25"/>
    </row>
    <row r="1601" customHeight="1" spans="1:13">
      <c r="A1601" s="21">
        <v>46174</v>
      </c>
      <c r="B1601" s="22" t="s">
        <v>5487</v>
      </c>
      <c r="C1601" s="23">
        <v>46183</v>
      </c>
      <c r="D1601" s="24">
        <v>230.43</v>
      </c>
      <c r="E1601" s="22" t="s">
        <v>149</v>
      </c>
      <c r="F1601" s="22" t="s">
        <v>5</v>
      </c>
      <c r="G1601" s="22" t="s">
        <v>5345</v>
      </c>
      <c r="H1601" s="22" t="s">
        <v>10</v>
      </c>
      <c r="I1601" s="22" t="s">
        <v>5</v>
      </c>
      <c r="J1601" s="22" t="s">
        <v>5311</v>
      </c>
      <c r="K1601" s="22" t="s">
        <v>5309</v>
      </c>
      <c r="L1601" s="22" t="s">
        <v>5306</v>
      </c>
      <c r="M1601" s="25"/>
    </row>
    <row r="1602" customHeight="1" spans="1:13">
      <c r="A1602" s="21">
        <v>46174</v>
      </c>
      <c r="B1602" s="22" t="s">
        <v>5487</v>
      </c>
      <c r="C1602" s="23">
        <v>46183</v>
      </c>
      <c r="D1602" s="24">
        <v>229.89</v>
      </c>
      <c r="E1602" s="22" t="s">
        <v>149</v>
      </c>
      <c r="F1602" s="22" t="s">
        <v>5</v>
      </c>
      <c r="G1602" s="22" t="s">
        <v>5347</v>
      </c>
      <c r="H1602" s="22" t="s">
        <v>10</v>
      </c>
      <c r="I1602" s="22" t="s">
        <v>5</v>
      </c>
      <c r="J1602" s="22" t="s">
        <v>5311</v>
      </c>
      <c r="K1602" s="22" t="s">
        <v>5309</v>
      </c>
      <c r="L1602" s="22" t="s">
        <v>5306</v>
      </c>
      <c r="M1602" s="25"/>
    </row>
    <row r="1603" customHeight="1" spans="1:13">
      <c r="A1603" s="21">
        <v>46174</v>
      </c>
      <c r="B1603" s="22" t="s">
        <v>5487</v>
      </c>
      <c r="C1603" s="23">
        <v>46183</v>
      </c>
      <c r="D1603" s="27">
        <v>18600</v>
      </c>
      <c r="E1603" s="22" t="s">
        <v>173</v>
      </c>
      <c r="F1603" s="22" t="s">
        <v>5</v>
      </c>
      <c r="G1603" s="22" t="s">
        <v>5349</v>
      </c>
      <c r="H1603" s="22" t="s">
        <v>12</v>
      </c>
      <c r="I1603" s="22" t="s">
        <v>5</v>
      </c>
      <c r="J1603" s="22" t="s">
        <v>48</v>
      </c>
      <c r="K1603" s="22" t="s">
        <v>5309</v>
      </c>
      <c r="L1603" s="22" t="s">
        <v>5306</v>
      </c>
      <c r="M1603" s="25"/>
    </row>
    <row r="1604" customHeight="1" spans="1:13">
      <c r="A1604" s="21">
        <v>46174</v>
      </c>
      <c r="B1604" s="22" t="s">
        <v>5487</v>
      </c>
      <c r="C1604" s="23">
        <v>46184</v>
      </c>
      <c r="D1604" s="24">
        <v>700</v>
      </c>
      <c r="E1604" s="22" t="s">
        <v>149</v>
      </c>
      <c r="F1604" s="22" t="s">
        <v>5</v>
      </c>
      <c r="G1604" s="22" t="s">
        <v>5356</v>
      </c>
      <c r="H1604" s="22" t="s">
        <v>11</v>
      </c>
      <c r="I1604" s="22" t="s">
        <v>5</v>
      </c>
      <c r="J1604" s="22" t="s">
        <v>40</v>
      </c>
      <c r="K1604" s="22" t="s">
        <v>5360</v>
      </c>
      <c r="L1604" s="22" t="s">
        <v>5358</v>
      </c>
      <c r="M1604" s="25"/>
    </row>
    <row r="1605" customHeight="1" spans="1:13">
      <c r="A1605" s="21">
        <v>46174</v>
      </c>
      <c r="B1605" s="22" t="s">
        <v>5489</v>
      </c>
      <c r="C1605" s="23">
        <v>46191</v>
      </c>
      <c r="D1605" s="24">
        <v>137</v>
      </c>
      <c r="E1605" s="22" t="s">
        <v>149</v>
      </c>
      <c r="F1605" s="22" t="s">
        <v>5</v>
      </c>
      <c r="G1605" s="22" t="s">
        <v>5362</v>
      </c>
      <c r="H1605" s="22" t="s">
        <v>10</v>
      </c>
      <c r="I1605" s="22" t="s">
        <v>5</v>
      </c>
      <c r="J1605" s="22" t="s">
        <v>5311</v>
      </c>
      <c r="K1605" s="22" t="s">
        <v>1016</v>
      </c>
      <c r="L1605" s="22" t="s">
        <v>5270</v>
      </c>
      <c r="M1605" s="25"/>
    </row>
    <row r="1606" customHeight="1" spans="1:13">
      <c r="A1606" s="21">
        <v>46174</v>
      </c>
      <c r="B1606" s="22" t="s">
        <v>5489</v>
      </c>
      <c r="C1606" s="23">
        <v>46191</v>
      </c>
      <c r="D1606" s="24">
        <v>35.3</v>
      </c>
      <c r="E1606" s="22" t="s">
        <v>149</v>
      </c>
      <c r="F1606" s="22" t="s">
        <v>5</v>
      </c>
      <c r="G1606" s="22" t="s">
        <v>5367</v>
      </c>
      <c r="H1606" s="22" t="s">
        <v>10</v>
      </c>
      <c r="I1606" s="22" t="s">
        <v>5</v>
      </c>
      <c r="J1606" s="22" t="s">
        <v>5311</v>
      </c>
      <c r="K1606" s="22" t="s">
        <v>1016</v>
      </c>
      <c r="L1606" s="22" t="s">
        <v>5270</v>
      </c>
      <c r="M1606" s="25"/>
    </row>
    <row r="1607" customHeight="1" spans="1:13">
      <c r="A1607" s="21">
        <v>46174</v>
      </c>
      <c r="B1607" s="22" t="s">
        <v>5489</v>
      </c>
      <c r="C1607" s="23">
        <v>46198</v>
      </c>
      <c r="D1607" s="24">
        <v>685.89</v>
      </c>
      <c r="E1607" s="22" t="s">
        <v>149</v>
      </c>
      <c r="F1607" s="22" t="s">
        <v>5</v>
      </c>
      <c r="G1607" s="22" t="s">
        <v>5372</v>
      </c>
      <c r="H1607" s="22" t="s">
        <v>10</v>
      </c>
      <c r="I1607" s="22" t="s">
        <v>5</v>
      </c>
      <c r="J1607" s="22" t="s">
        <v>40</v>
      </c>
      <c r="K1607" s="22" t="s">
        <v>5376</v>
      </c>
      <c r="L1607" s="22" t="s">
        <v>5374</v>
      </c>
      <c r="M1607" s="25"/>
    </row>
    <row r="1608" customHeight="1" spans="1:13">
      <c r="A1608" s="21">
        <v>46174</v>
      </c>
      <c r="B1608" s="22" t="s">
        <v>5489</v>
      </c>
      <c r="C1608" s="23">
        <v>46199</v>
      </c>
      <c r="D1608" s="24">
        <v>4200</v>
      </c>
      <c r="E1608" s="22" t="s">
        <v>149</v>
      </c>
      <c r="F1608" s="22" t="s">
        <v>5</v>
      </c>
      <c r="G1608" s="22" t="s">
        <v>5378</v>
      </c>
      <c r="H1608" s="22" t="s">
        <v>10</v>
      </c>
      <c r="I1608" s="22" t="s">
        <v>5</v>
      </c>
      <c r="J1608" s="22" t="s">
        <v>40</v>
      </c>
      <c r="K1608" s="22" t="s">
        <v>5380</v>
      </c>
      <c r="L1608" s="22" t="s">
        <v>5297</v>
      </c>
      <c r="M1608" s="25"/>
    </row>
    <row r="1609" customHeight="1" spans="1:13">
      <c r="A1609" s="21">
        <v>46174</v>
      </c>
      <c r="B1609" s="22" t="s">
        <v>5489</v>
      </c>
      <c r="C1609" s="23">
        <v>46199</v>
      </c>
      <c r="D1609" s="24">
        <v>10</v>
      </c>
      <c r="E1609" s="22" t="s">
        <v>149</v>
      </c>
      <c r="F1609" s="22" t="s">
        <v>5</v>
      </c>
      <c r="G1609" s="22" t="s">
        <v>5381</v>
      </c>
      <c r="H1609" s="22" t="s">
        <v>10</v>
      </c>
      <c r="I1609" s="22" t="s">
        <v>5</v>
      </c>
      <c r="J1609" s="22" t="s">
        <v>40</v>
      </c>
      <c r="K1609" s="22" t="s">
        <v>5380</v>
      </c>
      <c r="L1609" s="22" t="s">
        <v>5297</v>
      </c>
      <c r="M1609" s="25"/>
    </row>
    <row r="1610" customHeight="1" spans="1:13">
      <c r="A1610" s="21">
        <v>46174</v>
      </c>
      <c r="B1610" s="22" t="s">
        <v>5489</v>
      </c>
      <c r="C1610" s="23">
        <v>46202</v>
      </c>
      <c r="D1610" s="27">
        <v>15046</v>
      </c>
      <c r="E1610" s="22" t="s">
        <v>173</v>
      </c>
      <c r="F1610" s="22" t="s">
        <v>5</v>
      </c>
      <c r="G1610" s="22" t="s">
        <v>5383</v>
      </c>
      <c r="H1610" s="22" t="s">
        <v>11</v>
      </c>
      <c r="I1610" s="22" t="s">
        <v>5</v>
      </c>
      <c r="J1610" s="22" t="s">
        <v>48</v>
      </c>
      <c r="K1610" s="22" t="s">
        <v>5387</v>
      </c>
      <c r="L1610" s="22" t="s">
        <v>5385</v>
      </c>
      <c r="M1610" s="25"/>
    </row>
    <row r="1611" customHeight="1" spans="1:13">
      <c r="A1611" s="21">
        <v>46174</v>
      </c>
      <c r="B1611" s="22" t="s">
        <v>5489</v>
      </c>
      <c r="C1611" s="23">
        <v>46203</v>
      </c>
      <c r="D1611" s="27">
        <v>49300</v>
      </c>
      <c r="E1611" s="22" t="s">
        <v>173</v>
      </c>
      <c r="F1611" s="22" t="s">
        <v>5</v>
      </c>
      <c r="G1611" s="22" t="s">
        <v>5390</v>
      </c>
      <c r="H1611" s="22" t="s">
        <v>12</v>
      </c>
      <c r="I1611" s="22" t="s">
        <v>5</v>
      </c>
      <c r="J1611" s="22" t="s">
        <v>48</v>
      </c>
      <c r="K1611" s="22" t="s">
        <v>5392</v>
      </c>
      <c r="L1611" s="22" t="s">
        <v>920</v>
      </c>
      <c r="M1611" s="25"/>
    </row>
    <row r="1612" customHeight="1" spans="1:13">
      <c r="A1612" s="21">
        <v>46204</v>
      </c>
      <c r="B1612" s="22" t="s">
        <v>5491</v>
      </c>
      <c r="C1612" s="23">
        <v>46205</v>
      </c>
      <c r="D1612" s="24">
        <v>344</v>
      </c>
      <c r="E1612" s="22" t="s">
        <v>173</v>
      </c>
      <c r="F1612" s="22" t="s">
        <v>5</v>
      </c>
      <c r="G1612" s="22" t="s">
        <v>5394</v>
      </c>
      <c r="H1612" s="22" t="s">
        <v>11</v>
      </c>
      <c r="I1612" s="22" t="s">
        <v>5</v>
      </c>
      <c r="J1612" s="22" t="s">
        <v>39</v>
      </c>
      <c r="K1612" s="25"/>
      <c r="L1612" s="25"/>
      <c r="M1612" s="25"/>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调单案例库">
    <tabColor rgb="FFFFFFFF"/>
  </sheetPr>
  <dimension ref="A1:M221"/>
  <sheetViews>
    <sheetView workbookViewId="0">
      <selection activeCell="A1" sqref="A1"/>
    </sheetView>
  </sheetViews>
  <sheetFormatPr defaultColWidth="9.81818181818182" defaultRowHeight="16.5"/>
  <cols>
    <col min="1" max="2" width="21.8636363636364" customWidth="1"/>
    <col min="3" max="3" width="20.2090909090909" customWidth="1"/>
    <col min="4" max="4" width="16.8636363636364" style="1" customWidth="1"/>
    <col min="5" max="5" width="20.2090909090909" customWidth="1"/>
    <col min="6" max="6" width="24.7" customWidth="1"/>
    <col min="7" max="7" width="38.5545454545455" customWidth="1"/>
  </cols>
  <sheetData>
    <row r="1" ht="15" spans="1:8">
      <c r="A1" s="2" t="s">
        <v>5681</v>
      </c>
      <c r="B1" s="3" t="s">
        <v>5682</v>
      </c>
      <c r="C1" s="3" t="s">
        <v>5683</v>
      </c>
      <c r="D1" s="4" t="s">
        <v>59</v>
      </c>
      <c r="E1" s="3" t="s">
        <v>4161</v>
      </c>
      <c r="F1" s="3" t="s">
        <v>67</v>
      </c>
      <c r="G1" s="3" t="s">
        <v>5684</v>
      </c>
      <c r="H1" s="5" t="s">
        <v>5685</v>
      </c>
    </row>
    <row r="2" ht="14.5" spans="1:8">
      <c r="A2" s="6" t="s">
        <v>142</v>
      </c>
      <c r="B2" s="7">
        <v>45868</v>
      </c>
      <c r="C2" s="8" t="s">
        <v>5686</v>
      </c>
      <c r="D2" s="6" t="s">
        <v>5458</v>
      </c>
      <c r="E2" s="9" t="s">
        <v>5687</v>
      </c>
      <c r="F2" s="10" t="s">
        <v>5688</v>
      </c>
      <c r="G2" s="10" t="s">
        <v>5689</v>
      </c>
    </row>
    <row r="3" ht="14.5" spans="1:8">
      <c r="A3" s="6"/>
      <c r="B3" s="7"/>
      <c r="C3" s="8"/>
      <c r="D3" s="6"/>
      <c r="E3" s="9"/>
      <c r="F3" s="10"/>
      <c r="G3" s="10" t="s">
        <v>5690</v>
      </c>
    </row>
    <row r="4" ht="14.5" spans="1:8">
      <c r="A4" s="6"/>
      <c r="B4" s="7"/>
      <c r="C4" s="6" t="s">
        <v>5686</v>
      </c>
      <c r="D4" s="6" t="s">
        <v>11</v>
      </c>
      <c r="E4" s="10"/>
      <c r="F4" s="10"/>
      <c r="G4" s="10" t="s">
        <v>5691</v>
      </c>
    </row>
    <row r="5" ht="14" spans="1:8">
      <c r="A5" s="6"/>
      <c r="B5" s="7"/>
      <c r="C5" s="6"/>
      <c r="D5" s="6"/>
      <c r="E5" s="10"/>
      <c r="F5" s="10"/>
      <c r="G5" s="10"/>
    </row>
    <row r="6" ht="14" spans="1:8">
      <c r="A6" s="6"/>
      <c r="B6" s="7"/>
      <c r="C6" s="6"/>
      <c r="D6" s="6"/>
      <c r="E6" s="10"/>
      <c r="F6" s="10"/>
      <c r="G6" s="10"/>
    </row>
    <row r="7" ht="14" spans="1:8">
      <c r="A7" s="6"/>
      <c r="B7" s="7"/>
      <c r="C7" s="6"/>
      <c r="D7" s="6"/>
      <c r="E7" s="10"/>
      <c r="F7" s="10"/>
      <c r="G7" s="10"/>
    </row>
    <row r="8" ht="14" spans="1:8">
      <c r="A8" s="6"/>
      <c r="B8" s="7"/>
      <c r="C8" s="6"/>
      <c r="D8" s="6"/>
      <c r="E8" s="10"/>
      <c r="F8" s="10"/>
      <c r="G8" s="10"/>
    </row>
    <row r="9" ht="14" spans="1:8">
      <c r="A9" s="6"/>
      <c r="B9" s="7"/>
      <c r="C9" s="6"/>
      <c r="D9" s="6"/>
      <c r="E9" s="10"/>
      <c r="F9" s="10"/>
      <c r="G9" s="10"/>
    </row>
    <row r="10" ht="14" spans="1:8">
      <c r="A10" s="6"/>
      <c r="B10" s="7"/>
      <c r="C10" s="6"/>
      <c r="D10" s="6"/>
      <c r="E10" s="10"/>
      <c r="F10" s="10"/>
      <c r="G10" s="10"/>
    </row>
    <row r="11" ht="14" spans="1:8">
      <c r="A11" s="6"/>
      <c r="B11" s="7"/>
      <c r="C11" s="6"/>
      <c r="D11" s="6"/>
      <c r="E11" s="10"/>
      <c r="F11" s="10"/>
      <c r="G11" s="10"/>
    </row>
    <row r="12" ht="14" spans="1:8">
      <c r="A12" s="6"/>
      <c r="B12" s="7"/>
      <c r="C12" s="6"/>
      <c r="D12" s="6"/>
      <c r="E12" s="10"/>
      <c r="F12" s="10"/>
      <c r="G12" s="10"/>
    </row>
    <row r="13" ht="14" spans="1:8">
      <c r="A13" s="6"/>
      <c r="B13" s="7"/>
      <c r="C13" s="6"/>
      <c r="D13" s="6"/>
      <c r="E13" s="10"/>
      <c r="F13" s="10"/>
      <c r="G13" s="10"/>
    </row>
    <row r="14" ht="14" spans="1:8">
      <c r="A14" s="6"/>
      <c r="B14" s="7"/>
      <c r="C14" s="6"/>
      <c r="D14" s="6"/>
      <c r="E14" s="10"/>
      <c r="F14" s="10"/>
      <c r="G14" s="10"/>
    </row>
    <row r="15" ht="14" spans="1:8">
      <c r="A15" s="6"/>
      <c r="B15" s="7"/>
      <c r="C15" s="6"/>
      <c r="D15" s="6"/>
      <c r="E15" s="10"/>
      <c r="F15" s="10"/>
      <c r="G15" s="10"/>
    </row>
    <row r="16" ht="14" spans="1:8">
      <c r="A16" s="6"/>
      <c r="B16" s="7"/>
      <c r="C16" s="6"/>
      <c r="D16" s="6"/>
      <c r="E16" s="10"/>
      <c r="F16" s="10"/>
      <c r="G16" s="10"/>
    </row>
    <row r="17" ht="14" spans="1:7">
      <c r="A17" s="6"/>
      <c r="B17" s="7"/>
      <c r="C17" s="6"/>
      <c r="D17" s="6"/>
      <c r="E17" s="10"/>
      <c r="F17" s="10"/>
      <c r="G17" s="10"/>
    </row>
    <row r="18" ht="14" spans="1:7">
      <c r="A18" s="6"/>
      <c r="B18" s="7"/>
      <c r="C18" s="6"/>
      <c r="D18" s="6"/>
      <c r="E18" s="10"/>
      <c r="F18" s="10"/>
      <c r="G18" s="10"/>
    </row>
    <row r="19" ht="14" spans="1:7">
      <c r="A19" s="6"/>
      <c r="B19" s="7"/>
      <c r="C19" s="6"/>
      <c r="D19" s="6"/>
      <c r="E19" s="10"/>
      <c r="F19" s="10"/>
      <c r="G19" s="10"/>
    </row>
    <row r="20" ht="14" spans="1:7">
      <c r="A20" s="6"/>
      <c r="B20" s="7"/>
      <c r="C20" s="6"/>
      <c r="D20" s="6"/>
      <c r="E20" s="10"/>
      <c r="F20" s="10"/>
      <c r="G20" s="10"/>
    </row>
    <row r="21" ht="14" spans="1:7">
      <c r="A21" s="6"/>
      <c r="B21" s="7"/>
      <c r="C21" s="6"/>
      <c r="D21" s="6"/>
      <c r="E21" s="10"/>
      <c r="F21" s="10"/>
      <c r="G21" s="10"/>
    </row>
    <row r="22" ht="14" spans="1:7">
      <c r="A22" s="6"/>
      <c r="B22" s="7"/>
      <c r="C22" s="6"/>
      <c r="D22" s="6"/>
      <c r="E22" s="10"/>
      <c r="F22" s="10"/>
      <c r="G22" s="10"/>
    </row>
    <row r="23" ht="14" spans="1:7">
      <c r="A23" s="6"/>
      <c r="B23" s="7"/>
      <c r="C23" s="6"/>
      <c r="D23" s="6"/>
      <c r="E23" s="10"/>
      <c r="F23" s="10"/>
      <c r="G23" s="10"/>
    </row>
    <row r="24" ht="14" spans="1:7">
      <c r="A24" s="6"/>
      <c r="B24" s="7"/>
      <c r="C24" s="6"/>
      <c r="D24" s="6"/>
      <c r="E24" s="10"/>
      <c r="F24" s="10"/>
      <c r="G24" s="10"/>
    </row>
    <row r="25" ht="14" spans="1:7">
      <c r="A25" s="6"/>
      <c r="B25" s="7"/>
      <c r="C25" s="6"/>
      <c r="D25" s="6"/>
      <c r="E25" s="10"/>
      <c r="F25" s="10"/>
      <c r="G25" s="10"/>
    </row>
    <row r="26" ht="14" spans="1:7">
      <c r="A26" s="6"/>
      <c r="B26" s="7"/>
      <c r="C26" s="6"/>
      <c r="D26" s="6"/>
      <c r="E26" s="10"/>
      <c r="F26" s="10"/>
      <c r="G26" s="10"/>
    </row>
    <row r="27" ht="14" spans="1:7">
      <c r="A27" s="6"/>
      <c r="B27" s="7"/>
      <c r="C27" s="6"/>
      <c r="D27" s="6"/>
      <c r="E27" s="10"/>
      <c r="F27" s="10"/>
      <c r="G27" s="10"/>
    </row>
    <row r="28" ht="14" spans="1:7">
      <c r="A28" s="6"/>
      <c r="B28" s="7"/>
      <c r="C28" s="6"/>
      <c r="D28" s="6"/>
      <c r="E28" s="10"/>
      <c r="F28" s="10"/>
      <c r="G28" s="10"/>
    </row>
    <row r="29" ht="14" spans="1:7">
      <c r="A29" s="6"/>
      <c r="B29" s="7"/>
      <c r="C29" s="6"/>
      <c r="D29" s="6"/>
      <c r="E29" s="10"/>
      <c r="F29" s="10"/>
      <c r="G29" s="10"/>
    </row>
    <row r="30" ht="14" spans="1:7">
      <c r="A30" s="6"/>
      <c r="B30" s="7"/>
      <c r="C30" s="6"/>
      <c r="D30" s="6"/>
      <c r="E30" s="10"/>
      <c r="F30" s="10"/>
      <c r="G30" s="10"/>
    </row>
    <row r="31" ht="14" spans="1:7">
      <c r="A31" s="6"/>
      <c r="B31" s="7"/>
      <c r="C31" s="6"/>
      <c r="D31" s="6"/>
      <c r="E31" s="10"/>
      <c r="F31" s="10"/>
      <c r="G31" s="10"/>
    </row>
    <row r="32" ht="14" spans="1:7">
      <c r="A32" s="6"/>
      <c r="B32" s="7"/>
      <c r="C32" s="6"/>
      <c r="D32" s="6"/>
      <c r="E32" s="10"/>
      <c r="F32" s="10"/>
      <c r="G32" s="10"/>
    </row>
    <row r="33" ht="14" spans="1:7">
      <c r="A33" s="6"/>
      <c r="B33" s="7"/>
      <c r="C33" s="6"/>
      <c r="D33" s="6"/>
      <c r="E33" s="10"/>
      <c r="F33" s="10"/>
      <c r="G33" s="10"/>
    </row>
    <row r="34" ht="14" spans="1:7">
      <c r="A34" s="6"/>
      <c r="B34" s="7"/>
      <c r="C34" s="6"/>
      <c r="D34" s="6"/>
      <c r="E34" s="10"/>
      <c r="F34" s="10"/>
      <c r="G34" s="10"/>
    </row>
    <row r="35" ht="14" spans="1:7">
      <c r="A35" s="6"/>
      <c r="B35" s="7"/>
      <c r="C35" s="6"/>
      <c r="D35" s="6"/>
      <c r="E35" s="10"/>
      <c r="F35" s="10"/>
      <c r="G35" s="10"/>
    </row>
    <row r="36" ht="14" spans="1:7">
      <c r="A36" s="6"/>
      <c r="B36" s="7"/>
      <c r="C36" s="6"/>
      <c r="D36" s="6"/>
      <c r="E36" s="10"/>
      <c r="F36" s="10"/>
      <c r="G36" s="10"/>
    </row>
    <row r="37" ht="14" spans="1:7">
      <c r="A37" s="6"/>
      <c r="B37" s="7"/>
      <c r="C37" s="6"/>
      <c r="D37" s="6"/>
      <c r="E37" s="10"/>
      <c r="F37" s="10"/>
      <c r="G37" s="10"/>
    </row>
    <row r="38" ht="14" spans="1:7">
      <c r="A38" s="6"/>
      <c r="B38" s="7"/>
      <c r="C38" s="6"/>
      <c r="D38" s="6"/>
      <c r="E38" s="10"/>
      <c r="F38" s="10"/>
      <c r="G38" s="10"/>
    </row>
    <row r="39" ht="14" spans="1:7">
      <c r="A39" s="6"/>
      <c r="B39" s="7"/>
      <c r="C39" s="6"/>
      <c r="D39" s="6"/>
      <c r="E39" s="10"/>
      <c r="F39" s="10"/>
      <c r="G39" s="10"/>
    </row>
    <row r="40" ht="14" spans="1:7">
      <c r="A40" s="6"/>
      <c r="B40" s="7"/>
      <c r="C40" s="6"/>
      <c r="D40" s="6"/>
      <c r="E40" s="10"/>
      <c r="F40" s="10"/>
      <c r="G40" s="10"/>
    </row>
    <row r="41" ht="14" spans="1:7">
      <c r="A41" s="6"/>
      <c r="B41" s="7"/>
      <c r="C41" s="6"/>
      <c r="D41" s="6"/>
      <c r="E41" s="10"/>
      <c r="F41" s="10"/>
      <c r="G41" s="10"/>
    </row>
    <row r="42" ht="14" spans="1:7">
      <c r="A42" s="6"/>
      <c r="B42" s="7"/>
      <c r="C42" s="6"/>
      <c r="D42" s="6"/>
      <c r="E42" s="10"/>
      <c r="F42" s="10"/>
      <c r="G42" s="10"/>
    </row>
    <row r="43" ht="14" spans="1:7">
      <c r="A43" s="6"/>
      <c r="B43" s="7"/>
      <c r="C43" s="6"/>
      <c r="D43" s="6"/>
      <c r="E43" s="10"/>
      <c r="F43" s="10"/>
      <c r="G43" s="10"/>
    </row>
    <row r="44" ht="14" spans="1:7">
      <c r="A44" s="6"/>
      <c r="B44" s="7"/>
      <c r="C44" s="6"/>
      <c r="D44" s="6"/>
      <c r="E44" s="10"/>
      <c r="F44" s="10"/>
      <c r="G44" s="10"/>
    </row>
    <row r="45" ht="14" spans="1:7">
      <c r="A45" s="6"/>
      <c r="B45" s="7"/>
      <c r="C45" s="6"/>
      <c r="D45" s="6"/>
      <c r="E45" s="10"/>
      <c r="F45" s="10"/>
      <c r="G45" s="10"/>
    </row>
    <row r="46" ht="14" spans="1:7">
      <c r="A46" s="6"/>
      <c r="B46" s="10"/>
      <c r="C46" s="6"/>
      <c r="D46" s="6"/>
      <c r="E46" s="10"/>
      <c r="F46" s="10"/>
      <c r="G46" s="10"/>
    </row>
    <row r="47" ht="14" spans="1:7">
      <c r="A47" s="6"/>
      <c r="B47" s="10"/>
      <c r="C47" s="6"/>
      <c r="D47" s="6"/>
      <c r="E47" s="10"/>
      <c r="F47" s="10"/>
      <c r="G47" s="10"/>
    </row>
    <row r="48" ht="14" spans="1:7">
      <c r="A48" s="6"/>
      <c r="B48" s="10"/>
      <c r="C48" s="6"/>
      <c r="D48" s="6"/>
      <c r="E48" s="10"/>
      <c r="F48" s="10"/>
      <c r="G48" s="10"/>
    </row>
    <row r="49" ht="14" spans="1:7">
      <c r="A49" s="6"/>
      <c r="B49" s="10"/>
      <c r="C49" s="6"/>
      <c r="D49" s="6"/>
      <c r="E49" s="10"/>
      <c r="F49" s="10"/>
      <c r="G49" s="10"/>
    </row>
    <row r="50" ht="14" spans="1:7">
      <c r="A50" s="6"/>
      <c r="B50" s="10"/>
      <c r="C50" s="6"/>
      <c r="D50" s="6"/>
      <c r="E50" s="10"/>
      <c r="F50" s="10"/>
      <c r="G50" s="10"/>
    </row>
    <row r="51" ht="14" spans="1:7">
      <c r="A51" s="6"/>
      <c r="B51" s="10"/>
      <c r="C51" s="6"/>
      <c r="D51" s="6"/>
      <c r="E51" s="10"/>
      <c r="F51" s="10"/>
      <c r="G51" s="10"/>
    </row>
    <row r="52" ht="14" spans="1:7">
      <c r="A52" s="6"/>
      <c r="B52" s="10"/>
      <c r="C52" s="6"/>
      <c r="D52" s="6"/>
      <c r="E52" s="10"/>
      <c r="F52" s="10"/>
      <c r="G52" s="10"/>
    </row>
    <row r="53" ht="14" spans="1:7">
      <c r="A53" s="6"/>
      <c r="B53" s="10"/>
      <c r="C53" s="6"/>
      <c r="D53" s="6"/>
      <c r="E53" s="10"/>
      <c r="F53" s="10"/>
      <c r="G53" s="10"/>
    </row>
    <row r="54" ht="14" spans="1:7">
      <c r="A54" s="6"/>
      <c r="B54" s="10"/>
      <c r="C54" s="6"/>
      <c r="D54" s="6"/>
      <c r="E54" s="10"/>
      <c r="F54" s="10"/>
      <c r="G54" s="10"/>
    </row>
    <row r="55" ht="14" spans="1:7">
      <c r="A55" s="6"/>
      <c r="B55" s="10"/>
      <c r="C55" s="6"/>
      <c r="D55" s="6"/>
      <c r="E55" s="10"/>
      <c r="F55" s="10"/>
      <c r="G55" s="10"/>
    </row>
    <row r="56" ht="14" spans="1:7">
      <c r="A56" s="6"/>
      <c r="B56" s="10"/>
      <c r="C56" s="6"/>
      <c r="D56" s="6"/>
      <c r="E56" s="10"/>
      <c r="F56" s="10"/>
      <c r="G56" s="10"/>
    </row>
    <row r="57" ht="14" spans="1:7">
      <c r="A57" s="6"/>
      <c r="B57" s="10"/>
      <c r="C57" s="6"/>
      <c r="D57" s="6"/>
      <c r="E57" s="10"/>
      <c r="F57" s="10"/>
      <c r="G57" s="10"/>
    </row>
    <row r="58" ht="14" spans="1:7">
      <c r="A58" s="6"/>
      <c r="B58" s="10"/>
      <c r="C58" s="6"/>
      <c r="D58" s="6"/>
      <c r="E58" s="10"/>
      <c r="F58" s="10"/>
      <c r="G58" s="10"/>
    </row>
    <row r="59" ht="14" spans="1:7">
      <c r="A59" s="6"/>
      <c r="B59" s="10"/>
      <c r="C59" s="6"/>
      <c r="D59" s="6"/>
      <c r="E59" s="10"/>
      <c r="F59" s="10"/>
      <c r="G59" s="10"/>
    </row>
    <row r="60" ht="14" spans="1:7">
      <c r="A60" s="6"/>
      <c r="B60" s="10"/>
      <c r="C60" s="6"/>
      <c r="D60" s="6"/>
      <c r="E60" s="10"/>
      <c r="F60" s="10"/>
      <c r="G60" s="10"/>
    </row>
    <row r="61" ht="14" spans="1:7">
      <c r="A61" s="6"/>
      <c r="B61" s="10"/>
      <c r="C61" s="6"/>
      <c r="D61" s="6"/>
      <c r="E61" s="10"/>
      <c r="F61" s="10"/>
      <c r="G61" s="10"/>
    </row>
    <row r="62" ht="14" spans="1:7">
      <c r="A62" s="6"/>
      <c r="B62" s="10"/>
      <c r="C62" s="6"/>
      <c r="D62" s="6"/>
      <c r="E62" s="10"/>
      <c r="F62" s="10"/>
      <c r="G62" s="10"/>
    </row>
    <row r="63" ht="14" spans="1:7">
      <c r="A63" s="6"/>
      <c r="B63" s="10"/>
      <c r="C63" s="6"/>
      <c r="D63" s="6"/>
      <c r="E63" s="10"/>
      <c r="F63" s="10"/>
      <c r="G63" s="10"/>
    </row>
    <row r="64" ht="14" spans="1:7">
      <c r="A64" s="6"/>
      <c r="B64" s="10"/>
      <c r="C64" s="6"/>
      <c r="D64" s="6"/>
      <c r="E64" s="10"/>
      <c r="F64" s="10"/>
      <c r="G64" s="10"/>
    </row>
    <row r="65" ht="14" spans="1:7">
      <c r="A65" s="6"/>
      <c r="B65" s="10"/>
      <c r="C65" s="6"/>
      <c r="D65" s="6"/>
      <c r="E65" s="10"/>
      <c r="F65" s="10"/>
      <c r="G65" s="10"/>
    </row>
    <row r="66" ht="14" spans="1:7">
      <c r="A66" s="6"/>
      <c r="B66" s="10"/>
      <c r="C66" s="6"/>
      <c r="D66" s="6"/>
      <c r="E66" s="10"/>
      <c r="F66" s="10"/>
      <c r="G66" s="10"/>
    </row>
    <row r="67" ht="14" spans="1:7">
      <c r="A67" s="6"/>
      <c r="B67" s="10"/>
      <c r="C67" s="6"/>
      <c r="D67" s="6"/>
      <c r="E67" s="10"/>
      <c r="F67" s="10"/>
      <c r="G67" s="10"/>
    </row>
    <row r="68" ht="14" spans="1:7">
      <c r="A68" s="6"/>
      <c r="B68" s="10"/>
      <c r="C68" s="6"/>
      <c r="D68" s="6"/>
      <c r="E68" s="10"/>
      <c r="F68" s="10"/>
      <c r="G68" s="10"/>
    </row>
    <row r="69" ht="14" spans="1:7">
      <c r="A69" s="6"/>
      <c r="B69" s="10"/>
      <c r="C69" s="6"/>
      <c r="D69" s="6"/>
      <c r="E69" s="10"/>
      <c r="F69" s="10"/>
      <c r="G69" s="10"/>
    </row>
    <row r="70" ht="14" spans="1:7">
      <c r="A70" s="6"/>
      <c r="B70" s="10"/>
      <c r="C70" s="6"/>
      <c r="D70" s="6"/>
      <c r="E70" s="10"/>
      <c r="F70" s="10"/>
      <c r="G70" s="10"/>
    </row>
    <row r="71" ht="14" spans="1:7">
      <c r="A71" s="6"/>
      <c r="B71" s="10"/>
      <c r="C71" s="6"/>
      <c r="D71" s="6"/>
      <c r="E71" s="10"/>
      <c r="F71" s="10"/>
      <c r="G71" s="10"/>
    </row>
    <row r="72" ht="14" spans="1:7">
      <c r="A72" s="6"/>
      <c r="B72" s="10"/>
      <c r="C72" s="6"/>
      <c r="D72" s="11"/>
      <c r="E72" s="10"/>
      <c r="F72" s="10"/>
      <c r="G72" s="10"/>
    </row>
    <row r="73" ht="14" spans="1:7">
      <c r="A73" s="6"/>
      <c r="B73" s="10"/>
      <c r="C73" s="6"/>
      <c r="D73" s="12"/>
      <c r="E73" s="10"/>
      <c r="F73" s="10"/>
      <c r="G73" s="10"/>
    </row>
    <row r="74" ht="14" spans="1:7">
      <c r="A74" s="6"/>
      <c r="B74" s="10"/>
      <c r="C74" s="6"/>
      <c r="D74" s="12"/>
      <c r="E74" s="10"/>
      <c r="F74" s="10"/>
      <c r="G74" s="10"/>
    </row>
    <row r="75" ht="14" spans="1:7">
      <c r="A75" s="6"/>
      <c r="B75" s="10"/>
      <c r="C75" s="6"/>
      <c r="D75" s="12"/>
      <c r="E75" s="10"/>
      <c r="F75" s="10"/>
      <c r="G75" s="10"/>
    </row>
    <row r="76" ht="14" spans="1:7">
      <c r="A76" s="6"/>
      <c r="B76" s="10"/>
      <c r="C76" s="6"/>
      <c r="D76" s="13"/>
      <c r="E76" s="10"/>
      <c r="F76" s="10"/>
      <c r="G76" s="10"/>
    </row>
    <row r="77" ht="14" spans="1:7">
      <c r="A77" s="6"/>
      <c r="B77" s="10"/>
      <c r="C77" s="6"/>
      <c r="D77" s="6"/>
      <c r="E77" s="10"/>
      <c r="F77" s="10"/>
      <c r="G77" s="10"/>
    </row>
    <row r="78" ht="14" spans="1:7">
      <c r="A78" s="6"/>
      <c r="B78" s="10"/>
      <c r="C78" s="6"/>
      <c r="D78" s="6"/>
      <c r="E78" s="10"/>
      <c r="F78" s="10"/>
      <c r="G78" s="10"/>
    </row>
    <row r="79" ht="14" spans="1:7">
      <c r="A79" s="6"/>
      <c r="B79" s="10"/>
      <c r="C79" s="6"/>
      <c r="D79" s="6"/>
      <c r="E79" s="10"/>
      <c r="F79" s="10"/>
      <c r="G79" s="10"/>
    </row>
    <row r="80" ht="14" spans="1:7">
      <c r="A80" s="6"/>
      <c r="B80" s="10"/>
      <c r="C80" s="6"/>
      <c r="D80" s="6"/>
      <c r="E80" s="10"/>
      <c r="F80" s="10"/>
      <c r="G80" s="10"/>
    </row>
    <row r="81" ht="14" spans="1:7">
      <c r="A81" s="6"/>
      <c r="B81" s="10"/>
      <c r="C81" s="6"/>
      <c r="D81" s="6"/>
      <c r="E81" s="10"/>
      <c r="F81" s="10"/>
      <c r="G81" s="10"/>
    </row>
    <row r="82" ht="14" spans="1:7">
      <c r="A82" s="6"/>
      <c r="B82" s="10"/>
      <c r="C82" s="6"/>
      <c r="D82" s="6"/>
      <c r="E82" s="10"/>
      <c r="F82" s="10"/>
      <c r="G82" s="10"/>
    </row>
    <row r="83" ht="14" spans="1:7">
      <c r="A83" s="6"/>
      <c r="B83" s="10"/>
      <c r="C83" s="6"/>
      <c r="D83" s="6"/>
      <c r="E83" s="10"/>
      <c r="F83" s="10"/>
      <c r="G83" s="10"/>
    </row>
    <row r="84" ht="14" spans="1:7">
      <c r="A84" s="6"/>
      <c r="B84" s="10"/>
      <c r="C84" s="6"/>
      <c r="D84" s="6"/>
      <c r="E84" s="10"/>
      <c r="F84" s="10"/>
      <c r="G84" s="10"/>
    </row>
    <row r="85" ht="14" spans="1:7">
      <c r="A85" s="6"/>
      <c r="B85" s="10"/>
      <c r="C85" s="6"/>
      <c r="D85" s="6"/>
      <c r="E85" s="10"/>
      <c r="F85" s="10"/>
      <c r="G85" s="10"/>
    </row>
    <row r="86" ht="14" spans="1:7">
      <c r="A86" s="6"/>
      <c r="B86" s="10"/>
      <c r="C86" s="6"/>
      <c r="D86" s="6"/>
      <c r="E86" s="10"/>
      <c r="F86" s="10"/>
      <c r="G86" s="10"/>
    </row>
    <row r="87" ht="14" spans="1:7">
      <c r="A87" s="6"/>
      <c r="B87" s="10"/>
      <c r="C87" s="6"/>
      <c r="D87" s="6"/>
      <c r="E87" s="10"/>
      <c r="F87" s="10"/>
      <c r="G87" s="10"/>
    </row>
    <row r="88" ht="14" spans="1:7">
      <c r="A88" s="6"/>
      <c r="B88" s="10"/>
      <c r="C88" s="6"/>
      <c r="D88" s="6"/>
      <c r="E88" s="10"/>
      <c r="F88" s="10"/>
      <c r="G88" s="10"/>
    </row>
    <row r="89" ht="14" spans="1:7">
      <c r="A89" s="6"/>
      <c r="B89" s="10"/>
      <c r="C89" s="6"/>
      <c r="D89" s="6"/>
      <c r="E89" s="10"/>
      <c r="F89" s="10"/>
      <c r="G89" s="10"/>
    </row>
    <row r="90" ht="14" spans="1:7">
      <c r="A90" s="6"/>
      <c r="B90" s="10"/>
      <c r="C90" s="6"/>
      <c r="D90" s="6"/>
      <c r="E90" s="10"/>
      <c r="F90" s="10"/>
      <c r="G90" s="10"/>
    </row>
    <row r="91" ht="14" spans="1:7">
      <c r="A91" s="6"/>
      <c r="B91" s="10"/>
      <c r="C91" s="6"/>
      <c r="D91" s="6"/>
      <c r="E91" s="10"/>
      <c r="F91" s="10"/>
      <c r="G91" s="10"/>
    </row>
    <row r="92" ht="14" spans="1:7">
      <c r="A92" s="6"/>
      <c r="B92" s="10"/>
      <c r="C92" s="6"/>
      <c r="D92" s="6"/>
      <c r="E92" s="10"/>
      <c r="F92" s="10"/>
      <c r="G92" s="10"/>
    </row>
    <row r="93" ht="14" spans="1:7">
      <c r="A93" s="6"/>
      <c r="B93" s="10"/>
      <c r="C93" s="6"/>
      <c r="D93" s="6"/>
      <c r="E93" s="10"/>
      <c r="F93" s="10"/>
      <c r="G93" s="10"/>
    </row>
    <row r="94" ht="14" spans="1:7">
      <c r="A94" s="6"/>
      <c r="B94" s="10"/>
      <c r="C94" s="6"/>
      <c r="D94" s="6"/>
      <c r="E94" s="10"/>
      <c r="F94" s="10"/>
      <c r="G94" s="10"/>
    </row>
    <row r="95" ht="14" spans="1:7">
      <c r="A95" s="6"/>
      <c r="B95" s="10"/>
      <c r="C95" s="6"/>
      <c r="D95" s="6"/>
      <c r="E95" s="10"/>
      <c r="F95" s="10"/>
      <c r="G95" s="10"/>
    </row>
    <row r="96" ht="14" spans="1:7">
      <c r="A96" s="6"/>
      <c r="B96" s="10"/>
      <c r="C96" s="6"/>
      <c r="D96" s="6"/>
      <c r="E96" s="10"/>
      <c r="F96" s="10"/>
      <c r="G96" s="10"/>
    </row>
    <row r="97" ht="14" spans="1:7">
      <c r="A97" s="6"/>
      <c r="B97" s="10"/>
      <c r="C97" s="6"/>
      <c r="D97" s="6"/>
      <c r="E97" s="10"/>
      <c r="F97" s="10"/>
      <c r="G97" s="10"/>
    </row>
    <row r="98" ht="14" spans="1:7">
      <c r="A98" s="6"/>
      <c r="B98" s="10"/>
      <c r="C98" s="6"/>
      <c r="D98" s="6"/>
      <c r="E98" s="10"/>
      <c r="F98" s="10"/>
      <c r="G98" s="10"/>
    </row>
    <row r="99" ht="14" spans="1:7">
      <c r="A99" s="6"/>
      <c r="B99" s="10"/>
      <c r="C99" s="6"/>
      <c r="D99" s="6"/>
      <c r="E99" s="10"/>
      <c r="F99" s="10"/>
      <c r="G99" s="10"/>
    </row>
    <row r="100" ht="14" spans="1:7">
      <c r="A100" s="6"/>
      <c r="B100" s="10"/>
      <c r="C100" s="6"/>
      <c r="D100" s="6"/>
      <c r="E100" s="10"/>
      <c r="F100" s="10"/>
      <c r="G100" s="10"/>
    </row>
    <row r="101" ht="14" spans="1:7">
      <c r="A101" s="6"/>
      <c r="B101" s="10"/>
      <c r="C101" s="6"/>
      <c r="D101" s="6"/>
      <c r="E101" s="10"/>
      <c r="F101" s="10"/>
      <c r="G101" s="10"/>
    </row>
    <row r="102" ht="14" spans="1:7">
      <c r="A102" s="6"/>
      <c r="B102" s="10"/>
      <c r="C102" s="6"/>
      <c r="D102" s="6"/>
      <c r="E102" s="10"/>
      <c r="F102" s="10"/>
      <c r="G102" s="10"/>
    </row>
    <row r="103" ht="14" spans="1:7">
      <c r="A103" s="6"/>
      <c r="B103" s="10"/>
      <c r="C103" s="6"/>
      <c r="D103" s="6"/>
      <c r="E103" s="10"/>
      <c r="F103" s="10"/>
      <c r="G103" s="10"/>
    </row>
    <row r="104" ht="14" spans="1:7">
      <c r="A104" s="6"/>
      <c r="B104" s="10"/>
      <c r="C104" s="6"/>
      <c r="D104" s="6"/>
      <c r="E104" s="10"/>
      <c r="F104" s="10"/>
      <c r="G104" s="10"/>
    </row>
    <row r="105" ht="14" spans="1:7">
      <c r="A105" s="6"/>
      <c r="B105" s="10"/>
      <c r="C105" s="6"/>
      <c r="D105" s="6"/>
      <c r="E105" s="10"/>
      <c r="F105" s="10"/>
      <c r="G105" s="10"/>
    </row>
    <row r="106" ht="14" spans="1:7">
      <c r="A106" s="6"/>
      <c r="B106" s="10"/>
      <c r="C106" s="6"/>
      <c r="D106" s="6"/>
      <c r="E106" s="10"/>
      <c r="F106" s="10"/>
      <c r="G106" s="10"/>
    </row>
    <row r="107" ht="14" spans="1:7">
      <c r="A107" s="6"/>
      <c r="B107" s="10"/>
      <c r="C107" s="6"/>
      <c r="D107" s="6"/>
      <c r="E107" s="10"/>
      <c r="F107" s="10"/>
      <c r="G107" s="10"/>
    </row>
    <row r="108" ht="14" spans="1:7">
      <c r="A108" s="6"/>
      <c r="B108" s="10"/>
      <c r="C108" s="6"/>
      <c r="D108" s="6"/>
      <c r="E108" s="10"/>
      <c r="F108" s="10"/>
      <c r="G108" s="10"/>
    </row>
    <row r="109" ht="14" spans="1:7">
      <c r="A109" s="6"/>
      <c r="B109" s="10"/>
      <c r="C109" s="6"/>
      <c r="D109" s="6"/>
      <c r="E109" s="10"/>
      <c r="F109" s="10"/>
      <c r="G109" s="10"/>
    </row>
    <row r="110" ht="14" spans="1:7">
      <c r="A110" s="6"/>
      <c r="B110" s="10"/>
      <c r="C110" s="6"/>
      <c r="D110" s="6"/>
      <c r="E110" s="10"/>
      <c r="F110" s="10"/>
      <c r="G110" s="10"/>
    </row>
    <row r="111" ht="14" spans="1:7">
      <c r="A111" s="6"/>
      <c r="B111" s="10"/>
      <c r="C111" s="6"/>
      <c r="D111" s="11"/>
      <c r="E111" s="10"/>
      <c r="F111" s="10"/>
      <c r="G111" s="10"/>
    </row>
    <row r="112" ht="14" spans="1:7">
      <c r="A112" s="6"/>
      <c r="B112" s="10"/>
      <c r="C112" s="6"/>
      <c r="D112" s="12"/>
      <c r="E112" s="10"/>
      <c r="F112" s="10"/>
      <c r="G112" s="10"/>
    </row>
    <row r="113" ht="14" spans="1:7">
      <c r="A113" s="6"/>
      <c r="B113" s="10"/>
      <c r="C113" s="6"/>
      <c r="D113" s="12"/>
      <c r="E113" s="10"/>
      <c r="F113" s="10"/>
      <c r="G113" s="10"/>
    </row>
    <row r="114" ht="14" spans="1:7">
      <c r="A114" s="6"/>
      <c r="B114" s="10"/>
      <c r="C114" s="6"/>
      <c r="D114" s="12"/>
      <c r="E114" s="10"/>
      <c r="F114" s="10"/>
      <c r="G114" s="10"/>
    </row>
    <row r="115" ht="14" spans="1:7">
      <c r="A115" s="6"/>
      <c r="B115" s="10"/>
      <c r="C115" s="6"/>
      <c r="D115" s="12"/>
      <c r="E115" s="10"/>
      <c r="F115" s="10"/>
      <c r="G115" s="10"/>
    </row>
    <row r="116" ht="14" spans="1:7">
      <c r="A116" s="6"/>
      <c r="B116" s="10"/>
      <c r="C116" s="6"/>
      <c r="D116" s="12"/>
      <c r="E116" s="10"/>
      <c r="F116" s="10"/>
      <c r="G116" s="10"/>
    </row>
    <row r="117" ht="14" spans="1:7">
      <c r="A117" s="6"/>
      <c r="B117" s="10"/>
      <c r="C117" s="6"/>
      <c r="D117" s="12"/>
      <c r="E117" s="10"/>
      <c r="F117" s="10"/>
      <c r="G117" s="10"/>
    </row>
    <row r="118" ht="14" spans="1:7">
      <c r="A118" s="6"/>
      <c r="B118" s="10"/>
      <c r="C118" s="6"/>
      <c r="D118" s="13"/>
      <c r="E118" s="10"/>
      <c r="F118" s="10"/>
      <c r="G118" s="10"/>
    </row>
    <row r="119" ht="14" spans="1:7">
      <c r="A119" s="6"/>
      <c r="B119" s="10"/>
      <c r="C119" s="6"/>
      <c r="D119" s="6"/>
      <c r="E119" s="10"/>
      <c r="F119" s="10"/>
      <c r="G119" s="10"/>
    </row>
    <row r="120" ht="14" spans="1:7">
      <c r="A120" s="6"/>
      <c r="B120" s="10"/>
      <c r="C120" s="6"/>
      <c r="D120" s="6"/>
      <c r="E120" s="10"/>
      <c r="F120" s="10"/>
      <c r="G120" s="10"/>
    </row>
    <row r="121" ht="14" spans="1:7">
      <c r="A121" s="6"/>
      <c r="B121" s="10"/>
      <c r="C121" s="6"/>
      <c r="D121" s="6"/>
      <c r="E121" s="10"/>
      <c r="F121" s="10"/>
      <c r="G121" s="10"/>
    </row>
    <row r="122" ht="14" spans="1:7">
      <c r="A122" s="6"/>
      <c r="B122" s="10"/>
      <c r="C122" s="6"/>
      <c r="D122" s="6"/>
      <c r="E122" s="10"/>
      <c r="F122" s="10"/>
      <c r="G122" s="10"/>
    </row>
    <row r="123" ht="14" spans="1:7">
      <c r="A123" s="6"/>
      <c r="B123" s="10"/>
      <c r="C123" s="6"/>
      <c r="D123" s="6"/>
      <c r="E123" s="10"/>
      <c r="F123" s="10"/>
      <c r="G123" s="10"/>
    </row>
    <row r="124" ht="14" spans="1:7">
      <c r="A124" s="6"/>
      <c r="B124" s="10"/>
      <c r="C124" s="6"/>
      <c r="D124" s="6"/>
      <c r="E124" s="10"/>
      <c r="F124" s="10"/>
      <c r="G124" s="10"/>
    </row>
    <row r="125" ht="14" spans="1:7">
      <c r="A125" s="6"/>
      <c r="B125" s="10"/>
      <c r="C125" s="6"/>
      <c r="D125" s="6"/>
      <c r="E125" s="10"/>
      <c r="F125" s="10"/>
      <c r="G125" s="10"/>
    </row>
    <row r="126" ht="14" spans="1:7">
      <c r="A126" s="6"/>
      <c r="B126" s="10"/>
      <c r="C126" s="6"/>
      <c r="D126" s="6"/>
      <c r="E126" s="10"/>
      <c r="F126" s="10"/>
      <c r="G126" s="10"/>
    </row>
    <row r="127" ht="14" spans="1:7">
      <c r="A127" s="6"/>
      <c r="B127" s="10"/>
      <c r="C127" s="6"/>
      <c r="D127" s="6"/>
      <c r="E127" s="10"/>
      <c r="F127" s="10"/>
      <c r="G127" s="10"/>
    </row>
    <row r="128" ht="14" spans="1:7">
      <c r="A128" s="6"/>
      <c r="B128" s="10"/>
      <c r="C128" s="6"/>
      <c r="D128" s="6"/>
      <c r="E128" s="10"/>
      <c r="F128" s="10"/>
      <c r="G128" s="10"/>
    </row>
    <row r="129" ht="14" spans="1:7">
      <c r="A129" s="6"/>
      <c r="B129" s="10"/>
      <c r="C129" s="6"/>
      <c r="D129" s="6"/>
      <c r="E129" s="10"/>
      <c r="F129" s="10"/>
      <c r="G129" s="10"/>
    </row>
    <row r="130" ht="14" spans="1:7">
      <c r="A130" s="6"/>
      <c r="B130" s="10"/>
      <c r="C130" s="6"/>
      <c r="D130" s="6"/>
      <c r="E130" s="10"/>
      <c r="F130" s="10"/>
      <c r="G130" s="10"/>
    </row>
    <row r="131" ht="14" spans="1:7">
      <c r="A131" s="6"/>
      <c r="B131" s="10"/>
      <c r="C131" s="6"/>
      <c r="D131" s="6"/>
      <c r="E131" s="10"/>
      <c r="F131" s="10"/>
      <c r="G131" s="10"/>
    </row>
    <row r="132" ht="14" spans="1:7">
      <c r="A132" s="6"/>
      <c r="B132" s="10"/>
      <c r="C132" s="6"/>
      <c r="D132" s="6"/>
      <c r="E132" s="10"/>
      <c r="F132" s="10"/>
      <c r="G132" s="10"/>
    </row>
    <row r="133" ht="14" spans="1:7">
      <c r="A133" s="6"/>
      <c r="B133" s="10"/>
      <c r="C133" s="6"/>
      <c r="D133" s="6"/>
      <c r="E133" s="10"/>
      <c r="F133" s="10"/>
      <c r="G133" s="10"/>
    </row>
    <row r="134" ht="14" spans="1:7">
      <c r="A134" s="6"/>
      <c r="B134" s="10"/>
      <c r="C134" s="6"/>
      <c r="D134" s="6"/>
      <c r="E134" s="10"/>
      <c r="F134" s="10"/>
      <c r="G134" s="10"/>
    </row>
    <row r="135" ht="14" spans="1:7">
      <c r="A135" s="6"/>
      <c r="B135" s="10"/>
      <c r="C135" s="6"/>
      <c r="D135" s="6"/>
      <c r="E135" s="10"/>
      <c r="F135" s="10"/>
      <c r="G135" s="10"/>
    </row>
    <row r="136" ht="14" spans="1:7">
      <c r="A136" s="6"/>
      <c r="B136" s="10"/>
      <c r="C136" s="6"/>
      <c r="D136" s="6"/>
      <c r="E136" s="10"/>
      <c r="F136" s="10"/>
      <c r="G136" s="10"/>
    </row>
    <row r="137" ht="14" spans="1:7">
      <c r="A137" s="6"/>
      <c r="B137" s="10"/>
      <c r="C137" s="6"/>
      <c r="D137" s="6"/>
      <c r="E137" s="10"/>
      <c r="F137" s="10"/>
      <c r="G137" s="10"/>
    </row>
    <row r="138" ht="14" spans="1:7">
      <c r="A138" s="6"/>
      <c r="B138" s="10"/>
      <c r="C138" s="6"/>
      <c r="D138" s="6"/>
      <c r="E138" s="10"/>
      <c r="F138" s="10"/>
      <c r="G138" s="10"/>
    </row>
    <row r="139" ht="14" spans="1:7">
      <c r="A139" s="6"/>
      <c r="B139" s="10"/>
      <c r="C139" s="6"/>
      <c r="D139" s="6"/>
      <c r="E139" s="10"/>
      <c r="F139" s="10"/>
      <c r="G139" s="10"/>
    </row>
    <row r="140" ht="14" spans="1:7">
      <c r="A140" s="6"/>
      <c r="B140" s="10"/>
      <c r="C140" s="6"/>
      <c r="D140" s="6"/>
      <c r="E140" s="10"/>
      <c r="F140" s="10"/>
      <c r="G140" s="10"/>
    </row>
    <row r="141" ht="14" spans="1:7">
      <c r="A141" s="6"/>
      <c r="B141" s="10"/>
      <c r="C141" s="6"/>
      <c r="D141" s="6"/>
      <c r="E141" s="10"/>
      <c r="F141" s="10"/>
      <c r="G141" s="10"/>
    </row>
    <row r="142" ht="14" spans="1:7">
      <c r="A142" s="6"/>
      <c r="B142" s="10"/>
      <c r="C142" s="6"/>
      <c r="D142" s="6"/>
      <c r="E142" s="10"/>
      <c r="F142" s="10"/>
      <c r="G142" s="10"/>
    </row>
    <row r="143" ht="14" spans="1:7">
      <c r="A143" s="6"/>
      <c r="B143" s="10"/>
      <c r="C143" s="6"/>
      <c r="D143" s="6"/>
      <c r="E143" s="10"/>
      <c r="F143" s="10"/>
      <c r="G143" s="10"/>
    </row>
    <row r="144" ht="14" spans="1:7">
      <c r="A144" s="6"/>
      <c r="B144" s="10"/>
      <c r="C144" s="6"/>
      <c r="D144" s="6"/>
      <c r="E144" s="10"/>
      <c r="F144" s="10"/>
      <c r="G144" s="10"/>
    </row>
    <row r="145" ht="14" spans="1:7">
      <c r="A145" s="6"/>
      <c r="B145" s="10"/>
      <c r="C145" s="6"/>
      <c r="D145" s="6"/>
      <c r="E145" s="10"/>
      <c r="F145" s="10"/>
      <c r="G145" s="10"/>
    </row>
    <row r="146" ht="14" spans="1:7">
      <c r="A146" s="6"/>
      <c r="B146" s="10"/>
      <c r="C146" s="6"/>
      <c r="D146" s="6"/>
      <c r="E146" s="10"/>
      <c r="F146" s="10"/>
      <c r="G146" s="10"/>
    </row>
    <row r="147" ht="14" spans="1:7">
      <c r="A147" s="6"/>
      <c r="B147" s="10"/>
      <c r="C147" s="6"/>
      <c r="D147" s="6"/>
      <c r="E147" s="10"/>
      <c r="F147" s="10"/>
      <c r="G147" s="10"/>
    </row>
    <row r="148" ht="14" spans="1:7">
      <c r="A148" s="6"/>
      <c r="B148" s="10"/>
      <c r="C148" s="6"/>
      <c r="D148" s="6"/>
      <c r="E148" s="10"/>
      <c r="F148" s="10"/>
      <c r="G148" s="10"/>
    </row>
    <row r="149" ht="14" spans="1:7">
      <c r="A149" s="6"/>
      <c r="B149" s="10"/>
      <c r="C149" s="6"/>
      <c r="D149" s="6"/>
      <c r="E149" s="10"/>
      <c r="F149" s="10"/>
      <c r="G149" s="10"/>
    </row>
    <row r="150" ht="14" spans="1:7">
      <c r="A150" s="6"/>
      <c r="B150" s="10"/>
      <c r="C150" s="6"/>
      <c r="D150" s="6"/>
      <c r="E150" s="10"/>
      <c r="F150" s="10"/>
      <c r="G150" s="10"/>
    </row>
    <row r="151" ht="14" spans="1:7">
      <c r="A151" s="6"/>
      <c r="B151" s="10"/>
      <c r="C151" s="6"/>
      <c r="D151" s="6"/>
      <c r="E151" s="10"/>
      <c r="F151" s="10"/>
      <c r="G151" s="10"/>
    </row>
    <row r="152" ht="14" spans="1:7">
      <c r="A152" s="6"/>
      <c r="B152" s="10"/>
      <c r="C152" s="6"/>
      <c r="D152" s="6"/>
      <c r="E152" s="10"/>
      <c r="F152" s="10"/>
      <c r="G152" s="10"/>
    </row>
    <row r="153" ht="14" spans="1:7">
      <c r="A153" s="6"/>
      <c r="B153" s="10"/>
      <c r="C153" s="6"/>
      <c r="D153" s="6"/>
      <c r="E153" s="10"/>
      <c r="F153" s="10"/>
      <c r="G153" s="10"/>
    </row>
    <row r="154" ht="14" spans="1:7">
      <c r="A154" s="6"/>
      <c r="B154" s="10"/>
      <c r="C154" s="6"/>
      <c r="D154" s="6"/>
      <c r="E154" s="10"/>
      <c r="F154" s="10"/>
      <c r="G154" s="10"/>
    </row>
    <row r="155" ht="14" spans="1:7">
      <c r="A155" s="6"/>
      <c r="B155" s="10"/>
      <c r="C155" s="6"/>
      <c r="D155" s="6"/>
      <c r="E155" s="10"/>
      <c r="F155" s="10"/>
      <c r="G155" s="10"/>
    </row>
    <row r="156" ht="14" spans="1:7">
      <c r="A156" s="6"/>
      <c r="B156" s="10"/>
      <c r="C156" s="6"/>
      <c r="D156" s="6"/>
      <c r="E156" s="10"/>
      <c r="F156" s="10"/>
      <c r="G156" s="10"/>
    </row>
    <row r="157" ht="14" spans="1:7">
      <c r="A157" s="6"/>
      <c r="B157" s="10"/>
      <c r="C157" s="6"/>
      <c r="D157" s="6"/>
      <c r="E157" s="10"/>
      <c r="F157" s="10"/>
      <c r="G157" s="10"/>
    </row>
    <row r="158" ht="14" spans="1:7">
      <c r="A158" s="6"/>
      <c r="B158" s="10"/>
      <c r="C158" s="6"/>
      <c r="D158" s="6"/>
      <c r="E158" s="10"/>
      <c r="F158" s="10"/>
      <c r="G158" s="10"/>
    </row>
    <row r="159" ht="14" spans="1:7">
      <c r="A159" s="6"/>
      <c r="B159" s="10"/>
      <c r="C159" s="6"/>
      <c r="D159" s="6"/>
      <c r="E159" s="10"/>
      <c r="F159" s="10"/>
      <c r="G159" s="10"/>
    </row>
    <row r="160" ht="14" spans="1:7">
      <c r="A160" s="6"/>
      <c r="B160" s="10"/>
      <c r="C160" s="6"/>
      <c r="D160" s="6"/>
      <c r="E160" s="10"/>
      <c r="F160" s="10"/>
      <c r="G160" s="10"/>
    </row>
    <row r="161" ht="14" spans="1:7">
      <c r="A161" s="6"/>
      <c r="B161" s="10"/>
      <c r="C161" s="6"/>
      <c r="D161" s="6"/>
      <c r="E161" s="10"/>
      <c r="F161" s="10"/>
      <c r="G161" s="10"/>
    </row>
    <row r="162" ht="14" spans="1:7">
      <c r="A162" s="6"/>
      <c r="B162" s="10"/>
      <c r="C162" s="6"/>
      <c r="D162" s="6"/>
      <c r="E162" s="10"/>
      <c r="F162" s="10"/>
      <c r="G162" s="10"/>
    </row>
    <row r="163" ht="14" spans="1:7">
      <c r="A163" s="6"/>
      <c r="B163" s="10"/>
      <c r="C163" s="6"/>
      <c r="D163" s="6"/>
      <c r="E163" s="10"/>
      <c r="F163" s="10"/>
      <c r="G163" s="10"/>
    </row>
    <row r="164" ht="14" spans="1:7">
      <c r="A164" s="6"/>
      <c r="B164" s="10"/>
      <c r="C164" s="6"/>
      <c r="D164" s="6"/>
      <c r="E164" s="10"/>
      <c r="F164" s="10"/>
      <c r="G164" s="10"/>
    </row>
    <row r="165" ht="14" spans="1:7">
      <c r="A165" s="6"/>
      <c r="B165" s="10"/>
      <c r="C165" s="6"/>
      <c r="D165" s="6"/>
      <c r="E165" s="10"/>
      <c r="F165" s="10"/>
      <c r="G165" s="10"/>
    </row>
    <row r="166" ht="14" spans="1:7">
      <c r="A166" s="6"/>
      <c r="B166" s="10"/>
      <c r="C166" s="6"/>
      <c r="D166" s="6"/>
      <c r="E166" s="10"/>
      <c r="F166" s="10"/>
      <c r="G166" s="10"/>
    </row>
    <row r="167" ht="14" spans="1:7">
      <c r="A167" s="6"/>
      <c r="B167" s="10"/>
      <c r="C167" s="6"/>
      <c r="D167" s="6"/>
      <c r="E167" s="10"/>
      <c r="F167" s="10"/>
      <c r="G167" s="10"/>
    </row>
    <row r="168" ht="14" spans="1:7">
      <c r="A168" s="6"/>
      <c r="B168" s="10"/>
      <c r="C168" s="6"/>
      <c r="D168" s="6"/>
      <c r="E168" s="10"/>
      <c r="F168" s="10"/>
      <c r="G168" s="10"/>
    </row>
    <row r="169" ht="14" spans="1:7">
      <c r="A169" s="6"/>
      <c r="B169" s="10"/>
      <c r="C169" s="6"/>
      <c r="D169" s="6"/>
      <c r="E169" s="10"/>
      <c r="F169" s="10"/>
      <c r="G169" s="10"/>
    </row>
    <row r="170" ht="14" spans="1:7">
      <c r="A170" s="6"/>
      <c r="B170" s="10"/>
      <c r="C170" s="6"/>
      <c r="D170" s="6"/>
      <c r="E170" s="10"/>
      <c r="F170" s="10"/>
      <c r="G170" s="10"/>
    </row>
    <row r="171" ht="14" spans="1:7">
      <c r="A171" s="6"/>
      <c r="B171" s="10"/>
      <c r="C171" s="6"/>
      <c r="D171" s="6"/>
      <c r="E171" s="10"/>
      <c r="F171" s="10"/>
      <c r="G171" s="10"/>
    </row>
    <row r="172" ht="14" spans="1:7">
      <c r="A172" s="6"/>
      <c r="B172" s="10"/>
      <c r="C172" s="6"/>
      <c r="D172" s="6"/>
      <c r="E172" s="10"/>
      <c r="F172" s="10"/>
      <c r="G172" s="10"/>
    </row>
    <row r="173" ht="14" spans="1:7">
      <c r="A173" s="6"/>
      <c r="B173" s="10"/>
      <c r="C173" s="6"/>
      <c r="D173" s="6"/>
      <c r="E173" s="10"/>
      <c r="F173" s="10"/>
      <c r="G173" s="10"/>
    </row>
    <row r="174" ht="14" spans="1:7">
      <c r="A174" s="6"/>
      <c r="B174" s="10"/>
      <c r="C174" s="6"/>
      <c r="D174" s="6"/>
      <c r="E174" s="10"/>
      <c r="F174" s="10"/>
      <c r="G174" s="10"/>
    </row>
    <row r="175" ht="14" spans="1:7">
      <c r="A175" s="6"/>
      <c r="B175" s="10"/>
      <c r="C175" s="6"/>
      <c r="D175" s="6"/>
      <c r="E175" s="10"/>
      <c r="F175" s="10"/>
      <c r="G175" s="10"/>
    </row>
    <row r="176" ht="14" spans="1:7">
      <c r="A176" s="6"/>
      <c r="B176" s="10"/>
      <c r="C176" s="6"/>
      <c r="D176" s="6"/>
      <c r="E176" s="10"/>
      <c r="F176" s="10"/>
      <c r="G176" s="10"/>
    </row>
    <row r="177" ht="14" spans="1:7">
      <c r="A177" s="6"/>
      <c r="B177" s="10"/>
      <c r="C177" s="6"/>
      <c r="D177" s="6"/>
      <c r="E177" s="10"/>
      <c r="F177" s="10"/>
      <c r="G177" s="10"/>
    </row>
    <row r="178" ht="14" spans="1:7">
      <c r="A178" s="6"/>
      <c r="B178" s="10"/>
      <c r="C178" s="6"/>
      <c r="D178" s="6"/>
      <c r="E178" s="10"/>
      <c r="F178" s="10"/>
      <c r="G178" s="10"/>
    </row>
    <row r="179" ht="14" spans="1:7">
      <c r="A179" s="6"/>
      <c r="B179" s="10"/>
      <c r="C179" s="6"/>
      <c r="D179" s="6"/>
      <c r="E179" s="10"/>
      <c r="F179" s="10"/>
      <c r="G179" s="10"/>
    </row>
    <row r="180" ht="14" spans="1:7">
      <c r="A180" s="6"/>
      <c r="B180" s="10"/>
      <c r="C180" s="6"/>
      <c r="D180" s="6"/>
      <c r="E180" s="10"/>
      <c r="F180" s="10"/>
      <c r="G180" s="10"/>
    </row>
    <row r="181" ht="14" spans="1:7">
      <c r="A181" s="6"/>
      <c r="B181" s="10"/>
      <c r="C181" s="6"/>
      <c r="D181" s="6"/>
      <c r="E181" s="10"/>
      <c r="F181" s="10"/>
      <c r="G181" s="10"/>
    </row>
    <row r="182" ht="14" spans="1:7">
      <c r="A182" s="6"/>
      <c r="B182" s="10"/>
      <c r="C182" s="6"/>
      <c r="D182" s="6"/>
      <c r="E182" s="10"/>
      <c r="F182" s="10"/>
      <c r="G182" s="10"/>
    </row>
    <row r="183" ht="14" spans="1:7">
      <c r="A183" s="6"/>
      <c r="B183" s="10"/>
      <c r="C183" s="6"/>
      <c r="D183" s="6"/>
      <c r="E183" s="10"/>
      <c r="F183" s="10"/>
      <c r="G183" s="10"/>
    </row>
    <row r="184" ht="14" spans="1:7">
      <c r="A184" s="6"/>
      <c r="B184" s="10"/>
      <c r="C184" s="6"/>
      <c r="D184" s="6"/>
      <c r="E184" s="10"/>
      <c r="F184" s="10"/>
      <c r="G184" s="10"/>
    </row>
    <row r="185" ht="14" spans="1:7">
      <c r="A185" s="6"/>
      <c r="B185" s="10"/>
      <c r="C185" s="6"/>
      <c r="D185" s="6"/>
      <c r="E185" s="10"/>
      <c r="F185" s="10"/>
      <c r="G185" s="10"/>
    </row>
    <row r="186" ht="14" spans="1:7">
      <c r="A186" s="6"/>
      <c r="B186" s="10"/>
      <c r="C186" s="6"/>
      <c r="D186" s="6"/>
      <c r="E186" s="10"/>
      <c r="F186" s="10"/>
      <c r="G186" s="10"/>
    </row>
    <row r="187" ht="14" spans="1:7">
      <c r="A187" s="6"/>
      <c r="B187" s="10"/>
      <c r="C187" s="6"/>
      <c r="D187" s="6"/>
      <c r="E187" s="10"/>
      <c r="F187" s="10"/>
      <c r="G187" s="10"/>
    </row>
    <row r="188" ht="14" spans="1:7">
      <c r="A188" s="6"/>
      <c r="B188" s="10"/>
      <c r="C188" s="6"/>
      <c r="D188" s="6"/>
      <c r="E188" s="10"/>
      <c r="F188" s="10"/>
      <c r="G188" s="10"/>
    </row>
    <row r="189" ht="14" spans="1:7">
      <c r="A189" s="6"/>
      <c r="B189" s="10"/>
      <c r="C189" s="6"/>
      <c r="D189" s="6"/>
      <c r="E189" s="10"/>
      <c r="F189" s="10"/>
      <c r="G189" s="10"/>
    </row>
    <row r="190" ht="14" spans="1:7">
      <c r="A190" s="6"/>
      <c r="B190" s="10"/>
      <c r="C190" s="6"/>
      <c r="D190" s="6"/>
      <c r="E190" s="10"/>
      <c r="F190" s="10"/>
      <c r="G190" s="10"/>
    </row>
    <row r="191" ht="14" spans="1:7">
      <c r="A191" s="6"/>
      <c r="B191" s="10"/>
      <c r="C191" s="6"/>
      <c r="D191" s="6"/>
      <c r="E191" s="10"/>
      <c r="F191" s="10"/>
      <c r="G191" s="10"/>
    </row>
    <row r="192" ht="14" spans="1:7">
      <c r="A192" s="6"/>
      <c r="B192" s="10"/>
      <c r="C192" s="6"/>
      <c r="D192" s="6"/>
      <c r="E192" s="10"/>
      <c r="F192" s="10"/>
      <c r="G192" s="10"/>
    </row>
    <row r="193" ht="14" spans="1:7">
      <c r="A193" s="6"/>
      <c r="B193" s="10"/>
      <c r="C193" s="6"/>
      <c r="D193" s="6"/>
      <c r="E193" s="10"/>
      <c r="F193" s="10"/>
      <c r="G193" s="10"/>
    </row>
    <row r="194" ht="14" spans="1:7">
      <c r="A194" s="6"/>
      <c r="B194" s="10"/>
      <c r="C194" s="6"/>
      <c r="D194" s="6"/>
      <c r="E194" s="10"/>
      <c r="F194" s="10"/>
      <c r="G194" s="10"/>
    </row>
    <row r="195" ht="14" spans="1:7">
      <c r="A195" s="6"/>
      <c r="B195" s="10"/>
      <c r="C195" s="6"/>
      <c r="D195" s="6"/>
      <c r="E195" s="10"/>
      <c r="F195" s="10"/>
      <c r="G195" s="10"/>
    </row>
    <row r="196" ht="14" spans="1:7">
      <c r="A196" s="6"/>
      <c r="B196" s="10"/>
      <c r="C196" s="6"/>
      <c r="D196" s="6"/>
      <c r="E196" s="10"/>
      <c r="F196" s="10"/>
      <c r="G196" s="10"/>
    </row>
    <row r="197" ht="14" spans="1:7">
      <c r="A197" s="6"/>
      <c r="B197" s="10"/>
      <c r="C197" s="6"/>
      <c r="D197" s="6"/>
      <c r="E197" s="10"/>
      <c r="F197" s="10"/>
      <c r="G197" s="10"/>
    </row>
    <row r="198" ht="14" spans="1:7">
      <c r="A198" s="6"/>
      <c r="B198" s="10"/>
      <c r="C198" s="6"/>
      <c r="D198" s="6"/>
      <c r="E198" s="10"/>
      <c r="F198" s="10"/>
      <c r="G198" s="10"/>
    </row>
    <row r="199" ht="14" spans="1:7">
      <c r="A199" s="6"/>
      <c r="B199" s="10"/>
      <c r="C199" s="6"/>
      <c r="D199" s="6"/>
      <c r="E199" s="10"/>
      <c r="F199" s="10"/>
      <c r="G199" s="10"/>
    </row>
    <row r="200" ht="14" spans="1:7">
      <c r="A200" s="6"/>
      <c r="B200" s="10"/>
      <c r="C200" s="6"/>
      <c r="D200" s="6"/>
      <c r="E200" s="10"/>
      <c r="F200" s="10"/>
      <c r="G200" s="10"/>
    </row>
    <row r="201" ht="14" spans="1:7">
      <c r="A201" s="6"/>
      <c r="B201" s="10"/>
      <c r="C201" s="6"/>
      <c r="D201" s="6"/>
      <c r="E201" s="10"/>
      <c r="F201" s="10"/>
      <c r="G201" s="10"/>
    </row>
    <row r="202" ht="14" spans="1:7">
      <c r="D202" s="6"/>
    </row>
    <row r="203" ht="14" spans="1:7">
      <c r="D203" s="6"/>
    </row>
    <row r="204" ht="14" spans="1:7">
      <c r="D204" s="6"/>
    </row>
    <row r="205" ht="14" spans="1:7">
      <c r="D205" s="6"/>
    </row>
    <row r="206" ht="14" spans="1:7">
      <c r="D206" s="6"/>
    </row>
    <row r="207" ht="14" spans="1:7">
      <c r="D207" s="6"/>
    </row>
    <row r="208" ht="14" spans="1:7">
      <c r="D208" s="6"/>
    </row>
    <row r="209" ht="14" spans="4:4">
      <c r="D209" s="6"/>
    </row>
    <row r="210" ht="14" spans="4:4">
      <c r="D210" s="6"/>
    </row>
    <row r="211" ht="14" spans="4:4">
      <c r="D211" s="6"/>
    </row>
    <row r="212" ht="14" spans="4:4">
      <c r="D212" s="6"/>
    </row>
    <row r="213" ht="14" spans="4:4">
      <c r="D213" s="6"/>
    </row>
    <row r="214" ht="14" spans="4:4">
      <c r="D214" s="6"/>
    </row>
    <row r="215" ht="14" spans="4:4">
      <c r="D215" s="6"/>
    </row>
    <row r="216" ht="14" spans="4:4">
      <c r="D216" s="6"/>
    </row>
    <row r="217" ht="14" spans="4:4">
      <c r="D217" s="6"/>
    </row>
    <row r="218" ht="14" spans="4:4">
      <c r="D218" s="6"/>
    </row>
    <row r="219" ht="14" spans="4:4">
      <c r="D219" s="6"/>
    </row>
    <row r="220" ht="14" spans="4:4">
      <c r="D220" s="6"/>
    </row>
    <row r="221" ht="14" spans="4:4">
      <c r="D221" s="6"/>
    </row>
  </sheetData>
  <mergeCells count="3">
    <mergeCell ref="H1:M1"/>
    <mergeCell ref="D72:D76"/>
    <mergeCell ref="D111:D118"/>
  </mergeCells>
  <conditionalFormatting sqref="E1">
    <cfRule type="duplicateValues" dxfId="3" priority="2"/>
  </conditionalFormatting>
  <conditionalFormatting sqref="F1:G1">
    <cfRule type="duplicateValues" dxfId="3" priority="1"/>
  </conditionalFormatting>
  <dataValidations count="4">
    <dataValidation type="list" allowBlank="1" showInputMessage="1" showErrorMessage="1" sqref="A2:A201">
      <formula1>"陈一涵,蔡丽娜,"</formula1>
    </dataValidation>
    <dataValidation type="date" operator="between" showInputMessage="1" showErrorMessage="1" sqref="B2:B45"/>
    <dataValidation type="list" allowBlank="1" showInputMessage="1" showErrorMessage="1" sqref="C2:C201">
      <formula1>"调单触发,内部触发,"</formula1>
    </dataValidation>
    <dataValidation type="list" allowBlank="1" showInputMessage="1" showErrorMessage="1" sqref="D$1:D$1048576">
      <formula1>"B2B,电商,服贸,汇兑,机构客户,KYC,"</formula1>
    </dataValidation>
  </dataValidations>
  <hyperlinks>
    <hyperlink ref="H1" r:id="rId1" display="内部调查报告Template"/>
    <hyperlink ref="G2" r:id="rId2" display="内部调查报告 Dudu Technology Co, Limited"/>
    <hyperlink ref="G3" r:id="rId3" display="内部调查报告 尊凯有限公司（JOINTCAN LIMITED）"/>
    <hyperlink ref="G4" r:id="rId4" display="153家杲杲香港关结算（from 2025.07.01）"/>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Tencent office</Application>
  <HeadingPairs>
    <vt:vector size="2" baseType="variant">
      <vt:variant>
        <vt:lpstr>工作表</vt:lpstr>
      </vt:variant>
      <vt:variant>
        <vt:i4>10</vt:i4>
      </vt:variant>
    </vt:vector>
  </HeadingPairs>
  <TitlesOfParts>
    <vt:vector size="10" baseType="lpstr">
      <vt:lpstr>月度数据统计</vt:lpstr>
      <vt:lpstr>KYC调单</vt:lpstr>
      <vt:lpstr>单笔交易</vt:lpstr>
      <vt:lpstr>账户调查</vt:lpstr>
      <vt:lpstr>结汇</vt:lpstr>
      <vt:lpstr>警方协查</vt:lpstr>
      <vt:lpstr>Recall</vt:lpstr>
      <vt:lpstr>内部调单</vt:lpstr>
      <vt:lpstr>（统计用）6张表数据汇总</vt:lpstr>
      <vt:lpstr>调单案例库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Perseverance</cp:lastModifiedBy>
  <dcterms:created xsi:type="dcterms:W3CDTF">2026-07-03T14:14:00Z</dcterms:created>
  <dcterms:modified xsi:type="dcterms:W3CDTF">2026-07-04T04:03:26Z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AB016A76C67C446CA48F5F0BD7C3BB14_12</vt:lpwstr>
  </property>
  <property fmtid="{D5CDD505-2E9C-101B-9397-08002B2CF9AE}" pid="3" name="KSOProductBuildVer">
    <vt:lpwstr>2052-12.1.0.26895</vt:lpwstr>
  </property>
  <property fmtid="{D5CDD505-2E9C-101B-9397-08002B2CF9AE}" pid="4" name="CalculationRule">
    <vt:i4>0</vt:i4>
  </property>
</Properties>
</file>